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kina\Desktop\ALİ OSMAN KOÇ\2025-2026 PERFORMANS NOT U DERECELENDİRME ANAHTARI\2. Dönem\"/>
    </mc:Choice>
  </mc:AlternateContent>
  <bookViews>
    <workbookView xWindow="0" yWindow="0" windowWidth="20490" windowHeight="7665" tabRatio="922"/>
  </bookViews>
  <sheets>
    <sheet name="9-A Mesleki Gelişim " sheetId="16" r:id="rId1"/>
    <sheet name="9-A TEMEL İMALAT İŞLEMLERİ" sheetId="19" r:id="rId2"/>
    <sheet name="10-A MALZEME BİLGİSİ" sheetId="20" r:id="rId3"/>
    <sheet name="10-A ÖLÇME VE KONTROL" sheetId="21" r:id="rId4"/>
    <sheet name="10-A  İMALAT YÖNTEMLERİ" sheetId="22" r:id="rId5"/>
    <sheet name="11-A MEKANİZMALAR" sheetId="29" r:id="rId6"/>
    <sheet name="11-A MEK. BAK. ONA." sheetId="31" r:id="rId7"/>
    <sheet name="11-A OTO. KONT." sheetId="32" r:id="rId8"/>
    <sheet name="11-A TEMEL ELEKTRİK" sheetId="30" r:id="rId9"/>
    <sheet name="11-B  BİL.KONT. ÜRETİM" sheetId="33" r:id="rId10"/>
    <sheet name="11-B BİL. DES. TAS." sheetId="34" r:id="rId11"/>
    <sheet name="11-B YEN. ÜRET. YÖN." sheetId="35" r:id="rId12"/>
    <sheet name="12-A SEÇ.MAK.EL." sheetId="23" r:id="rId13"/>
    <sheet name="12-A SEÇ. HİD.PNO." sheetId="24" r:id="rId14"/>
    <sheet name="12-A SEÇ.MEK.ÇİZ." sheetId="25" r:id="rId15"/>
    <sheet name="12-B SEÇ.MAK.EL." sheetId="26" r:id="rId16"/>
    <sheet name="12-B SEÇ. HİD.PNO." sheetId="27" r:id="rId17"/>
    <sheet name="12-B SEÇ.MEK.ÇİZ." sheetId="28" r:id="rId18"/>
  </sheets>
  <definedNames>
    <definedName name="_xlnm.Print_Area" localSheetId="0">'9-A Mesleki Gelişim '!$A$1:$M$33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3" i="35" l="1"/>
  <c r="Q23" i="35" s="1"/>
  <c r="P22" i="35"/>
  <c r="P21" i="35"/>
  <c r="P20" i="35"/>
  <c r="P19" i="35"/>
  <c r="Q19" i="35" s="1"/>
  <c r="P18" i="35"/>
  <c r="P17" i="35"/>
  <c r="P16" i="35"/>
  <c r="P15" i="35"/>
  <c r="Q15" i="35" s="1"/>
  <c r="P14" i="35"/>
  <c r="P13" i="35"/>
  <c r="P12" i="35"/>
  <c r="P11" i="35"/>
  <c r="Q11" i="35" s="1"/>
  <c r="P10" i="35"/>
  <c r="P9" i="35"/>
  <c r="P23" i="34"/>
  <c r="P22" i="34"/>
  <c r="P21" i="34"/>
  <c r="Q20" i="34"/>
  <c r="P20" i="34"/>
  <c r="P19" i="34"/>
  <c r="P18" i="34"/>
  <c r="P17" i="34"/>
  <c r="Q17" i="34" s="1"/>
  <c r="R17" i="34" s="1"/>
  <c r="E17" i="34" s="1"/>
  <c r="P16" i="34"/>
  <c r="Q16" i="34" s="1"/>
  <c r="P15" i="34"/>
  <c r="P14" i="34"/>
  <c r="Q13" i="34"/>
  <c r="R13" i="34" s="1"/>
  <c r="E13" i="34" s="1"/>
  <c r="P13" i="34"/>
  <c r="P12" i="34"/>
  <c r="Q12" i="34" s="1"/>
  <c r="R12" i="34" s="1"/>
  <c r="P11" i="34"/>
  <c r="P10" i="34"/>
  <c r="P9" i="34"/>
  <c r="P23" i="33"/>
  <c r="P22" i="33"/>
  <c r="Q22" i="33" s="1"/>
  <c r="P21" i="33"/>
  <c r="P20" i="33"/>
  <c r="Q20" i="33" s="1"/>
  <c r="R20" i="33" s="1"/>
  <c r="P19" i="33"/>
  <c r="P18" i="33"/>
  <c r="Q18" i="33" s="1"/>
  <c r="P17" i="33"/>
  <c r="Q16" i="33"/>
  <c r="R16" i="33" s="1"/>
  <c r="P16" i="33"/>
  <c r="P15" i="33"/>
  <c r="P14" i="33"/>
  <c r="Q14" i="33" s="1"/>
  <c r="P13" i="33"/>
  <c r="P12" i="33"/>
  <c r="Q12" i="33" s="1"/>
  <c r="R12" i="33" s="1"/>
  <c r="P11" i="33"/>
  <c r="P10" i="33"/>
  <c r="Q10" i="33" s="1"/>
  <c r="P9" i="33"/>
  <c r="Q29" i="30"/>
  <c r="P29" i="30"/>
  <c r="D29" i="30"/>
  <c r="Q28" i="30"/>
  <c r="R28" i="30" s="1"/>
  <c r="E28" i="30" s="1"/>
  <c r="P28" i="30"/>
  <c r="P27" i="30"/>
  <c r="Q26" i="30"/>
  <c r="P26" i="30"/>
  <c r="Q25" i="30"/>
  <c r="P25" i="30"/>
  <c r="D25" i="30"/>
  <c r="Q24" i="30"/>
  <c r="R24" i="30" s="1"/>
  <c r="E24" i="30" s="1"/>
  <c r="P24" i="30"/>
  <c r="P23" i="30"/>
  <c r="Q22" i="30"/>
  <c r="P22" i="30"/>
  <c r="Q21" i="30"/>
  <c r="P21" i="30"/>
  <c r="D21" i="30"/>
  <c r="Q20" i="30"/>
  <c r="R20" i="30" s="1"/>
  <c r="E20" i="30" s="1"/>
  <c r="P20" i="30"/>
  <c r="P19" i="30"/>
  <c r="Q18" i="30"/>
  <c r="P18" i="30"/>
  <c r="Q17" i="30"/>
  <c r="P17" i="30"/>
  <c r="D17" i="30"/>
  <c r="Q16" i="30"/>
  <c r="R16" i="30" s="1"/>
  <c r="E16" i="30" s="1"/>
  <c r="P16" i="30"/>
  <c r="P15" i="30"/>
  <c r="Q14" i="30"/>
  <c r="P14" i="30"/>
  <c r="Q13" i="30"/>
  <c r="P13" i="30"/>
  <c r="D13" i="30"/>
  <c r="Q12" i="30"/>
  <c r="R12" i="30" s="1"/>
  <c r="E12" i="30" s="1"/>
  <c r="P12" i="30"/>
  <c r="P11" i="30"/>
  <c r="P10" i="30"/>
  <c r="Q10" i="30" s="1"/>
  <c r="Q9" i="30"/>
  <c r="P9" i="30"/>
  <c r="D9" i="30"/>
  <c r="P29" i="32"/>
  <c r="P28" i="32"/>
  <c r="P27" i="32"/>
  <c r="Q27" i="32" s="1"/>
  <c r="P26" i="32"/>
  <c r="P25" i="32"/>
  <c r="P24" i="32"/>
  <c r="P23" i="32"/>
  <c r="Q23" i="32" s="1"/>
  <c r="P22" i="32"/>
  <c r="P21" i="32"/>
  <c r="P20" i="32"/>
  <c r="P19" i="32"/>
  <c r="Q19" i="32" s="1"/>
  <c r="R19" i="32" s="1"/>
  <c r="E19" i="32" s="1"/>
  <c r="P18" i="32"/>
  <c r="P17" i="32"/>
  <c r="P16" i="32"/>
  <c r="R15" i="32"/>
  <c r="Q15" i="32"/>
  <c r="P15" i="32"/>
  <c r="D15" i="32"/>
  <c r="P14" i="32"/>
  <c r="P13" i="32"/>
  <c r="P12" i="32"/>
  <c r="R11" i="32"/>
  <c r="Q11" i="32"/>
  <c r="P11" i="32"/>
  <c r="D11" i="32"/>
  <c r="P10" i="32"/>
  <c r="P9" i="32"/>
  <c r="P29" i="31"/>
  <c r="P28" i="31"/>
  <c r="P27" i="31"/>
  <c r="Q27" i="31" s="1"/>
  <c r="P26" i="31"/>
  <c r="P25" i="31"/>
  <c r="P24" i="31"/>
  <c r="P23" i="31"/>
  <c r="Q23" i="31" s="1"/>
  <c r="P22" i="31"/>
  <c r="P21" i="31"/>
  <c r="P20" i="31"/>
  <c r="P19" i="31"/>
  <c r="Q19" i="31" s="1"/>
  <c r="P18" i="31"/>
  <c r="P17" i="31"/>
  <c r="Q16" i="31"/>
  <c r="D16" i="31" s="1"/>
  <c r="P16" i="31"/>
  <c r="P15" i="31"/>
  <c r="Q15" i="31" s="1"/>
  <c r="P14" i="31"/>
  <c r="P13" i="31"/>
  <c r="P12" i="31"/>
  <c r="P11" i="31"/>
  <c r="Q11" i="31" s="1"/>
  <c r="P10" i="31"/>
  <c r="P9" i="31"/>
  <c r="P29" i="29"/>
  <c r="Q29" i="29" s="1"/>
  <c r="D29" i="29" s="1"/>
  <c r="P28" i="29"/>
  <c r="Q28" i="29" s="1"/>
  <c r="P27" i="29"/>
  <c r="P26" i="29"/>
  <c r="P25" i="29"/>
  <c r="Q25" i="29" s="1"/>
  <c r="D25" i="29" s="1"/>
  <c r="P24" i="29"/>
  <c r="Q24" i="29" s="1"/>
  <c r="P23" i="29"/>
  <c r="P22" i="29"/>
  <c r="P21" i="29"/>
  <c r="P20" i="29"/>
  <c r="Q20" i="29" s="1"/>
  <c r="P19" i="29"/>
  <c r="P18" i="29"/>
  <c r="P17" i="29"/>
  <c r="P16" i="29"/>
  <c r="Q16" i="29" s="1"/>
  <c r="P15" i="29"/>
  <c r="P14" i="29"/>
  <c r="P13" i="29"/>
  <c r="Q13" i="29" s="1"/>
  <c r="D13" i="29" s="1"/>
  <c r="P12" i="29"/>
  <c r="Q12" i="29" s="1"/>
  <c r="D12" i="29" s="1"/>
  <c r="P11" i="29"/>
  <c r="P10" i="29"/>
  <c r="Q9" i="29"/>
  <c r="D9" i="29" s="1"/>
  <c r="P9" i="29"/>
  <c r="R21" i="34" l="1"/>
  <c r="E21" i="34" s="1"/>
  <c r="R9" i="34"/>
  <c r="E9" i="34" s="1"/>
  <c r="Q21" i="34"/>
  <c r="Q9" i="34"/>
  <c r="D9" i="34" s="1"/>
  <c r="R20" i="34"/>
  <c r="R16" i="34"/>
  <c r="R20" i="35"/>
  <c r="E20" i="35" s="1"/>
  <c r="R15" i="35"/>
  <c r="E15" i="35" s="1"/>
  <c r="D15" i="35"/>
  <c r="S15" i="35"/>
  <c r="F15" i="35" s="1"/>
  <c r="R23" i="35"/>
  <c r="E23" i="35" s="1"/>
  <c r="D23" i="35"/>
  <c r="R11" i="35"/>
  <c r="E11" i="35" s="1"/>
  <c r="D11" i="35"/>
  <c r="R19" i="35"/>
  <c r="E19" i="35" s="1"/>
  <c r="D19" i="35"/>
  <c r="Q12" i="35"/>
  <c r="Q16" i="35"/>
  <c r="D16" i="35" s="1"/>
  <c r="Q20" i="35"/>
  <c r="D20" i="35" s="1"/>
  <c r="Q9" i="35"/>
  <c r="Q13" i="35"/>
  <c r="Q17" i="35"/>
  <c r="S20" i="35"/>
  <c r="F20" i="35" s="1"/>
  <c r="Q21" i="35"/>
  <c r="Q10" i="35"/>
  <c r="Q14" i="35"/>
  <c r="Q18" i="35"/>
  <c r="Q22" i="35"/>
  <c r="E12" i="34"/>
  <c r="S12" i="34"/>
  <c r="F12" i="34" s="1"/>
  <c r="E20" i="34"/>
  <c r="E16" i="34"/>
  <c r="S16" i="34"/>
  <c r="F16" i="34" s="1"/>
  <c r="Q14" i="34"/>
  <c r="D14" i="34" s="1"/>
  <c r="R10" i="34"/>
  <c r="E10" i="34" s="1"/>
  <c r="S17" i="34"/>
  <c r="F17" i="34" s="1"/>
  <c r="S21" i="34"/>
  <c r="F21" i="34" s="1"/>
  <c r="Q11" i="34"/>
  <c r="R11" i="34" s="1"/>
  <c r="D12" i="34"/>
  <c r="Q15" i="34"/>
  <c r="D16" i="34"/>
  <c r="Q19" i="34"/>
  <c r="R19" i="34" s="1"/>
  <c r="E19" i="34" s="1"/>
  <c r="D20" i="34"/>
  <c r="Q23" i="34"/>
  <c r="S13" i="34"/>
  <c r="F13" i="34" s="1"/>
  <c r="D13" i="34"/>
  <c r="D17" i="34"/>
  <c r="D21" i="34"/>
  <c r="Q10" i="34"/>
  <c r="D10" i="34" s="1"/>
  <c r="Q18" i="34"/>
  <c r="D18" i="34" s="1"/>
  <c r="Q22" i="34"/>
  <c r="D22" i="34" s="1"/>
  <c r="E12" i="33"/>
  <c r="E20" i="33"/>
  <c r="E16" i="33"/>
  <c r="Q9" i="33"/>
  <c r="D10" i="33"/>
  <c r="S12" i="33"/>
  <c r="F12" i="33" s="1"/>
  <c r="Q13" i="33"/>
  <c r="D14" i="33"/>
  <c r="S16" i="33"/>
  <c r="F16" i="33" s="1"/>
  <c r="Q17" i="33"/>
  <c r="D18" i="33"/>
  <c r="S20" i="33"/>
  <c r="F20" i="33" s="1"/>
  <c r="Q21" i="33"/>
  <c r="D22" i="33"/>
  <c r="R10" i="33"/>
  <c r="E10" i="33" s="1"/>
  <c r="R14" i="33"/>
  <c r="E14" i="33" s="1"/>
  <c r="R18" i="33"/>
  <c r="E18" i="33" s="1"/>
  <c r="R22" i="33"/>
  <c r="E22" i="33" s="1"/>
  <c r="Q11" i="33"/>
  <c r="D12" i="33"/>
  <c r="Q15" i="33"/>
  <c r="D16" i="33"/>
  <c r="Q19" i="33"/>
  <c r="R19" i="33" s="1"/>
  <c r="D20" i="33"/>
  <c r="Q23" i="33"/>
  <c r="D10" i="30"/>
  <c r="S12" i="30"/>
  <c r="F12" i="30" s="1"/>
  <c r="D14" i="30"/>
  <c r="S16" i="30"/>
  <c r="F16" i="30" s="1"/>
  <c r="D18" i="30"/>
  <c r="S20" i="30"/>
  <c r="F20" i="30" s="1"/>
  <c r="D22" i="30"/>
  <c r="S24" i="30"/>
  <c r="F24" i="30" s="1"/>
  <c r="D26" i="30"/>
  <c r="S28" i="30"/>
  <c r="F28" i="30" s="1"/>
  <c r="R9" i="30"/>
  <c r="R13" i="30"/>
  <c r="T16" i="30"/>
  <c r="G16" i="30" s="1"/>
  <c r="R17" i="30"/>
  <c r="T20" i="30"/>
  <c r="G20" i="30" s="1"/>
  <c r="R21" i="30"/>
  <c r="T24" i="30"/>
  <c r="G24" i="30" s="1"/>
  <c r="R25" i="30"/>
  <c r="T28" i="30"/>
  <c r="G28" i="30" s="1"/>
  <c r="R29" i="30"/>
  <c r="U24" i="30"/>
  <c r="H24" i="30" s="1"/>
  <c r="U16" i="30"/>
  <c r="H16" i="30" s="1"/>
  <c r="R22" i="30"/>
  <c r="V24" i="30"/>
  <c r="J24" i="30" s="1"/>
  <c r="R26" i="30"/>
  <c r="U28" i="30"/>
  <c r="H28" i="30" s="1"/>
  <c r="R18" i="30"/>
  <c r="Q11" i="30"/>
  <c r="D12" i="30"/>
  <c r="Q15" i="30"/>
  <c r="D16" i="30"/>
  <c r="Q19" i="30"/>
  <c r="D20" i="30"/>
  <c r="S22" i="30"/>
  <c r="F22" i="30" s="1"/>
  <c r="Q23" i="30"/>
  <c r="R23" i="30" s="1"/>
  <c r="E23" i="30" s="1"/>
  <c r="D24" i="30"/>
  <c r="S26" i="30"/>
  <c r="F26" i="30" s="1"/>
  <c r="Q27" i="30"/>
  <c r="D28" i="30"/>
  <c r="R10" i="30"/>
  <c r="R14" i="30"/>
  <c r="V16" i="30"/>
  <c r="J16" i="30" s="1"/>
  <c r="R27" i="30"/>
  <c r="E27" i="30" s="1"/>
  <c r="D23" i="32"/>
  <c r="S23" i="32"/>
  <c r="F23" i="32" s="1"/>
  <c r="Q10" i="32"/>
  <c r="R16" i="32"/>
  <c r="E16" i="32" s="1"/>
  <c r="R23" i="32"/>
  <c r="E23" i="32" s="1"/>
  <c r="Q12" i="32"/>
  <c r="Q16" i="32"/>
  <c r="Q20" i="32"/>
  <c r="D20" i="32" s="1"/>
  <c r="E11" i="32"/>
  <c r="S14" i="32"/>
  <c r="F14" i="32" s="1"/>
  <c r="E15" i="32"/>
  <c r="T15" i="32"/>
  <c r="G15" i="32" s="1"/>
  <c r="Q24" i="32"/>
  <c r="D24" i="32" s="1"/>
  <c r="S11" i="32"/>
  <c r="F11" i="32" s="1"/>
  <c r="T19" i="32"/>
  <c r="G19" i="32" s="1"/>
  <c r="S19" i="32"/>
  <c r="F19" i="32" s="1"/>
  <c r="D19" i="32"/>
  <c r="S15" i="32"/>
  <c r="F15" i="32" s="1"/>
  <c r="S27" i="32"/>
  <c r="F27" i="32" s="1"/>
  <c r="R27" i="32"/>
  <c r="E27" i="32" s="1"/>
  <c r="D27" i="32"/>
  <c r="Q9" i="32"/>
  <c r="Q13" i="32"/>
  <c r="Q17" i="32"/>
  <c r="Q21" i="32"/>
  <c r="Q25" i="32"/>
  <c r="Q29" i="32"/>
  <c r="Q26" i="32"/>
  <c r="Q14" i="32"/>
  <c r="Q18" i="32"/>
  <c r="Q22" i="32"/>
  <c r="R14" i="32"/>
  <c r="E14" i="32" s="1"/>
  <c r="R18" i="32"/>
  <c r="E18" i="32" s="1"/>
  <c r="R26" i="32"/>
  <c r="E26" i="32" s="1"/>
  <c r="Q28" i="32"/>
  <c r="D28" i="32" s="1"/>
  <c r="R12" i="31"/>
  <c r="E12" i="31" s="1"/>
  <c r="D15" i="31"/>
  <c r="Q20" i="31"/>
  <c r="D20" i="31" s="1"/>
  <c r="Q12" i="31"/>
  <c r="D12" i="31" s="1"/>
  <c r="R15" i="31"/>
  <c r="E15" i="31" s="1"/>
  <c r="T23" i="31"/>
  <c r="G23" i="31" s="1"/>
  <c r="D23" i="31"/>
  <c r="S23" i="31"/>
  <c r="F23" i="31" s="1"/>
  <c r="S15" i="31"/>
  <c r="F15" i="31" s="1"/>
  <c r="R23" i="31"/>
  <c r="E23" i="31" s="1"/>
  <c r="D11" i="31"/>
  <c r="R11" i="31"/>
  <c r="E11" i="31" s="1"/>
  <c r="S19" i="31"/>
  <c r="F19" i="31" s="1"/>
  <c r="D19" i="31"/>
  <c r="Q24" i="31"/>
  <c r="D24" i="31" s="1"/>
  <c r="S11" i="31"/>
  <c r="F11" i="31" s="1"/>
  <c r="R16" i="31"/>
  <c r="E16" i="31" s="1"/>
  <c r="R19" i="31"/>
  <c r="E19" i="31" s="1"/>
  <c r="R27" i="31"/>
  <c r="E27" i="31" s="1"/>
  <c r="D27" i="31"/>
  <c r="R28" i="31"/>
  <c r="E28" i="31" s="1"/>
  <c r="Q9" i="31"/>
  <c r="Q13" i="31"/>
  <c r="Q17" i="31"/>
  <c r="Q21" i="31"/>
  <c r="U23" i="31"/>
  <c r="H23" i="31" s="1"/>
  <c r="Q25" i="31"/>
  <c r="S28" i="31"/>
  <c r="F28" i="31" s="1"/>
  <c r="Q29" i="31"/>
  <c r="R29" i="31" s="1"/>
  <c r="E29" i="31" s="1"/>
  <c r="R17" i="31"/>
  <c r="E17" i="31" s="1"/>
  <c r="R21" i="31"/>
  <c r="E21" i="31" s="1"/>
  <c r="R25" i="31"/>
  <c r="E25" i="31" s="1"/>
  <c r="Q10" i="31"/>
  <c r="Q14" i="31"/>
  <c r="S17" i="31"/>
  <c r="F17" i="31" s="1"/>
  <c r="Q18" i="31"/>
  <c r="Q22" i="31"/>
  <c r="S25" i="31"/>
  <c r="F25" i="31" s="1"/>
  <c r="Q26" i="31"/>
  <c r="Q28" i="31"/>
  <c r="D28" i="31" s="1"/>
  <c r="R26" i="31"/>
  <c r="E26" i="31" s="1"/>
  <c r="R10" i="31"/>
  <c r="E10" i="31" s="1"/>
  <c r="T17" i="31"/>
  <c r="G17" i="31" s="1"/>
  <c r="S20" i="29"/>
  <c r="F20" i="29" s="1"/>
  <c r="R28" i="29"/>
  <c r="E28" i="29" s="1"/>
  <c r="R20" i="29"/>
  <c r="E20" i="29" s="1"/>
  <c r="Q11" i="29"/>
  <c r="R21" i="29"/>
  <c r="E21" i="29" s="1"/>
  <c r="S21" i="29"/>
  <c r="F21" i="29" s="1"/>
  <c r="D24" i="29"/>
  <c r="D20" i="29"/>
  <c r="Q21" i="29"/>
  <c r="D21" i="29" s="1"/>
  <c r="R24" i="29"/>
  <c r="E24" i="29" s="1"/>
  <c r="R12" i="29"/>
  <c r="E12" i="29" s="1"/>
  <c r="Q19" i="29"/>
  <c r="R19" i="29" s="1"/>
  <c r="E19" i="29" s="1"/>
  <c r="R29" i="29"/>
  <c r="E29" i="29" s="1"/>
  <c r="S29" i="29"/>
  <c r="F29" i="29" s="1"/>
  <c r="Q10" i="29"/>
  <c r="D10" i="29" s="1"/>
  <c r="R13" i="29"/>
  <c r="E13" i="29" s="1"/>
  <c r="R17" i="29"/>
  <c r="E17" i="29" s="1"/>
  <c r="R9" i="29"/>
  <c r="S9" i="29" s="1"/>
  <c r="D16" i="29"/>
  <c r="Q17" i="29"/>
  <c r="Q15" i="29"/>
  <c r="R15" i="29" s="1"/>
  <c r="E15" i="29" s="1"/>
  <c r="R16" i="29"/>
  <c r="R25" i="29"/>
  <c r="E25" i="29" s="1"/>
  <c r="D28" i="29"/>
  <c r="Q14" i="29"/>
  <c r="Q18" i="29"/>
  <c r="Q22" i="29"/>
  <c r="Q26" i="29"/>
  <c r="Q23" i="29"/>
  <c r="Q27" i="29"/>
  <c r="R27" i="29"/>
  <c r="E27" i="29" s="1"/>
  <c r="S16" i="35" l="1"/>
  <c r="F16" i="35" s="1"/>
  <c r="R16" i="35"/>
  <c r="E16" i="35" s="1"/>
  <c r="T16" i="34"/>
  <c r="G16" i="34" s="1"/>
  <c r="R18" i="34"/>
  <c r="E18" i="34" s="1"/>
  <c r="S20" i="34"/>
  <c r="F20" i="34" s="1"/>
  <c r="T21" i="34"/>
  <c r="G21" i="34" s="1"/>
  <c r="T17" i="34"/>
  <c r="G17" i="34" s="1"/>
  <c r="T13" i="34"/>
  <c r="G13" i="34" s="1"/>
  <c r="S9" i="34"/>
  <c r="F9" i="34" s="1"/>
  <c r="S10" i="34"/>
  <c r="F10" i="34" s="1"/>
  <c r="S22" i="33"/>
  <c r="F22" i="33" s="1"/>
  <c r="T16" i="33"/>
  <c r="G16" i="33" s="1"/>
  <c r="R17" i="35"/>
  <c r="E17" i="35" s="1"/>
  <c r="D17" i="35"/>
  <c r="R22" i="35"/>
  <c r="S10" i="35"/>
  <c r="F10" i="35" s="1"/>
  <c r="T20" i="35"/>
  <c r="G20" i="35" s="1"/>
  <c r="R14" i="35"/>
  <c r="R21" i="35"/>
  <c r="D21" i="35"/>
  <c r="D13" i="35"/>
  <c r="R13" i="35"/>
  <c r="T15" i="35"/>
  <c r="U15" i="35" s="1"/>
  <c r="D18" i="35"/>
  <c r="D10" i="35"/>
  <c r="R18" i="35"/>
  <c r="R10" i="35"/>
  <c r="E10" i="35" s="1"/>
  <c r="S11" i="35"/>
  <c r="R12" i="35"/>
  <c r="E12" i="35" s="1"/>
  <c r="S23" i="35"/>
  <c r="T23" i="35" s="1"/>
  <c r="G23" i="35" s="1"/>
  <c r="T11" i="35"/>
  <c r="G11" i="35" s="1"/>
  <c r="D12" i="35"/>
  <c r="D9" i="35"/>
  <c r="R9" i="35"/>
  <c r="E9" i="35" s="1"/>
  <c r="D22" i="35"/>
  <c r="D14" i="35"/>
  <c r="S19" i="35"/>
  <c r="F19" i="35" s="1"/>
  <c r="E11" i="34"/>
  <c r="D15" i="34"/>
  <c r="T12" i="34"/>
  <c r="G12" i="34" s="1"/>
  <c r="U12" i="34"/>
  <c r="H12" i="34" s="1"/>
  <c r="U21" i="34"/>
  <c r="R22" i="34"/>
  <c r="R14" i="34"/>
  <c r="S19" i="34"/>
  <c r="F19" i="34" s="1"/>
  <c r="D19" i="34"/>
  <c r="T19" i="34"/>
  <c r="G19" i="34" s="1"/>
  <c r="D23" i="34"/>
  <c r="S18" i="34"/>
  <c r="S11" i="34"/>
  <c r="F11" i="34" s="1"/>
  <c r="D11" i="34"/>
  <c r="R23" i="34"/>
  <c r="E23" i="34" s="1"/>
  <c r="R15" i="34"/>
  <c r="E15" i="34" s="1"/>
  <c r="T9" i="34"/>
  <c r="G9" i="34" s="1"/>
  <c r="E19" i="33"/>
  <c r="S18" i="33"/>
  <c r="R23" i="33"/>
  <c r="E23" i="33" s="1"/>
  <c r="D11" i="33"/>
  <c r="T12" i="33"/>
  <c r="U12" i="33" s="1"/>
  <c r="R11" i="33"/>
  <c r="S11" i="33" s="1"/>
  <c r="D17" i="33"/>
  <c r="R17" i="33"/>
  <c r="E17" i="33" s="1"/>
  <c r="U20" i="33"/>
  <c r="H20" i="33" s="1"/>
  <c r="T18" i="33"/>
  <c r="G18" i="33" s="1"/>
  <c r="D15" i="33"/>
  <c r="D9" i="33"/>
  <c r="R9" i="33"/>
  <c r="D23" i="33"/>
  <c r="S10" i="33"/>
  <c r="T10" i="33" s="1"/>
  <c r="G10" i="33" s="1"/>
  <c r="S14" i="33"/>
  <c r="T20" i="33"/>
  <c r="G20" i="33" s="1"/>
  <c r="D21" i="33"/>
  <c r="S21" i="33"/>
  <c r="F21" i="33" s="1"/>
  <c r="R21" i="33"/>
  <c r="R15" i="33"/>
  <c r="S15" i="33" s="1"/>
  <c r="F15" i="33" s="1"/>
  <c r="S19" i="33"/>
  <c r="F19" i="33" s="1"/>
  <c r="D19" i="33"/>
  <c r="D13" i="33"/>
  <c r="R13" i="33"/>
  <c r="D19" i="30"/>
  <c r="E10" i="30"/>
  <c r="W24" i="30"/>
  <c r="K24" i="30" s="1"/>
  <c r="S18" i="30"/>
  <c r="V28" i="30"/>
  <c r="J28" i="30" s="1"/>
  <c r="U20" i="30"/>
  <c r="H20" i="30" s="1"/>
  <c r="N24" i="30"/>
  <c r="D11" i="30"/>
  <c r="E25" i="30"/>
  <c r="S25" i="30"/>
  <c r="E17" i="30"/>
  <c r="S17" i="30"/>
  <c r="E9" i="30"/>
  <c r="S9" i="30"/>
  <c r="X28" i="30"/>
  <c r="I28" i="30" s="1"/>
  <c r="N28" i="30" s="1"/>
  <c r="R19" i="30"/>
  <c r="E19" i="30" s="1"/>
  <c r="T12" i="30"/>
  <c r="G12" i="30" s="1"/>
  <c r="S23" i="30"/>
  <c r="F23" i="30" s="1"/>
  <c r="D23" i="30"/>
  <c r="W16" i="30"/>
  <c r="K16" i="30" s="1"/>
  <c r="S10" i="30"/>
  <c r="U26" i="30"/>
  <c r="H26" i="30" s="1"/>
  <c r="E26" i="30"/>
  <c r="X24" i="30"/>
  <c r="I24" i="30" s="1"/>
  <c r="R15" i="30"/>
  <c r="E15" i="30" s="1"/>
  <c r="V20" i="30"/>
  <c r="J20" i="30" s="1"/>
  <c r="W28" i="30"/>
  <c r="K28" i="30" s="1"/>
  <c r="N16" i="30"/>
  <c r="R11" i="30"/>
  <c r="D15" i="30"/>
  <c r="E18" i="30"/>
  <c r="X16" i="30"/>
  <c r="I16" i="30" s="1"/>
  <c r="V26" i="30"/>
  <c r="J26" i="30" s="1"/>
  <c r="T26" i="30"/>
  <c r="G26" i="30" s="1"/>
  <c r="E14" i="30"/>
  <c r="S27" i="30"/>
  <c r="D27" i="30"/>
  <c r="W20" i="30"/>
  <c r="K20" i="30" s="1"/>
  <c r="S14" i="30"/>
  <c r="E22" i="30"/>
  <c r="E29" i="30"/>
  <c r="S29" i="30"/>
  <c r="E21" i="30"/>
  <c r="S21" i="30"/>
  <c r="E13" i="30"/>
  <c r="S13" i="30"/>
  <c r="T22" i="30"/>
  <c r="U22" i="30" s="1"/>
  <c r="H22" i="30" s="1"/>
  <c r="T28" i="32"/>
  <c r="G28" i="32" s="1"/>
  <c r="R13" i="32"/>
  <c r="D13" i="32"/>
  <c r="R24" i="32"/>
  <c r="E24" i="32" s="1"/>
  <c r="D18" i="32"/>
  <c r="T18" i="32"/>
  <c r="G18" i="32" s="1"/>
  <c r="S24" i="32"/>
  <c r="F24" i="32" s="1"/>
  <c r="R20" i="32"/>
  <c r="E20" i="32" s="1"/>
  <c r="D16" i="32"/>
  <c r="S26" i="32"/>
  <c r="F26" i="32" s="1"/>
  <c r="D14" i="32"/>
  <c r="T14" i="32"/>
  <c r="U14" i="32"/>
  <c r="H14" i="32" s="1"/>
  <c r="R21" i="32"/>
  <c r="D21" i="32"/>
  <c r="D9" i="32"/>
  <c r="R9" i="32"/>
  <c r="T27" i="32"/>
  <c r="G27" i="32" s="1"/>
  <c r="D12" i="32"/>
  <c r="D22" i="32"/>
  <c r="D29" i="32"/>
  <c r="R29" i="32"/>
  <c r="S28" i="32"/>
  <c r="F28" i="32" s="1"/>
  <c r="T26" i="32"/>
  <c r="G26" i="32" s="1"/>
  <c r="D26" i="32"/>
  <c r="U26" i="32"/>
  <c r="H26" i="32" s="1"/>
  <c r="U27" i="32"/>
  <c r="H27" i="32" s="1"/>
  <c r="R17" i="32"/>
  <c r="D17" i="32"/>
  <c r="V27" i="32"/>
  <c r="J27" i="32" s="1"/>
  <c r="T11" i="32"/>
  <c r="G11" i="32" s="1"/>
  <c r="R12" i="32"/>
  <c r="D10" i="32"/>
  <c r="T23" i="32"/>
  <c r="R25" i="32"/>
  <c r="E25" i="32" s="1"/>
  <c r="D25" i="32"/>
  <c r="R28" i="32"/>
  <c r="E28" i="32" s="1"/>
  <c r="U19" i="32"/>
  <c r="H19" i="32" s="1"/>
  <c r="R22" i="32"/>
  <c r="E22" i="32" s="1"/>
  <c r="U15" i="32"/>
  <c r="H15" i="32" s="1"/>
  <c r="V15" i="32"/>
  <c r="J15" i="32" s="1"/>
  <c r="S18" i="32"/>
  <c r="F18" i="32" s="1"/>
  <c r="R10" i="32"/>
  <c r="S16" i="32"/>
  <c r="F16" i="32" s="1"/>
  <c r="S13" i="31"/>
  <c r="F13" i="31" s="1"/>
  <c r="R9" i="31"/>
  <c r="D9" i="31"/>
  <c r="W23" i="31"/>
  <c r="K23" i="31" s="1"/>
  <c r="U27" i="31"/>
  <c r="H27" i="31" s="1"/>
  <c r="D17" i="31"/>
  <c r="T27" i="31"/>
  <c r="G27" i="31" s="1"/>
  <c r="R22" i="31"/>
  <c r="S21" i="31"/>
  <c r="D10" i="31"/>
  <c r="T19" i="31"/>
  <c r="T11" i="31"/>
  <c r="R18" i="31"/>
  <c r="E18" i="31" s="1"/>
  <c r="S27" i="31"/>
  <c r="U17" i="31"/>
  <c r="H17" i="31" s="1"/>
  <c r="S12" i="31"/>
  <c r="F12" i="31" s="1"/>
  <c r="T9" i="31"/>
  <c r="G9" i="31" s="1"/>
  <c r="D22" i="31"/>
  <c r="T22" i="31"/>
  <c r="G22" i="31" s="1"/>
  <c r="V23" i="31"/>
  <c r="J23" i="31" s="1"/>
  <c r="S29" i="31"/>
  <c r="F29" i="31" s="1"/>
  <c r="S9" i="31"/>
  <c r="F9" i="31" s="1"/>
  <c r="D25" i="31"/>
  <c r="R24" i="31"/>
  <c r="E24" i="31" s="1"/>
  <c r="T15" i="31"/>
  <c r="G15" i="31" s="1"/>
  <c r="U25" i="31"/>
  <c r="H25" i="31" s="1"/>
  <c r="R13" i="31"/>
  <c r="E13" i="31" s="1"/>
  <c r="D13" i="31"/>
  <c r="R14" i="31"/>
  <c r="E14" i="31" s="1"/>
  <c r="D18" i="31"/>
  <c r="T28" i="31"/>
  <c r="S16" i="31"/>
  <c r="S26" i="31"/>
  <c r="R20" i="31"/>
  <c r="E20" i="31" s="1"/>
  <c r="S10" i="31"/>
  <c r="F10" i="31" s="1"/>
  <c r="T13" i="31"/>
  <c r="G13" i="31" s="1"/>
  <c r="T25" i="31"/>
  <c r="G25" i="31" s="1"/>
  <c r="D26" i="31"/>
  <c r="V27" i="31"/>
  <c r="J27" i="31" s="1"/>
  <c r="D21" i="31"/>
  <c r="T16" i="31"/>
  <c r="G16" i="31" s="1"/>
  <c r="S20" i="31"/>
  <c r="F20" i="31" s="1"/>
  <c r="S22" i="31"/>
  <c r="F22" i="31" s="1"/>
  <c r="D14" i="31"/>
  <c r="U13" i="31"/>
  <c r="H13" i="31" s="1"/>
  <c r="D29" i="31"/>
  <c r="T20" i="29"/>
  <c r="G20" i="29" s="1"/>
  <c r="U20" i="29"/>
  <c r="H20" i="29" s="1"/>
  <c r="S28" i="29"/>
  <c r="F9" i="29"/>
  <c r="E16" i="29"/>
  <c r="S16" i="29"/>
  <c r="T21" i="29"/>
  <c r="G21" i="29" s="1"/>
  <c r="D11" i="29"/>
  <c r="R18" i="29"/>
  <c r="D18" i="29"/>
  <c r="S25" i="29"/>
  <c r="R11" i="29"/>
  <c r="S11" i="29" s="1"/>
  <c r="F11" i="29" s="1"/>
  <c r="R23" i="29"/>
  <c r="E23" i="29" s="1"/>
  <c r="S26" i="29"/>
  <c r="F26" i="29" s="1"/>
  <c r="D17" i="29"/>
  <c r="S17" i="29"/>
  <c r="S24" i="29"/>
  <c r="D27" i="29"/>
  <c r="S13" i="29"/>
  <c r="S27" i="29"/>
  <c r="F27" i="29" s="1"/>
  <c r="D14" i="29"/>
  <c r="R14" i="29"/>
  <c r="D15" i="29"/>
  <c r="R26" i="29"/>
  <c r="D26" i="29"/>
  <c r="R22" i="29"/>
  <c r="E22" i="29" s="1"/>
  <c r="D22" i="29"/>
  <c r="D23" i="29"/>
  <c r="S15" i="29"/>
  <c r="F15" i="29" s="1"/>
  <c r="E9" i="29"/>
  <c r="T29" i="29"/>
  <c r="T9" i="29"/>
  <c r="G9" i="29" s="1"/>
  <c r="U29" i="29"/>
  <c r="H29" i="29" s="1"/>
  <c r="D19" i="29"/>
  <c r="T19" i="29"/>
  <c r="G19" i="29" s="1"/>
  <c r="R10" i="29"/>
  <c r="S10" i="29" s="1"/>
  <c r="F10" i="29" s="1"/>
  <c r="S12" i="29"/>
  <c r="S19" i="29"/>
  <c r="F19" i="29" s="1"/>
  <c r="T16" i="35" l="1"/>
  <c r="G16" i="35" s="1"/>
  <c r="U16" i="35"/>
  <c r="H16" i="35" s="1"/>
  <c r="S17" i="35"/>
  <c r="F17" i="35" s="1"/>
  <c r="T20" i="34"/>
  <c r="T18" i="34"/>
  <c r="G18" i="34" s="1"/>
  <c r="T10" i="34"/>
  <c r="G10" i="34" s="1"/>
  <c r="U16" i="34"/>
  <c r="H16" i="34" s="1"/>
  <c r="V12" i="34"/>
  <c r="J12" i="34" s="1"/>
  <c r="U13" i="34"/>
  <c r="H13" i="34" s="1"/>
  <c r="U17" i="34"/>
  <c r="T19" i="33"/>
  <c r="G19" i="33" s="1"/>
  <c r="U16" i="33"/>
  <c r="H16" i="33" s="1"/>
  <c r="S23" i="33"/>
  <c r="F23" i="33" s="1"/>
  <c r="T22" i="33"/>
  <c r="U22" i="33" s="1"/>
  <c r="H22" i="33" s="1"/>
  <c r="H15" i="35"/>
  <c r="V15" i="35"/>
  <c r="J15" i="35" s="1"/>
  <c r="S12" i="35"/>
  <c r="E14" i="35"/>
  <c r="E22" i="35"/>
  <c r="S22" i="35"/>
  <c r="F23" i="35"/>
  <c r="S9" i="35"/>
  <c r="T10" i="35"/>
  <c r="G10" i="35" s="1"/>
  <c r="E21" i="35"/>
  <c r="S21" i="35"/>
  <c r="F11" i="35"/>
  <c r="U10" i="35"/>
  <c r="H10" i="35" s="1"/>
  <c r="T19" i="35"/>
  <c r="G19" i="35" s="1"/>
  <c r="T17" i="35"/>
  <c r="G17" i="35" s="1"/>
  <c r="E18" i="35"/>
  <c r="E13" i="35"/>
  <c r="S13" i="35"/>
  <c r="T13" i="35" s="1"/>
  <c r="U11" i="35"/>
  <c r="U20" i="35"/>
  <c r="U23" i="35"/>
  <c r="H23" i="35" s="1"/>
  <c r="S18" i="35"/>
  <c r="U19" i="35"/>
  <c r="H19" i="35" s="1"/>
  <c r="S14" i="35"/>
  <c r="T14" i="35" s="1"/>
  <c r="G15" i="35"/>
  <c r="V13" i="34"/>
  <c r="S15" i="34"/>
  <c r="F15" i="34" s="1"/>
  <c r="U9" i="34"/>
  <c r="H21" i="34"/>
  <c r="V21" i="34"/>
  <c r="E22" i="34"/>
  <c r="S22" i="34"/>
  <c r="W9" i="34"/>
  <c r="K9" i="34" s="1"/>
  <c r="X12" i="34"/>
  <c r="I12" i="34" s="1"/>
  <c r="N12" i="34" s="1"/>
  <c r="U19" i="34"/>
  <c r="T11" i="34"/>
  <c r="F18" i="34"/>
  <c r="S23" i="34"/>
  <c r="V9" i="34"/>
  <c r="J9" i="34" s="1"/>
  <c r="W12" i="34"/>
  <c r="K12" i="34" s="1"/>
  <c r="V19" i="34"/>
  <c r="J19" i="34" s="1"/>
  <c r="E14" i="34"/>
  <c r="S14" i="34"/>
  <c r="F14" i="34" s="1"/>
  <c r="F11" i="33"/>
  <c r="H12" i="33"/>
  <c r="V12" i="33"/>
  <c r="J12" i="33" s="1"/>
  <c r="E9" i="33"/>
  <c r="E21" i="33"/>
  <c r="T21" i="33"/>
  <c r="F14" i="33"/>
  <c r="T14" i="33"/>
  <c r="S17" i="33"/>
  <c r="F17" i="33" s="1"/>
  <c r="U18" i="33"/>
  <c r="H18" i="33" s="1"/>
  <c r="E13" i="33"/>
  <c r="T23" i="33"/>
  <c r="G23" i="33" s="1"/>
  <c r="E11" i="33"/>
  <c r="F18" i="33"/>
  <c r="T17" i="33"/>
  <c r="G17" i="33" s="1"/>
  <c r="S13" i="33"/>
  <c r="E15" i="33"/>
  <c r="T15" i="33"/>
  <c r="G15" i="33" s="1"/>
  <c r="U23" i="33"/>
  <c r="H23" i="33" s="1"/>
  <c r="T11" i="33"/>
  <c r="G11" i="33" s="1"/>
  <c r="F10" i="33"/>
  <c r="G12" i="33"/>
  <c r="V20" i="33"/>
  <c r="J20" i="33" s="1"/>
  <c r="V23" i="33"/>
  <c r="J23" i="33" s="1"/>
  <c r="S9" i="33"/>
  <c r="F9" i="33" s="1"/>
  <c r="U10" i="33"/>
  <c r="H10" i="33" s="1"/>
  <c r="U19" i="33"/>
  <c r="N26" i="30"/>
  <c r="F29" i="30"/>
  <c r="T29" i="30"/>
  <c r="G29" i="30" s="1"/>
  <c r="F10" i="30"/>
  <c r="F25" i="30"/>
  <c r="T25" i="30"/>
  <c r="U25" i="30" s="1"/>
  <c r="F13" i="30"/>
  <c r="T13" i="30"/>
  <c r="U13" i="30"/>
  <c r="H13" i="30" s="1"/>
  <c r="E11" i="30"/>
  <c r="F18" i="30"/>
  <c r="T18" i="30"/>
  <c r="W12" i="30"/>
  <c r="K12" i="30" s="1"/>
  <c r="X20" i="30"/>
  <c r="I20" i="30" s="1"/>
  <c r="N20" i="30" s="1"/>
  <c r="F9" i="30"/>
  <c r="T9" i="30"/>
  <c r="U9" i="30"/>
  <c r="H9" i="30" s="1"/>
  <c r="T10" i="30"/>
  <c r="G10" i="30" s="1"/>
  <c r="G22" i="30"/>
  <c r="W22" i="30"/>
  <c r="K22" i="30" s="1"/>
  <c r="F27" i="30"/>
  <c r="T27" i="30"/>
  <c r="F21" i="30"/>
  <c r="T21" i="30"/>
  <c r="F14" i="30"/>
  <c r="T14" i="30"/>
  <c r="W26" i="30"/>
  <c r="K26" i="30" s="1"/>
  <c r="S19" i="30"/>
  <c r="F17" i="30"/>
  <c r="U17" i="30"/>
  <c r="H17" i="30" s="1"/>
  <c r="T17" i="30"/>
  <c r="G17" i="30" s="1"/>
  <c r="V17" i="30"/>
  <c r="J17" i="30" s="1"/>
  <c r="V22" i="30"/>
  <c r="J22" i="30" s="1"/>
  <c r="S15" i="30"/>
  <c r="U12" i="30"/>
  <c r="T23" i="30"/>
  <c r="U23" i="30" s="1"/>
  <c r="H23" i="30" s="1"/>
  <c r="S11" i="30"/>
  <c r="V12" i="30"/>
  <c r="J12" i="30" s="1"/>
  <c r="X26" i="30"/>
  <c r="I26" i="30" s="1"/>
  <c r="X15" i="32"/>
  <c r="I15" i="32" s="1"/>
  <c r="N15" i="32" s="1"/>
  <c r="U18" i="32"/>
  <c r="T24" i="32"/>
  <c r="G24" i="32" s="1"/>
  <c r="E29" i="32"/>
  <c r="E9" i="32"/>
  <c r="U9" i="32"/>
  <c r="H9" i="32" s="1"/>
  <c r="S9" i="32"/>
  <c r="T9" i="32"/>
  <c r="G9" i="32" s="1"/>
  <c r="G14" i="32"/>
  <c r="V14" i="32"/>
  <c r="J14" i="32" s="1"/>
  <c r="W15" i="32"/>
  <c r="K15" i="32" s="1"/>
  <c r="V19" i="32"/>
  <c r="W27" i="32"/>
  <c r="K27" i="32" s="1"/>
  <c r="V26" i="32"/>
  <c r="J26" i="32" s="1"/>
  <c r="E13" i="32"/>
  <c r="S13" i="32"/>
  <c r="E12" i="32"/>
  <c r="T16" i="32"/>
  <c r="G16" i="32" s="1"/>
  <c r="S12" i="32"/>
  <c r="F12" i="32" s="1"/>
  <c r="G23" i="32"/>
  <c r="U23" i="32"/>
  <c r="U11" i="32"/>
  <c r="S25" i="32"/>
  <c r="S29" i="32"/>
  <c r="U24" i="32"/>
  <c r="H24" i="32" s="1"/>
  <c r="E21" i="32"/>
  <c r="T21" i="32"/>
  <c r="G21" i="32" s="1"/>
  <c r="U21" i="32"/>
  <c r="H21" i="32" s="1"/>
  <c r="S21" i="32"/>
  <c r="V11" i="32"/>
  <c r="J11" i="32" s="1"/>
  <c r="V28" i="32"/>
  <c r="J28" i="32" s="1"/>
  <c r="E17" i="32"/>
  <c r="S17" i="32"/>
  <c r="F17" i="32" s="1"/>
  <c r="T17" i="32"/>
  <c r="G17" i="32" s="1"/>
  <c r="E10" i="32"/>
  <c r="S10" i="32"/>
  <c r="F10" i="32" s="1"/>
  <c r="W26" i="32"/>
  <c r="K26" i="32" s="1"/>
  <c r="S20" i="32"/>
  <c r="X27" i="32"/>
  <c r="I27" i="32" s="1"/>
  <c r="N27" i="32" s="1"/>
  <c r="U28" i="32"/>
  <c r="U16" i="32"/>
  <c r="H16" i="32" s="1"/>
  <c r="X26" i="32"/>
  <c r="I26" i="32" s="1"/>
  <c r="N26" i="32" s="1"/>
  <c r="S22" i="32"/>
  <c r="V18" i="31"/>
  <c r="J18" i="31" s="1"/>
  <c r="T29" i="31"/>
  <c r="G29" i="31" s="1"/>
  <c r="S24" i="31"/>
  <c r="F24" i="31" s="1"/>
  <c r="V13" i="31"/>
  <c r="J13" i="31" s="1"/>
  <c r="U15" i="31"/>
  <c r="H15" i="31" s="1"/>
  <c r="E22" i="31"/>
  <c r="V9" i="31"/>
  <c r="J9" i="31" s="1"/>
  <c r="T26" i="31"/>
  <c r="V25" i="31"/>
  <c r="J25" i="31" s="1"/>
  <c r="U22" i="31"/>
  <c r="H22" i="31" s="1"/>
  <c r="T12" i="31"/>
  <c r="X23" i="31"/>
  <c r="I23" i="31" s="1"/>
  <c r="N23" i="31" s="1"/>
  <c r="T18" i="31"/>
  <c r="G18" i="31" s="1"/>
  <c r="S18" i="31"/>
  <c r="U29" i="31"/>
  <c r="H29" i="31" s="1"/>
  <c r="T10" i="31"/>
  <c r="G10" i="31" s="1"/>
  <c r="W9" i="31"/>
  <c r="K9" i="31" s="1"/>
  <c r="F26" i="31"/>
  <c r="U18" i="31"/>
  <c r="H18" i="31" s="1"/>
  <c r="X9" i="31"/>
  <c r="I9" i="31" s="1"/>
  <c r="W25" i="31"/>
  <c r="K25" i="31" s="1"/>
  <c r="S14" i="31"/>
  <c r="F14" i="31" s="1"/>
  <c r="E9" i="31"/>
  <c r="N9" i="31" s="1"/>
  <c r="U9" i="31"/>
  <c r="H9" i="31" s="1"/>
  <c r="T20" i="31"/>
  <c r="G20" i="31" s="1"/>
  <c r="T24" i="31"/>
  <c r="G24" i="31" s="1"/>
  <c r="G11" i="31"/>
  <c r="U11" i="31"/>
  <c r="H11" i="31" s="1"/>
  <c r="F16" i="31"/>
  <c r="U16" i="31"/>
  <c r="W27" i="31"/>
  <c r="K27" i="31" s="1"/>
  <c r="F27" i="31"/>
  <c r="G19" i="31"/>
  <c r="U19" i="31"/>
  <c r="F21" i="31"/>
  <c r="T21" i="31"/>
  <c r="V17" i="31"/>
  <c r="G28" i="31"/>
  <c r="U28" i="31"/>
  <c r="H28" i="31" s="1"/>
  <c r="V22" i="31"/>
  <c r="J22" i="31" s="1"/>
  <c r="U13" i="29"/>
  <c r="W20" i="29"/>
  <c r="K20" i="29" s="1"/>
  <c r="T13" i="29"/>
  <c r="G13" i="29" s="1"/>
  <c r="V20" i="29"/>
  <c r="T15" i="29"/>
  <c r="G15" i="29" s="1"/>
  <c r="F28" i="29"/>
  <c r="T28" i="29"/>
  <c r="H13" i="29"/>
  <c r="V13" i="29"/>
  <c r="J13" i="29" s="1"/>
  <c r="F25" i="29"/>
  <c r="E10" i="29"/>
  <c r="T10" i="29"/>
  <c r="G10" i="29" s="1"/>
  <c r="F16" i="29"/>
  <c r="T16" i="29"/>
  <c r="S23" i="29"/>
  <c r="F23" i="29" s="1"/>
  <c r="F17" i="29"/>
  <c r="T17" i="29"/>
  <c r="G17" i="29" s="1"/>
  <c r="U9" i="29"/>
  <c r="V9" i="29" s="1"/>
  <c r="J9" i="29" s="1"/>
  <c r="E26" i="29"/>
  <c r="T27" i="29"/>
  <c r="G27" i="29" s="1"/>
  <c r="E11" i="29"/>
  <c r="T11" i="29"/>
  <c r="G11" i="29" s="1"/>
  <c r="E18" i="29"/>
  <c r="S18" i="29"/>
  <c r="F18" i="29" s="1"/>
  <c r="G29" i="29"/>
  <c r="V29" i="29"/>
  <c r="S22" i="29"/>
  <c r="F13" i="29"/>
  <c r="W13" i="29"/>
  <c r="K13" i="29" s="1"/>
  <c r="T25" i="29"/>
  <c r="U21" i="29"/>
  <c r="U19" i="29"/>
  <c r="H19" i="29" s="1"/>
  <c r="E14" i="29"/>
  <c r="S14" i="29"/>
  <c r="F14" i="29" s="1"/>
  <c r="T26" i="29"/>
  <c r="U26" i="29" s="1"/>
  <c r="H26" i="29" s="1"/>
  <c r="U15" i="29"/>
  <c r="H15" i="29" s="1"/>
  <c r="F24" i="29"/>
  <c r="T24" i="29"/>
  <c r="F12" i="29"/>
  <c r="T12" i="29"/>
  <c r="G12" i="29" s="1"/>
  <c r="T23" i="29"/>
  <c r="G23" i="29" s="1"/>
  <c r="V19" i="35" l="1"/>
  <c r="J19" i="35" s="1"/>
  <c r="W15" i="35"/>
  <c r="K15" i="35" s="1"/>
  <c r="V16" i="35"/>
  <c r="V23" i="35"/>
  <c r="J23" i="35" s="1"/>
  <c r="U18" i="34"/>
  <c r="H18" i="34" s="1"/>
  <c r="H17" i="34"/>
  <c r="V17" i="34"/>
  <c r="U10" i="34"/>
  <c r="G20" i="34"/>
  <c r="V20" i="34"/>
  <c r="J20" i="34" s="1"/>
  <c r="V16" i="34"/>
  <c r="T14" i="34"/>
  <c r="G14" i="34" s="1"/>
  <c r="U20" i="34"/>
  <c r="V16" i="33"/>
  <c r="J16" i="33" s="1"/>
  <c r="G22" i="33"/>
  <c r="V22" i="33"/>
  <c r="J22" i="33" s="1"/>
  <c r="W12" i="33"/>
  <c r="K12" i="33" s="1"/>
  <c r="W23" i="33"/>
  <c r="K23" i="33" s="1"/>
  <c r="G14" i="35"/>
  <c r="U14" i="35"/>
  <c r="H14" i="35" s="1"/>
  <c r="G13" i="35"/>
  <c r="U13" i="35"/>
  <c r="H13" i="35" s="1"/>
  <c r="X23" i="35"/>
  <c r="I23" i="35" s="1"/>
  <c r="N23" i="35" s="1"/>
  <c r="V10" i="35"/>
  <c r="F21" i="35"/>
  <c r="T21" i="35"/>
  <c r="W23" i="35"/>
  <c r="K23" i="35" s="1"/>
  <c r="H20" i="35"/>
  <c r="V20" i="35"/>
  <c r="T18" i="35"/>
  <c r="F12" i="35"/>
  <c r="T12" i="35"/>
  <c r="F14" i="35"/>
  <c r="V14" i="35"/>
  <c r="J14" i="35" s="1"/>
  <c r="U17" i="35"/>
  <c r="H17" i="35" s="1"/>
  <c r="H11" i="35"/>
  <c r="V11" i="35"/>
  <c r="J11" i="35" s="1"/>
  <c r="F22" i="35"/>
  <c r="T22" i="35"/>
  <c r="U22" i="35" s="1"/>
  <c r="U12" i="35"/>
  <c r="H12" i="35" s="1"/>
  <c r="F18" i="35"/>
  <c r="F13" i="35"/>
  <c r="V13" i="35"/>
  <c r="J13" i="35" s="1"/>
  <c r="F9" i="35"/>
  <c r="T9" i="35"/>
  <c r="H19" i="34"/>
  <c r="V18" i="34"/>
  <c r="J18" i="34" s="1"/>
  <c r="T22" i="34"/>
  <c r="G22" i="34" s="1"/>
  <c r="H9" i="34"/>
  <c r="X9" i="34"/>
  <c r="I9" i="34" s="1"/>
  <c r="W19" i="34"/>
  <c r="K19" i="34" s="1"/>
  <c r="U11" i="34"/>
  <c r="H11" i="34" s="1"/>
  <c r="T15" i="34"/>
  <c r="G15" i="34" s="1"/>
  <c r="J13" i="34"/>
  <c r="W13" i="34"/>
  <c r="K13" i="34" s="1"/>
  <c r="G11" i="34"/>
  <c r="F22" i="34"/>
  <c r="J16" i="34"/>
  <c r="W16" i="34"/>
  <c r="K16" i="34" s="1"/>
  <c r="J21" i="34"/>
  <c r="W21" i="34"/>
  <c r="F23" i="34"/>
  <c r="T23" i="34"/>
  <c r="G23" i="34" s="1"/>
  <c r="X16" i="34"/>
  <c r="I16" i="34" s="1"/>
  <c r="N16" i="34" s="1"/>
  <c r="G21" i="33"/>
  <c r="U17" i="33"/>
  <c r="H17" i="33" s="1"/>
  <c r="X12" i="33"/>
  <c r="I12" i="33" s="1"/>
  <c r="H19" i="33"/>
  <c r="V19" i="33"/>
  <c r="J19" i="33" s="1"/>
  <c r="T9" i="33"/>
  <c r="G9" i="33" s="1"/>
  <c r="V18" i="33"/>
  <c r="J18" i="33" s="1"/>
  <c r="U15" i="33"/>
  <c r="H15" i="33" s="1"/>
  <c r="G14" i="33"/>
  <c r="U14" i="33"/>
  <c r="H14" i="33" s="1"/>
  <c r="N12" i="33"/>
  <c r="U11" i="33"/>
  <c r="V11" i="33" s="1"/>
  <c r="J11" i="33" s="1"/>
  <c r="W20" i="33"/>
  <c r="K20" i="33" s="1"/>
  <c r="U9" i="33"/>
  <c r="H9" i="33" s="1"/>
  <c r="V10" i="33"/>
  <c r="W16" i="33"/>
  <c r="F13" i="33"/>
  <c r="T13" i="33"/>
  <c r="U21" i="33"/>
  <c r="H21" i="33" s="1"/>
  <c r="U10" i="30"/>
  <c r="H10" i="30" s="1"/>
  <c r="H25" i="30"/>
  <c r="X25" i="30"/>
  <c r="I25" i="30" s="1"/>
  <c r="V25" i="30"/>
  <c r="J25" i="30" s="1"/>
  <c r="N17" i="30"/>
  <c r="N25" i="30"/>
  <c r="G14" i="30"/>
  <c r="U14" i="30"/>
  <c r="G18" i="30"/>
  <c r="U18" i="30"/>
  <c r="H18" i="30" s="1"/>
  <c r="W17" i="30"/>
  <c r="K17" i="30" s="1"/>
  <c r="G27" i="30"/>
  <c r="G13" i="30"/>
  <c r="H12" i="30"/>
  <c r="X12" i="30"/>
  <c r="I12" i="30" s="1"/>
  <c r="V9" i="30"/>
  <c r="J9" i="30" s="1"/>
  <c r="T11" i="30"/>
  <c r="G11" i="30" s="1"/>
  <c r="G23" i="30"/>
  <c r="V23" i="30"/>
  <c r="J23" i="30" s="1"/>
  <c r="F15" i="30"/>
  <c r="T15" i="30"/>
  <c r="G15" i="30" s="1"/>
  <c r="G21" i="30"/>
  <c r="U27" i="30"/>
  <c r="X17" i="30"/>
  <c r="I17" i="30" s="1"/>
  <c r="U21" i="30"/>
  <c r="H21" i="30" s="1"/>
  <c r="X22" i="30"/>
  <c r="I22" i="30" s="1"/>
  <c r="N22" i="30" s="1"/>
  <c r="G9" i="30"/>
  <c r="W9" i="30"/>
  <c r="K9" i="30" s="1"/>
  <c r="V14" i="30"/>
  <c r="J14" i="30" s="1"/>
  <c r="V13" i="30"/>
  <c r="J13" i="30" s="1"/>
  <c r="G25" i="30"/>
  <c r="W25" i="30"/>
  <c r="K25" i="30" s="1"/>
  <c r="U29" i="30"/>
  <c r="F11" i="30"/>
  <c r="F19" i="30"/>
  <c r="T19" i="30"/>
  <c r="G19" i="30" s="1"/>
  <c r="U19" i="30"/>
  <c r="H19" i="30" s="1"/>
  <c r="H18" i="32"/>
  <c r="W21" i="32"/>
  <c r="K21" i="32" s="1"/>
  <c r="H11" i="32"/>
  <c r="W11" i="32"/>
  <c r="K11" i="32" s="1"/>
  <c r="X11" i="32"/>
  <c r="I11" i="32" s="1"/>
  <c r="W16" i="32"/>
  <c r="K16" i="32" s="1"/>
  <c r="W14" i="32"/>
  <c r="V16" i="32"/>
  <c r="J16" i="32" s="1"/>
  <c r="F25" i="32"/>
  <c r="T25" i="32"/>
  <c r="G25" i="32" s="1"/>
  <c r="F13" i="32"/>
  <c r="T13" i="32"/>
  <c r="U13" i="32" s="1"/>
  <c r="U10" i="32"/>
  <c r="H10" i="32" s="1"/>
  <c r="H28" i="32"/>
  <c r="F29" i="32"/>
  <c r="T29" i="32"/>
  <c r="G29" i="32" s="1"/>
  <c r="T10" i="32"/>
  <c r="G10" i="32" s="1"/>
  <c r="X21" i="32"/>
  <c r="I21" i="32" s="1"/>
  <c r="V18" i="32"/>
  <c r="J18" i="32" s="1"/>
  <c r="H23" i="32"/>
  <c r="V23" i="32"/>
  <c r="W28" i="32"/>
  <c r="K28" i="32" s="1"/>
  <c r="J19" i="32"/>
  <c r="W19" i="32"/>
  <c r="F20" i="32"/>
  <c r="T20" i="32"/>
  <c r="F22" i="32"/>
  <c r="T22" i="32"/>
  <c r="U17" i="32"/>
  <c r="H17" i="32" s="1"/>
  <c r="F21" i="32"/>
  <c r="V21" i="32"/>
  <c r="J21" i="32" s="1"/>
  <c r="F9" i="32"/>
  <c r="V9" i="32"/>
  <c r="J9" i="32" s="1"/>
  <c r="W9" i="32"/>
  <c r="K9" i="32" s="1"/>
  <c r="V24" i="32"/>
  <c r="T12" i="32"/>
  <c r="G12" i="32" s="1"/>
  <c r="H16" i="31"/>
  <c r="V16" i="31"/>
  <c r="J16" i="31" s="1"/>
  <c r="V11" i="31"/>
  <c r="V28" i="31"/>
  <c r="J28" i="31" s="1"/>
  <c r="U20" i="31"/>
  <c r="H20" i="31" s="1"/>
  <c r="X22" i="31"/>
  <c r="I22" i="31" s="1"/>
  <c r="N22" i="31" s="1"/>
  <c r="H19" i="31"/>
  <c r="V19" i="31"/>
  <c r="V29" i="31"/>
  <c r="W13" i="31"/>
  <c r="X15" i="31"/>
  <c r="I15" i="31" s="1"/>
  <c r="W22" i="31"/>
  <c r="K22" i="31" s="1"/>
  <c r="X25" i="31"/>
  <c r="I25" i="31" s="1"/>
  <c r="N25" i="31" s="1"/>
  <c r="J17" i="31"/>
  <c r="W17" i="31"/>
  <c r="K17" i="31" s="1"/>
  <c r="X27" i="31"/>
  <c r="I27" i="31" s="1"/>
  <c r="N27" i="31" s="1"/>
  <c r="G12" i="31"/>
  <c r="U12" i="31"/>
  <c r="V15" i="31"/>
  <c r="J15" i="31" s="1"/>
  <c r="W15" i="31"/>
  <c r="K15" i="31" s="1"/>
  <c r="N15" i="31" s="1"/>
  <c r="G21" i="31"/>
  <c r="U10" i="31"/>
  <c r="H10" i="31" s="1"/>
  <c r="G26" i="31"/>
  <c r="U26" i="31"/>
  <c r="H26" i="31" s="1"/>
  <c r="U24" i="31"/>
  <c r="H24" i="31" s="1"/>
  <c r="U21" i="31"/>
  <c r="H21" i="31" s="1"/>
  <c r="F18" i="31"/>
  <c r="W18" i="31"/>
  <c r="T14" i="31"/>
  <c r="U27" i="29"/>
  <c r="H27" i="29" s="1"/>
  <c r="G28" i="29"/>
  <c r="U28" i="29"/>
  <c r="H28" i="29" s="1"/>
  <c r="V28" i="29"/>
  <c r="J28" i="29" s="1"/>
  <c r="U17" i="29"/>
  <c r="H17" i="29" s="1"/>
  <c r="J20" i="29"/>
  <c r="X20" i="29"/>
  <c r="I20" i="29" s="1"/>
  <c r="W28" i="29"/>
  <c r="K28" i="29" s="1"/>
  <c r="H21" i="29"/>
  <c r="V21" i="29"/>
  <c r="J21" i="29" s="1"/>
  <c r="G16" i="29"/>
  <c r="V16" i="29"/>
  <c r="J16" i="29" s="1"/>
  <c r="U16" i="29"/>
  <c r="G25" i="29"/>
  <c r="U25" i="29"/>
  <c r="H25" i="29" s="1"/>
  <c r="V19" i="29"/>
  <c r="J19" i="29" s="1"/>
  <c r="G26" i="29"/>
  <c r="V26" i="29"/>
  <c r="J26" i="29" s="1"/>
  <c r="V17" i="29"/>
  <c r="J17" i="29" s="1"/>
  <c r="X13" i="29"/>
  <c r="I13" i="29" s="1"/>
  <c r="T14" i="29"/>
  <c r="G14" i="29" s="1"/>
  <c r="G24" i="29"/>
  <c r="V24" i="29"/>
  <c r="J24" i="29" s="1"/>
  <c r="N13" i="29"/>
  <c r="H9" i="29"/>
  <c r="W9" i="29"/>
  <c r="K9" i="29" s="1"/>
  <c r="F22" i="29"/>
  <c r="V25" i="29"/>
  <c r="J25" i="29" s="1"/>
  <c r="U11" i="29"/>
  <c r="U10" i="29"/>
  <c r="J29" i="29"/>
  <c r="W29" i="29"/>
  <c r="K29" i="29" s="1"/>
  <c r="U24" i="29"/>
  <c r="H24" i="29" s="1"/>
  <c r="U12" i="29"/>
  <c r="V15" i="29"/>
  <c r="T22" i="29"/>
  <c r="T18" i="29"/>
  <c r="G18" i="29" s="1"/>
  <c r="U23" i="29"/>
  <c r="H23" i="29" s="1"/>
  <c r="W19" i="35" l="1"/>
  <c r="K19" i="35" s="1"/>
  <c r="X15" i="35"/>
  <c r="I15" i="35" s="1"/>
  <c r="N15" i="35" s="1"/>
  <c r="J16" i="35"/>
  <c r="W16" i="35"/>
  <c r="X13" i="34"/>
  <c r="I13" i="34" s="1"/>
  <c r="N13" i="34" s="1"/>
  <c r="U14" i="34"/>
  <c r="H14" i="34" s="1"/>
  <c r="X19" i="34"/>
  <c r="I19" i="34" s="1"/>
  <c r="H10" i="34"/>
  <c r="V10" i="34"/>
  <c r="J10" i="34" s="1"/>
  <c r="V11" i="34"/>
  <c r="J11" i="34" s="1"/>
  <c r="J17" i="34"/>
  <c r="W17" i="34"/>
  <c r="W20" i="34"/>
  <c r="K20" i="34" s="1"/>
  <c r="H20" i="34"/>
  <c r="X23" i="33"/>
  <c r="I23" i="33" s="1"/>
  <c r="N23" i="33" s="1"/>
  <c r="V21" i="33"/>
  <c r="J21" i="33" s="1"/>
  <c r="W22" i="33"/>
  <c r="K22" i="33" s="1"/>
  <c r="V15" i="33"/>
  <c r="J15" i="33" s="1"/>
  <c r="X20" i="33"/>
  <c r="I20" i="33" s="1"/>
  <c r="N20" i="33" s="1"/>
  <c r="V17" i="33"/>
  <c r="J17" i="33" s="1"/>
  <c r="X22" i="33"/>
  <c r="I22" i="33" s="1"/>
  <c r="N22" i="33" s="1"/>
  <c r="H22" i="35"/>
  <c r="V22" i="35"/>
  <c r="J22" i="35" s="1"/>
  <c r="V17" i="35"/>
  <c r="J17" i="35" s="1"/>
  <c r="G12" i="35"/>
  <c r="V12" i="35"/>
  <c r="J12" i="35" s="1"/>
  <c r="J20" i="35"/>
  <c r="W20" i="35"/>
  <c r="W13" i="35"/>
  <c r="X14" i="35"/>
  <c r="I14" i="35" s="1"/>
  <c r="N14" i="35" s="1"/>
  <c r="G22" i="35"/>
  <c r="W14" i="35"/>
  <c r="K14" i="35" s="1"/>
  <c r="W11" i="35"/>
  <c r="G9" i="35"/>
  <c r="U9" i="35"/>
  <c r="H9" i="35" s="1"/>
  <c r="J10" i="35"/>
  <c r="W10" i="35"/>
  <c r="K10" i="35" s="1"/>
  <c r="G18" i="35"/>
  <c r="U18" i="35"/>
  <c r="G21" i="35"/>
  <c r="U21" i="35"/>
  <c r="W18" i="34"/>
  <c r="K18" i="34" s="1"/>
  <c r="K21" i="34"/>
  <c r="X21" i="34"/>
  <c r="I21" i="34" s="1"/>
  <c r="N21" i="34" s="1"/>
  <c r="U15" i="34"/>
  <c r="H15" i="34" s="1"/>
  <c r="U22" i="34"/>
  <c r="U23" i="34"/>
  <c r="H23" i="34" s="1"/>
  <c r="N9" i="34"/>
  <c r="N19" i="34"/>
  <c r="W18" i="33"/>
  <c r="K18" i="33" s="1"/>
  <c r="H11" i="33"/>
  <c r="W11" i="33"/>
  <c r="K11" i="33" s="1"/>
  <c r="W15" i="33"/>
  <c r="W19" i="33"/>
  <c r="W21" i="33"/>
  <c r="K16" i="33"/>
  <c r="X16" i="33"/>
  <c r="I16" i="33" s="1"/>
  <c r="V14" i="33"/>
  <c r="G13" i="33"/>
  <c r="U13" i="33"/>
  <c r="H13" i="33" s="1"/>
  <c r="V9" i="33"/>
  <c r="J9" i="33" s="1"/>
  <c r="J10" i="33"/>
  <c r="W10" i="33"/>
  <c r="K10" i="33" s="1"/>
  <c r="V10" i="30"/>
  <c r="J10" i="30" s="1"/>
  <c r="V18" i="30"/>
  <c r="X9" i="30"/>
  <c r="I9" i="30" s="1"/>
  <c r="N9" i="30" s="1"/>
  <c r="H14" i="30"/>
  <c r="W14" i="30"/>
  <c r="V21" i="30"/>
  <c r="U11" i="30"/>
  <c r="W23" i="30"/>
  <c r="K23" i="30" s="1"/>
  <c r="H29" i="30"/>
  <c r="V29" i="30"/>
  <c r="J29" i="30" s="1"/>
  <c r="X23" i="30"/>
  <c r="I23" i="30" s="1"/>
  <c r="N23" i="30" s="1"/>
  <c r="U15" i="30"/>
  <c r="N12" i="30"/>
  <c r="V19" i="30"/>
  <c r="J19" i="30" s="1"/>
  <c r="H27" i="30"/>
  <c r="V27" i="30"/>
  <c r="W13" i="30"/>
  <c r="H13" i="32"/>
  <c r="V13" i="32"/>
  <c r="J13" i="32" s="1"/>
  <c r="J24" i="32"/>
  <c r="W24" i="32"/>
  <c r="K24" i="32" s="1"/>
  <c r="N21" i="32"/>
  <c r="X9" i="32"/>
  <c r="I9" i="32" s="1"/>
  <c r="N9" i="32" s="1"/>
  <c r="K19" i="32"/>
  <c r="X19" i="32"/>
  <c r="I19" i="32" s="1"/>
  <c r="W18" i="32"/>
  <c r="K18" i="32" s="1"/>
  <c r="N11" i="32"/>
  <c r="W12" i="32"/>
  <c r="K12" i="32" s="1"/>
  <c r="G22" i="32"/>
  <c r="U22" i="32"/>
  <c r="V17" i="32"/>
  <c r="J17" i="32" s="1"/>
  <c r="G13" i="32"/>
  <c r="W17" i="32"/>
  <c r="U12" i="32"/>
  <c r="H12" i="32" s="1"/>
  <c r="W13" i="32"/>
  <c r="K13" i="32" s="1"/>
  <c r="V10" i="32"/>
  <c r="J10" i="32" s="1"/>
  <c r="U25" i="32"/>
  <c r="H25" i="32" s="1"/>
  <c r="G20" i="32"/>
  <c r="U20" i="32"/>
  <c r="H20" i="32" s="1"/>
  <c r="V12" i="32"/>
  <c r="J12" i="32" s="1"/>
  <c r="W10" i="32"/>
  <c r="K10" i="32" s="1"/>
  <c r="V20" i="32"/>
  <c r="J20" i="32" s="1"/>
  <c r="J23" i="32"/>
  <c r="W23" i="32"/>
  <c r="X28" i="32"/>
  <c r="I28" i="32" s="1"/>
  <c r="N28" i="32" s="1"/>
  <c r="X16" i="32"/>
  <c r="I16" i="32" s="1"/>
  <c r="N16" i="32" s="1"/>
  <c r="K14" i="32"/>
  <c r="X14" i="32"/>
  <c r="I14" i="32" s="1"/>
  <c r="X18" i="32"/>
  <c r="I18" i="32" s="1"/>
  <c r="N18" i="32" s="1"/>
  <c r="U29" i="32"/>
  <c r="G14" i="31"/>
  <c r="U14" i="31"/>
  <c r="H14" i="31" s="1"/>
  <c r="V26" i="31"/>
  <c r="J11" i="31"/>
  <c r="W11" i="31"/>
  <c r="K11" i="31" s="1"/>
  <c r="K13" i="31"/>
  <c r="X13" i="31"/>
  <c r="I13" i="31" s="1"/>
  <c r="K18" i="31"/>
  <c r="X18" i="31"/>
  <c r="I18" i="31" s="1"/>
  <c r="N18" i="31" s="1"/>
  <c r="X17" i="31"/>
  <c r="I17" i="31" s="1"/>
  <c r="N17" i="31" s="1"/>
  <c r="W16" i="31"/>
  <c r="W10" i="31"/>
  <c r="K10" i="31" s="1"/>
  <c r="V10" i="31"/>
  <c r="X11" i="31"/>
  <c r="I11" i="31" s="1"/>
  <c r="N11" i="31" s="1"/>
  <c r="W28" i="31"/>
  <c r="H12" i="31"/>
  <c r="V12" i="31"/>
  <c r="J12" i="31" s="1"/>
  <c r="J29" i="31"/>
  <c r="W29" i="31"/>
  <c r="K29" i="31" s="1"/>
  <c r="V20" i="31"/>
  <c r="J20" i="31" s="1"/>
  <c r="J19" i="31"/>
  <c r="V21" i="31"/>
  <c r="V24" i="31"/>
  <c r="W19" i="31"/>
  <c r="K19" i="31" s="1"/>
  <c r="V27" i="29"/>
  <c r="W27" i="29" s="1"/>
  <c r="K27" i="29" s="1"/>
  <c r="N20" i="29"/>
  <c r="V23" i="29"/>
  <c r="J23" i="29" s="1"/>
  <c r="X28" i="29"/>
  <c r="I28" i="29" s="1"/>
  <c r="N28" i="29" s="1"/>
  <c r="V18" i="29"/>
  <c r="J18" i="29" s="1"/>
  <c r="W17" i="29"/>
  <c r="K17" i="29" s="1"/>
  <c r="H10" i="29"/>
  <c r="V10" i="29"/>
  <c r="J10" i="29" s="1"/>
  <c r="X9" i="29"/>
  <c r="I9" i="29" s="1"/>
  <c r="W26" i="29"/>
  <c r="K26" i="29" s="1"/>
  <c r="H16" i="29"/>
  <c r="W16" i="29"/>
  <c r="K16" i="29" s="1"/>
  <c r="J15" i="29"/>
  <c r="W15" i="29"/>
  <c r="X17" i="29"/>
  <c r="I17" i="29" s="1"/>
  <c r="N17" i="29" s="1"/>
  <c r="G22" i="29"/>
  <c r="U22" i="29"/>
  <c r="H11" i="29"/>
  <c r="W23" i="29"/>
  <c r="K23" i="29" s="1"/>
  <c r="V14" i="29"/>
  <c r="J14" i="29" s="1"/>
  <c r="H12" i="29"/>
  <c r="V12" i="29"/>
  <c r="J12" i="29" s="1"/>
  <c r="W19" i="29"/>
  <c r="N9" i="29"/>
  <c r="W25" i="29"/>
  <c r="W21" i="29"/>
  <c r="K21" i="29" s="1"/>
  <c r="W24" i="29"/>
  <c r="K24" i="29" s="1"/>
  <c r="V11" i="29"/>
  <c r="V22" i="29"/>
  <c r="J22" i="29" s="1"/>
  <c r="U18" i="29"/>
  <c r="H18" i="29" s="1"/>
  <c r="U14" i="29"/>
  <c r="H14" i="29" s="1"/>
  <c r="X29" i="29"/>
  <c r="I29" i="29" s="1"/>
  <c r="N29" i="29" s="1"/>
  <c r="X19" i="35" l="1"/>
  <c r="I19" i="35" s="1"/>
  <c r="V9" i="35"/>
  <c r="K16" i="35"/>
  <c r="X16" i="35"/>
  <c r="I16" i="35" s="1"/>
  <c r="N16" i="35" s="1"/>
  <c r="X10" i="35"/>
  <c r="I10" i="35" s="1"/>
  <c r="N10" i="35" s="1"/>
  <c r="W11" i="34"/>
  <c r="V14" i="34"/>
  <c r="X20" i="34"/>
  <c r="I20" i="34" s="1"/>
  <c r="N20" i="34" s="1"/>
  <c r="K17" i="34"/>
  <c r="X17" i="34"/>
  <c r="I17" i="34" s="1"/>
  <c r="N17" i="34" s="1"/>
  <c r="W10" i="34"/>
  <c r="K10" i="34" s="1"/>
  <c r="W17" i="33"/>
  <c r="X18" i="33"/>
  <c r="I18" i="33" s="1"/>
  <c r="N18" i="33" s="1"/>
  <c r="X11" i="33"/>
  <c r="I11" i="33" s="1"/>
  <c r="K13" i="35"/>
  <c r="X13" i="35"/>
  <c r="I13" i="35" s="1"/>
  <c r="N19" i="35"/>
  <c r="H18" i="35"/>
  <c r="V18" i="35"/>
  <c r="J18" i="35" s="1"/>
  <c r="W18" i="35"/>
  <c r="K11" i="35"/>
  <c r="X11" i="35"/>
  <c r="I11" i="35" s="1"/>
  <c r="K20" i="35"/>
  <c r="X20" i="35"/>
  <c r="I20" i="35" s="1"/>
  <c r="H21" i="35"/>
  <c r="V21" i="35"/>
  <c r="J21" i="35" s="1"/>
  <c r="W17" i="35"/>
  <c r="W22" i="35"/>
  <c r="K22" i="35" s="1"/>
  <c r="W12" i="35"/>
  <c r="K12" i="35" s="1"/>
  <c r="K11" i="34"/>
  <c r="X11" i="34"/>
  <c r="I11" i="34" s="1"/>
  <c r="N11" i="34" s="1"/>
  <c r="V23" i="34"/>
  <c r="J23" i="34" s="1"/>
  <c r="V15" i="34"/>
  <c r="J15" i="34" s="1"/>
  <c r="X18" i="34"/>
  <c r="I18" i="34" s="1"/>
  <c r="N18" i="34" s="1"/>
  <c r="H22" i="34"/>
  <c r="V22" i="34"/>
  <c r="J22" i="34" s="1"/>
  <c r="N16" i="33"/>
  <c r="K19" i="33"/>
  <c r="X19" i="33"/>
  <c r="I19" i="33" s="1"/>
  <c r="K15" i="33"/>
  <c r="X15" i="33"/>
  <c r="I15" i="33" s="1"/>
  <c r="V13" i="33"/>
  <c r="X10" i="33"/>
  <c r="I10" i="33" s="1"/>
  <c r="N10" i="33" s="1"/>
  <c r="N11" i="33"/>
  <c r="J14" i="33"/>
  <c r="W9" i="33"/>
  <c r="W14" i="33"/>
  <c r="K14" i="33" s="1"/>
  <c r="K17" i="33"/>
  <c r="X17" i="33"/>
  <c r="I17" i="33" s="1"/>
  <c r="K21" i="33"/>
  <c r="X21" i="33"/>
  <c r="I21" i="33" s="1"/>
  <c r="W10" i="30"/>
  <c r="H15" i="30"/>
  <c r="V15" i="30"/>
  <c r="K13" i="30"/>
  <c r="X13" i="30"/>
  <c r="I13" i="30" s="1"/>
  <c r="H11" i="30"/>
  <c r="V11" i="30"/>
  <c r="J11" i="30" s="1"/>
  <c r="W19" i="30"/>
  <c r="W29" i="30"/>
  <c r="J27" i="30"/>
  <c r="W27" i="30"/>
  <c r="J21" i="30"/>
  <c r="W21" i="30"/>
  <c r="J18" i="30"/>
  <c r="W18" i="30"/>
  <c r="K14" i="30"/>
  <c r="N14" i="30" s="1"/>
  <c r="X14" i="30"/>
  <c r="I14" i="30" s="1"/>
  <c r="X12" i="32"/>
  <c r="I12" i="32" s="1"/>
  <c r="N12" i="32" s="1"/>
  <c r="X10" i="32"/>
  <c r="I10" i="32" s="1"/>
  <c r="N10" i="32" s="1"/>
  <c r="V29" i="32"/>
  <c r="J29" i="32" s="1"/>
  <c r="N14" i="32"/>
  <c r="W25" i="32"/>
  <c r="H29" i="32"/>
  <c r="X13" i="32"/>
  <c r="I13" i="32" s="1"/>
  <c r="N13" i="32" s="1"/>
  <c r="N19" i="32"/>
  <c r="V25" i="32"/>
  <c r="J25" i="32" s="1"/>
  <c r="K23" i="32"/>
  <c r="X23" i="32"/>
  <c r="I23" i="32" s="1"/>
  <c r="W20" i="32"/>
  <c r="H22" i="32"/>
  <c r="V22" i="32"/>
  <c r="X24" i="32"/>
  <c r="I24" i="32" s="1"/>
  <c r="N24" i="32" s="1"/>
  <c r="K17" i="32"/>
  <c r="X17" i="32"/>
  <c r="I17" i="32" s="1"/>
  <c r="J24" i="31"/>
  <c r="W24" i="31"/>
  <c r="W20" i="31"/>
  <c r="J21" i="31"/>
  <c r="W21" i="31"/>
  <c r="X29" i="31"/>
  <c r="I29" i="31" s="1"/>
  <c r="N29" i="31" s="1"/>
  <c r="J10" i="31"/>
  <c r="X10" i="31"/>
  <c r="I10" i="31" s="1"/>
  <c r="N10" i="31" s="1"/>
  <c r="N13" i="31"/>
  <c r="V14" i="31"/>
  <c r="X19" i="31"/>
  <c r="I19" i="31" s="1"/>
  <c r="N19" i="31" s="1"/>
  <c r="J26" i="31"/>
  <c r="W26" i="31"/>
  <c r="K28" i="31"/>
  <c r="X28" i="31"/>
  <c r="I28" i="31" s="1"/>
  <c r="N28" i="31" s="1"/>
  <c r="K16" i="31"/>
  <c r="N16" i="31" s="1"/>
  <c r="X16" i="31"/>
  <c r="I16" i="31" s="1"/>
  <c r="W12" i="31"/>
  <c r="K12" i="31" s="1"/>
  <c r="X24" i="29"/>
  <c r="I24" i="29" s="1"/>
  <c r="N24" i="29" s="1"/>
  <c r="J27" i="29"/>
  <c r="W12" i="29"/>
  <c r="K12" i="29" s="1"/>
  <c r="W14" i="29"/>
  <c r="K14" i="29" s="1"/>
  <c r="J11" i="29"/>
  <c r="X11" i="29"/>
  <c r="I11" i="29" s="1"/>
  <c r="N11" i="29" s="1"/>
  <c r="K15" i="29"/>
  <c r="X15" i="29"/>
  <c r="I15" i="29" s="1"/>
  <c r="N15" i="29" s="1"/>
  <c r="X23" i="29"/>
  <c r="I23" i="29" s="1"/>
  <c r="N23" i="29" s="1"/>
  <c r="W11" i="29"/>
  <c r="K11" i="29" s="1"/>
  <c r="X14" i="29"/>
  <c r="I14" i="29" s="1"/>
  <c r="K19" i="29"/>
  <c r="X19" i="29"/>
  <c r="I19" i="29" s="1"/>
  <c r="N19" i="29" s="1"/>
  <c r="X21" i="29"/>
  <c r="I21" i="29" s="1"/>
  <c r="N21" i="29" s="1"/>
  <c r="W18" i="29"/>
  <c r="W10" i="29"/>
  <c r="K10" i="29" s="1"/>
  <c r="X16" i="29"/>
  <c r="I16" i="29" s="1"/>
  <c r="N16" i="29" s="1"/>
  <c r="W22" i="29"/>
  <c r="K22" i="29" s="1"/>
  <c r="H22" i="29"/>
  <c r="X26" i="29"/>
  <c r="I26" i="29" s="1"/>
  <c r="N26" i="29" s="1"/>
  <c r="X27" i="29"/>
  <c r="I27" i="29" s="1"/>
  <c r="N27" i="29" s="1"/>
  <c r="K25" i="29"/>
  <c r="X25" i="29"/>
  <c r="I25" i="29" s="1"/>
  <c r="X12" i="29"/>
  <c r="I12" i="29" s="1"/>
  <c r="N12" i="29" s="1"/>
  <c r="X12" i="35" l="1"/>
  <c r="I12" i="35" s="1"/>
  <c r="N12" i="35" s="1"/>
  <c r="J9" i="35"/>
  <c r="W9" i="35"/>
  <c r="K9" i="35" s="1"/>
  <c r="N13" i="35"/>
  <c r="J14" i="34"/>
  <c r="W14" i="34"/>
  <c r="K14" i="34" s="1"/>
  <c r="X10" i="34"/>
  <c r="I10" i="34" s="1"/>
  <c r="N10" i="34" s="1"/>
  <c r="W23" i="34"/>
  <c r="K23" i="34" s="1"/>
  <c r="X14" i="34"/>
  <c r="I14" i="34" s="1"/>
  <c r="N14" i="34" s="1"/>
  <c r="N19" i="33"/>
  <c r="K18" i="35"/>
  <c r="X18" i="35"/>
  <c r="I18" i="35" s="1"/>
  <c r="W21" i="35"/>
  <c r="N20" i="35"/>
  <c r="K17" i="35"/>
  <c r="X17" i="35"/>
  <c r="I17" i="35" s="1"/>
  <c r="X22" i="35"/>
  <c r="I22" i="35" s="1"/>
  <c r="N22" i="35" s="1"/>
  <c r="N11" i="35"/>
  <c r="W15" i="34"/>
  <c r="X23" i="34"/>
  <c r="I23" i="34" s="1"/>
  <c r="W22" i="34"/>
  <c r="K9" i="33"/>
  <c r="N9" i="33" s="1"/>
  <c r="X9" i="33"/>
  <c r="I9" i="33" s="1"/>
  <c r="X14" i="33"/>
  <c r="I14" i="33" s="1"/>
  <c r="N14" i="33" s="1"/>
  <c r="N15" i="33"/>
  <c r="N21" i="33"/>
  <c r="J13" i="33"/>
  <c r="W13" i="33"/>
  <c r="N17" i="33"/>
  <c r="K10" i="30"/>
  <c r="X10" i="30"/>
  <c r="I10" i="30" s="1"/>
  <c r="K19" i="30"/>
  <c r="X19" i="30"/>
  <c r="I19" i="30" s="1"/>
  <c r="N19" i="30" s="1"/>
  <c r="K21" i="30"/>
  <c r="X21" i="30"/>
  <c r="I21" i="30" s="1"/>
  <c r="K27" i="30"/>
  <c r="X27" i="30"/>
  <c r="I27" i="30" s="1"/>
  <c r="N13" i="30"/>
  <c r="J15" i="30"/>
  <c r="W15" i="30"/>
  <c r="K18" i="30"/>
  <c r="X18" i="30"/>
  <c r="I18" i="30" s="1"/>
  <c r="K29" i="30"/>
  <c r="X29" i="30"/>
  <c r="I29" i="30" s="1"/>
  <c r="W11" i="30"/>
  <c r="K20" i="32"/>
  <c r="X20" i="32"/>
  <c r="I20" i="32" s="1"/>
  <c r="N23" i="32"/>
  <c r="N17" i="32"/>
  <c r="J22" i="32"/>
  <c r="W22" i="32"/>
  <c r="X29" i="32"/>
  <c r="I29" i="32" s="1"/>
  <c r="K25" i="32"/>
  <c r="N25" i="32" s="1"/>
  <c r="X25" i="32"/>
  <c r="I25" i="32" s="1"/>
  <c r="W29" i="32"/>
  <c r="K29" i="32" s="1"/>
  <c r="N29" i="32" s="1"/>
  <c r="K21" i="31"/>
  <c r="X21" i="31"/>
  <c r="I21" i="31" s="1"/>
  <c r="N21" i="31" s="1"/>
  <c r="K26" i="31"/>
  <c r="X26" i="31"/>
  <c r="I26" i="31" s="1"/>
  <c r="K20" i="31"/>
  <c r="X20" i="31"/>
  <c r="I20" i="31" s="1"/>
  <c r="K24" i="31"/>
  <c r="N24" i="31" s="1"/>
  <c r="X24" i="31"/>
  <c r="I24" i="31" s="1"/>
  <c r="X12" i="31"/>
  <c r="I12" i="31" s="1"/>
  <c r="N12" i="31" s="1"/>
  <c r="J14" i="31"/>
  <c r="W14" i="31"/>
  <c r="K18" i="29"/>
  <c r="N18" i="29" s="1"/>
  <c r="X18" i="29"/>
  <c r="I18" i="29" s="1"/>
  <c r="N25" i="29"/>
  <c r="X22" i="29"/>
  <c r="I22" i="29" s="1"/>
  <c r="N22" i="29" s="1"/>
  <c r="N14" i="29"/>
  <c r="X10" i="29"/>
  <c r="I10" i="29" s="1"/>
  <c r="N10" i="29" s="1"/>
  <c r="X9" i="35" l="1"/>
  <c r="I9" i="35" s="1"/>
  <c r="N9" i="35" s="1"/>
  <c r="K21" i="35"/>
  <c r="X21" i="35"/>
  <c r="I21" i="35" s="1"/>
  <c r="N17" i="35"/>
  <c r="N18" i="35"/>
  <c r="K22" i="34"/>
  <c r="X22" i="34"/>
  <c r="I22" i="34" s="1"/>
  <c r="N23" i="34"/>
  <c r="K15" i="34"/>
  <c r="X15" i="34"/>
  <c r="I15" i="34" s="1"/>
  <c r="K13" i="33"/>
  <c r="X13" i="33"/>
  <c r="I13" i="33" s="1"/>
  <c r="N10" i="30"/>
  <c r="N27" i="30"/>
  <c r="N18" i="30"/>
  <c r="N21" i="30"/>
  <c r="K11" i="30"/>
  <c r="X11" i="30"/>
  <c r="I11" i="30" s="1"/>
  <c r="N29" i="30"/>
  <c r="K15" i="30"/>
  <c r="X15" i="30"/>
  <c r="I15" i="30" s="1"/>
  <c r="K22" i="32"/>
  <c r="X22" i="32"/>
  <c r="I22" i="32" s="1"/>
  <c r="N20" i="32"/>
  <c r="K14" i="31"/>
  <c r="X14" i="31"/>
  <c r="I14" i="31" s="1"/>
  <c r="N26" i="31"/>
  <c r="N20" i="31"/>
  <c r="N21" i="35" l="1"/>
  <c r="N15" i="34"/>
  <c r="N22" i="34"/>
  <c r="N13" i="33"/>
  <c r="N15" i="30"/>
  <c r="N11" i="30"/>
  <c r="N22" i="32"/>
  <c r="N14" i="31"/>
  <c r="P24" i="28" l="1"/>
  <c r="P23" i="28"/>
  <c r="Q23" i="28" s="1"/>
  <c r="D23" i="28" s="1"/>
  <c r="P22" i="28"/>
  <c r="Q22" i="28" s="1"/>
  <c r="D22" i="28" s="1"/>
  <c r="P21" i="28"/>
  <c r="Q21" i="28" s="1"/>
  <c r="P20" i="28"/>
  <c r="P19" i="28"/>
  <c r="Q19" i="28" s="1"/>
  <c r="D19" i="28" s="1"/>
  <c r="P18" i="28"/>
  <c r="Q18" i="28" s="1"/>
  <c r="D18" i="28" s="1"/>
  <c r="P17" i="28"/>
  <c r="Q17" i="28" s="1"/>
  <c r="P16" i="28"/>
  <c r="P15" i="28"/>
  <c r="Q15" i="28" s="1"/>
  <c r="D15" i="28" s="1"/>
  <c r="P14" i="28"/>
  <c r="Q14" i="28" s="1"/>
  <c r="D14" i="28" s="1"/>
  <c r="P13" i="28"/>
  <c r="Q13" i="28" s="1"/>
  <c r="P12" i="28"/>
  <c r="P11" i="28"/>
  <c r="Q11" i="28" s="1"/>
  <c r="D11" i="28" s="1"/>
  <c r="P10" i="28"/>
  <c r="Q10" i="28" s="1"/>
  <c r="D10" i="28" s="1"/>
  <c r="Q9" i="28"/>
  <c r="P9" i="28"/>
  <c r="P24" i="27"/>
  <c r="Q24" i="27" s="1"/>
  <c r="D24" i="27" s="1"/>
  <c r="P23" i="27"/>
  <c r="P22" i="27"/>
  <c r="P21" i="27"/>
  <c r="Q21" i="27" s="1"/>
  <c r="Q20" i="27"/>
  <c r="D20" i="27" s="1"/>
  <c r="P20" i="27"/>
  <c r="P19" i="27"/>
  <c r="P18" i="27"/>
  <c r="Q17" i="27"/>
  <c r="P17" i="27"/>
  <c r="P16" i="27"/>
  <c r="Q16" i="27" s="1"/>
  <c r="D16" i="27" s="1"/>
  <c r="P15" i="27"/>
  <c r="P14" i="27"/>
  <c r="P13" i="27"/>
  <c r="Q13" i="27" s="1"/>
  <c r="Q12" i="27"/>
  <c r="D12" i="27" s="1"/>
  <c r="P12" i="27"/>
  <c r="P11" i="27"/>
  <c r="P10" i="27"/>
  <c r="P9" i="27"/>
  <c r="Q9" i="27" s="1"/>
  <c r="P24" i="26"/>
  <c r="Q24" i="26" s="1"/>
  <c r="D24" i="26" s="1"/>
  <c r="P23" i="26"/>
  <c r="Q23" i="26" s="1"/>
  <c r="D23" i="26" s="1"/>
  <c r="P22" i="26"/>
  <c r="P21" i="26"/>
  <c r="Q21" i="26" s="1"/>
  <c r="P20" i="26"/>
  <c r="P19" i="26"/>
  <c r="Q19" i="26" s="1"/>
  <c r="D19" i="26" s="1"/>
  <c r="P18" i="26"/>
  <c r="P17" i="26"/>
  <c r="Q17" i="26" s="1"/>
  <c r="P16" i="26"/>
  <c r="Q16" i="26" s="1"/>
  <c r="D16" i="26" s="1"/>
  <c r="P15" i="26"/>
  <c r="P14" i="26"/>
  <c r="P13" i="26"/>
  <c r="Q13" i="26" s="1"/>
  <c r="P12" i="26"/>
  <c r="Q12" i="26" s="1"/>
  <c r="P11" i="26"/>
  <c r="Q11" i="26" s="1"/>
  <c r="D11" i="26" s="1"/>
  <c r="P10" i="26"/>
  <c r="Q9" i="26"/>
  <c r="P9" i="26"/>
  <c r="P34" i="25"/>
  <c r="Q34" i="25" s="1"/>
  <c r="D34" i="25" s="1"/>
  <c r="P33" i="25"/>
  <c r="P32" i="25"/>
  <c r="P31" i="25"/>
  <c r="P30" i="25"/>
  <c r="Q30" i="25" s="1"/>
  <c r="D30" i="25" s="1"/>
  <c r="P29" i="25"/>
  <c r="P28" i="25"/>
  <c r="P27" i="25"/>
  <c r="Q27" i="25" s="1"/>
  <c r="D27" i="25" s="1"/>
  <c r="P26" i="25"/>
  <c r="Q26" i="25" s="1"/>
  <c r="D26" i="25" s="1"/>
  <c r="Q25" i="25"/>
  <c r="D25" i="25" s="1"/>
  <c r="P25" i="25"/>
  <c r="P24" i="25"/>
  <c r="Q23" i="25"/>
  <c r="P23" i="25"/>
  <c r="P22" i="25"/>
  <c r="Q22" i="25" s="1"/>
  <c r="D22" i="25" s="1"/>
  <c r="Q21" i="25"/>
  <c r="D21" i="25" s="1"/>
  <c r="P21" i="25"/>
  <c r="P20" i="25"/>
  <c r="P19" i="25"/>
  <c r="P18" i="25"/>
  <c r="Q18" i="25" s="1"/>
  <c r="D18" i="25" s="1"/>
  <c r="P17" i="25"/>
  <c r="P16" i="25"/>
  <c r="P15" i="25"/>
  <c r="P14" i="25"/>
  <c r="Q14" i="25" s="1"/>
  <c r="D14" i="25" s="1"/>
  <c r="P13" i="25"/>
  <c r="P12" i="25"/>
  <c r="P11" i="25"/>
  <c r="P10" i="25"/>
  <c r="Q10" i="25" s="1"/>
  <c r="D10" i="25" s="1"/>
  <c r="Q9" i="25"/>
  <c r="P9" i="25"/>
  <c r="Q42" i="24"/>
  <c r="P42" i="24"/>
  <c r="N42" i="24"/>
  <c r="Q41" i="24"/>
  <c r="R41" i="24" s="1"/>
  <c r="P41" i="24"/>
  <c r="N41" i="24"/>
  <c r="P40" i="24"/>
  <c r="N40" i="24"/>
  <c r="P39" i="24"/>
  <c r="N39" i="24"/>
  <c r="Q38" i="24"/>
  <c r="P38" i="24"/>
  <c r="N38" i="24"/>
  <c r="Q37" i="24"/>
  <c r="P37" i="24"/>
  <c r="R37" i="24" s="1"/>
  <c r="N37" i="24"/>
  <c r="P36" i="24"/>
  <c r="N36" i="24"/>
  <c r="P35" i="24"/>
  <c r="N35" i="24"/>
  <c r="P34" i="24"/>
  <c r="Q34" i="24" s="1"/>
  <c r="D34" i="24" s="1"/>
  <c r="P33" i="24"/>
  <c r="P32" i="24"/>
  <c r="P31" i="24"/>
  <c r="P30" i="24"/>
  <c r="Q30" i="24" s="1"/>
  <c r="D30" i="24" s="1"/>
  <c r="P29" i="24"/>
  <c r="P28" i="24"/>
  <c r="P27" i="24"/>
  <c r="P26" i="24"/>
  <c r="Q26" i="24" s="1"/>
  <c r="D26" i="24" s="1"/>
  <c r="Q25" i="24"/>
  <c r="D25" i="24" s="1"/>
  <c r="P25" i="24"/>
  <c r="P24" i="24"/>
  <c r="P23" i="24"/>
  <c r="P22" i="24"/>
  <c r="Q22" i="24" s="1"/>
  <c r="D22" i="24" s="1"/>
  <c r="Q21" i="24"/>
  <c r="D21" i="24" s="1"/>
  <c r="P21" i="24"/>
  <c r="P20" i="24"/>
  <c r="P19" i="24"/>
  <c r="P18" i="24"/>
  <c r="Q18" i="24" s="1"/>
  <c r="D18" i="24" s="1"/>
  <c r="Q17" i="24"/>
  <c r="D17" i="24" s="1"/>
  <c r="P17" i="24"/>
  <c r="P16" i="24"/>
  <c r="P15" i="24"/>
  <c r="P14" i="24"/>
  <c r="Q14" i="24" s="1"/>
  <c r="D14" i="24" s="1"/>
  <c r="P13" i="24"/>
  <c r="P12" i="24"/>
  <c r="P11" i="24"/>
  <c r="P10" i="24"/>
  <c r="Q10" i="24" s="1"/>
  <c r="D10" i="24" s="1"/>
  <c r="P9" i="24"/>
  <c r="Q9" i="24" s="1"/>
  <c r="D9" i="24" s="1"/>
  <c r="P34" i="23"/>
  <c r="P33" i="23"/>
  <c r="Q33" i="23" s="1"/>
  <c r="D33" i="23" s="1"/>
  <c r="P32" i="23"/>
  <c r="P31" i="23"/>
  <c r="P30" i="23"/>
  <c r="Q29" i="23"/>
  <c r="D29" i="23" s="1"/>
  <c r="P29" i="23"/>
  <c r="P28" i="23"/>
  <c r="P27" i="23"/>
  <c r="P26" i="23"/>
  <c r="P25" i="23"/>
  <c r="Q25" i="23" s="1"/>
  <c r="D25" i="23" s="1"/>
  <c r="P24" i="23"/>
  <c r="P23" i="23"/>
  <c r="P22" i="23"/>
  <c r="Q21" i="23"/>
  <c r="D21" i="23" s="1"/>
  <c r="P21" i="23"/>
  <c r="P20" i="23"/>
  <c r="P19" i="23"/>
  <c r="P18" i="23"/>
  <c r="P17" i="23"/>
  <c r="Q17" i="23" s="1"/>
  <c r="D17" i="23" s="1"/>
  <c r="P16" i="23"/>
  <c r="P15" i="23"/>
  <c r="P14" i="23"/>
  <c r="P13" i="23"/>
  <c r="Q13" i="23" s="1"/>
  <c r="P12" i="23"/>
  <c r="P11" i="23"/>
  <c r="P10" i="23"/>
  <c r="Q9" i="23"/>
  <c r="D9" i="23" s="1"/>
  <c r="P9" i="23"/>
  <c r="P34" i="22"/>
  <c r="P33" i="22"/>
  <c r="Q33" i="22" s="1"/>
  <c r="P32" i="22"/>
  <c r="Q32" i="22" s="1"/>
  <c r="D32" i="22" s="1"/>
  <c r="P31" i="22"/>
  <c r="P30" i="22"/>
  <c r="P29" i="22"/>
  <c r="Q29" i="22" s="1"/>
  <c r="Q28" i="22"/>
  <c r="D28" i="22" s="1"/>
  <c r="P28" i="22"/>
  <c r="P27" i="22"/>
  <c r="P26" i="22"/>
  <c r="P25" i="22"/>
  <c r="Q25" i="22" s="1"/>
  <c r="D25" i="22" s="1"/>
  <c r="P24" i="22"/>
  <c r="Q24" i="22" s="1"/>
  <c r="D24" i="22" s="1"/>
  <c r="P23" i="22"/>
  <c r="P22" i="22"/>
  <c r="P21" i="22"/>
  <c r="Q21" i="22" s="1"/>
  <c r="Q20" i="22"/>
  <c r="P20" i="22"/>
  <c r="P19" i="22"/>
  <c r="P18" i="22"/>
  <c r="P17" i="22"/>
  <c r="Q17" i="22" s="1"/>
  <c r="D17" i="22" s="1"/>
  <c r="P16" i="22"/>
  <c r="Q16" i="22" s="1"/>
  <c r="D16" i="22" s="1"/>
  <c r="P15" i="22"/>
  <c r="P14" i="22"/>
  <c r="P13" i="22"/>
  <c r="Q13" i="22" s="1"/>
  <c r="Q12" i="22"/>
  <c r="P12" i="22"/>
  <c r="P11" i="22"/>
  <c r="P10" i="22"/>
  <c r="Q9" i="22"/>
  <c r="D9" i="22" s="1"/>
  <c r="P9" i="22"/>
  <c r="P34" i="21"/>
  <c r="P33" i="21"/>
  <c r="Q33" i="21" s="1"/>
  <c r="P32" i="21"/>
  <c r="Q32" i="21" s="1"/>
  <c r="P31" i="21"/>
  <c r="P30" i="21"/>
  <c r="P29" i="21"/>
  <c r="Q29" i="21" s="1"/>
  <c r="P28" i="21"/>
  <c r="Q28" i="21" s="1"/>
  <c r="D28" i="21" s="1"/>
  <c r="P27" i="21"/>
  <c r="P26" i="21"/>
  <c r="P25" i="21"/>
  <c r="Q25" i="21" s="1"/>
  <c r="Q24" i="21"/>
  <c r="P24" i="21"/>
  <c r="P23" i="21"/>
  <c r="P22" i="21"/>
  <c r="P21" i="21"/>
  <c r="Q21" i="21" s="1"/>
  <c r="Q20" i="21"/>
  <c r="D20" i="21" s="1"/>
  <c r="P20" i="21"/>
  <c r="P19" i="21"/>
  <c r="P18" i="21"/>
  <c r="P17" i="21"/>
  <c r="Q17" i="21" s="1"/>
  <c r="P16" i="21"/>
  <c r="Q16" i="21" s="1"/>
  <c r="P15" i="21"/>
  <c r="P14" i="21"/>
  <c r="P13" i="21"/>
  <c r="Q13" i="21" s="1"/>
  <c r="D13" i="21" s="1"/>
  <c r="P12" i="21"/>
  <c r="Q12" i="21" s="1"/>
  <c r="D12" i="21" s="1"/>
  <c r="P11" i="21"/>
  <c r="P10" i="21"/>
  <c r="Q9" i="21"/>
  <c r="P9" i="21"/>
  <c r="P34" i="20"/>
  <c r="P33" i="20"/>
  <c r="Q33" i="20" s="1"/>
  <c r="P32" i="20"/>
  <c r="Q32" i="20" s="1"/>
  <c r="D32" i="20" s="1"/>
  <c r="P31" i="20"/>
  <c r="P30" i="20"/>
  <c r="P29" i="20"/>
  <c r="Q29" i="20" s="1"/>
  <c r="D29" i="20" s="1"/>
  <c r="P28" i="20"/>
  <c r="Q28" i="20" s="1"/>
  <c r="D28" i="20" s="1"/>
  <c r="P27" i="20"/>
  <c r="P26" i="20"/>
  <c r="P25" i="20"/>
  <c r="Q25" i="20" s="1"/>
  <c r="D25" i="20" s="1"/>
  <c r="P24" i="20"/>
  <c r="P23" i="20"/>
  <c r="P22" i="20"/>
  <c r="P21" i="20"/>
  <c r="Q21" i="20" s="1"/>
  <c r="P20" i="20"/>
  <c r="P19" i="20"/>
  <c r="P18" i="20"/>
  <c r="Q17" i="20"/>
  <c r="P17" i="20"/>
  <c r="P16" i="20"/>
  <c r="Q16" i="20" s="1"/>
  <c r="D16" i="20" s="1"/>
  <c r="P15" i="20"/>
  <c r="P14" i="20"/>
  <c r="P13" i="20"/>
  <c r="Q13" i="20" s="1"/>
  <c r="D13" i="20" s="1"/>
  <c r="P12" i="20"/>
  <c r="Q12" i="20" s="1"/>
  <c r="D12" i="20" s="1"/>
  <c r="P11" i="20"/>
  <c r="P10" i="20"/>
  <c r="P9" i="20"/>
  <c r="Q9" i="20" s="1"/>
  <c r="P33" i="19"/>
  <c r="P32" i="19"/>
  <c r="P31" i="19"/>
  <c r="P30" i="19"/>
  <c r="Q30" i="19" s="1"/>
  <c r="D30" i="19" s="1"/>
  <c r="P29" i="19"/>
  <c r="P28" i="19"/>
  <c r="P27" i="19"/>
  <c r="P26" i="19"/>
  <c r="Q26" i="19" s="1"/>
  <c r="D26" i="19" s="1"/>
  <c r="P25" i="19"/>
  <c r="Q25" i="19" s="1"/>
  <c r="D25" i="19" s="1"/>
  <c r="Q24" i="19"/>
  <c r="D24" i="19" s="1"/>
  <c r="P24" i="19"/>
  <c r="P23" i="19"/>
  <c r="P22" i="19"/>
  <c r="Q22" i="19" s="1"/>
  <c r="D22" i="19" s="1"/>
  <c r="P21" i="19"/>
  <c r="Q21" i="19" s="1"/>
  <c r="D21" i="19" s="1"/>
  <c r="Q20" i="19"/>
  <c r="D20" i="19" s="1"/>
  <c r="P20" i="19"/>
  <c r="P19" i="19"/>
  <c r="P18" i="19"/>
  <c r="Q18" i="19" s="1"/>
  <c r="D18" i="19" s="1"/>
  <c r="P17" i="19"/>
  <c r="Q17" i="19" s="1"/>
  <c r="D17" i="19" s="1"/>
  <c r="P16" i="19"/>
  <c r="P15" i="19"/>
  <c r="P14" i="19"/>
  <c r="Q14" i="19" s="1"/>
  <c r="D14" i="19" s="1"/>
  <c r="P13" i="19"/>
  <c r="Q13" i="19" s="1"/>
  <c r="D13" i="19" s="1"/>
  <c r="P12" i="19"/>
  <c r="Q12" i="19" s="1"/>
  <c r="D12" i="19" s="1"/>
  <c r="P11" i="19"/>
  <c r="P10" i="19"/>
  <c r="Q10" i="19" s="1"/>
  <c r="D10" i="19" s="1"/>
  <c r="P9" i="19"/>
  <c r="R9" i="28" l="1"/>
  <c r="D9" i="28"/>
  <c r="R13" i="28"/>
  <c r="D13" i="28"/>
  <c r="R17" i="28"/>
  <c r="D17" i="28"/>
  <c r="R21" i="28"/>
  <c r="D21" i="28"/>
  <c r="R17" i="27"/>
  <c r="E17" i="27" s="1"/>
  <c r="D17" i="27"/>
  <c r="R21" i="27"/>
  <c r="E21" i="27" s="1"/>
  <c r="D21" i="27"/>
  <c r="R9" i="27"/>
  <c r="E9" i="27" s="1"/>
  <c r="D9" i="27"/>
  <c r="R13" i="27"/>
  <c r="E13" i="27" s="1"/>
  <c r="D13" i="27"/>
  <c r="R21" i="26"/>
  <c r="E21" i="26" s="1"/>
  <c r="D21" i="26"/>
  <c r="R12" i="26"/>
  <c r="E12" i="26" s="1"/>
  <c r="D12" i="26"/>
  <c r="R9" i="26"/>
  <c r="E9" i="26" s="1"/>
  <c r="D9" i="26"/>
  <c r="R13" i="26"/>
  <c r="E13" i="26" s="1"/>
  <c r="D13" i="26"/>
  <c r="R17" i="26"/>
  <c r="E17" i="26" s="1"/>
  <c r="D17" i="26"/>
  <c r="R9" i="25"/>
  <c r="D9" i="25"/>
  <c r="R25" i="25"/>
  <c r="R27" i="25"/>
  <c r="E27" i="25" s="1"/>
  <c r="Q11" i="25"/>
  <c r="D11" i="25" s="1"/>
  <c r="R23" i="25"/>
  <c r="E23" i="25" s="1"/>
  <c r="D23" i="25"/>
  <c r="R25" i="24"/>
  <c r="E25" i="24" s="1"/>
  <c r="Q13" i="24"/>
  <c r="D13" i="24" s="1"/>
  <c r="Q29" i="24"/>
  <c r="D29" i="24" s="1"/>
  <c r="R17" i="24"/>
  <c r="E17" i="24" s="1"/>
  <c r="R33" i="24"/>
  <c r="E33" i="24" s="1"/>
  <c r="Q33" i="24"/>
  <c r="D33" i="24" s="1"/>
  <c r="R21" i="24"/>
  <c r="E21" i="24" s="1"/>
  <c r="R13" i="23"/>
  <c r="E13" i="23" s="1"/>
  <c r="D13" i="23"/>
  <c r="R12" i="22"/>
  <c r="E12" i="22" s="1"/>
  <c r="D12" i="22"/>
  <c r="R29" i="22"/>
  <c r="E29" i="22" s="1"/>
  <c r="D29" i="22"/>
  <c r="R20" i="22"/>
  <c r="E20" i="22" s="1"/>
  <c r="D20" i="22"/>
  <c r="R13" i="22"/>
  <c r="E13" i="22" s="1"/>
  <c r="D13" i="22"/>
  <c r="R21" i="22"/>
  <c r="E21" i="22" s="1"/>
  <c r="D21" i="22"/>
  <c r="R33" i="22"/>
  <c r="E33" i="22" s="1"/>
  <c r="D33" i="22"/>
  <c r="R16" i="21"/>
  <c r="E16" i="21" s="1"/>
  <c r="D16" i="21"/>
  <c r="R32" i="21"/>
  <c r="E32" i="21" s="1"/>
  <c r="D32" i="21"/>
  <c r="R9" i="21"/>
  <c r="E9" i="21" s="1"/>
  <c r="D9" i="21"/>
  <c r="R17" i="21"/>
  <c r="E17" i="21" s="1"/>
  <c r="D17" i="21"/>
  <c r="R24" i="21"/>
  <c r="E24" i="21" s="1"/>
  <c r="D24" i="21"/>
  <c r="R21" i="21"/>
  <c r="E21" i="21" s="1"/>
  <c r="D21" i="21"/>
  <c r="R25" i="21"/>
  <c r="E25" i="21" s="1"/>
  <c r="D25" i="21"/>
  <c r="R29" i="21"/>
  <c r="E29" i="21" s="1"/>
  <c r="D29" i="21"/>
  <c r="R33" i="21"/>
  <c r="E33" i="21" s="1"/>
  <c r="D33" i="21"/>
  <c r="R33" i="20"/>
  <c r="E33" i="20" s="1"/>
  <c r="D33" i="20"/>
  <c r="R9" i="20"/>
  <c r="E9" i="20" s="1"/>
  <c r="D9" i="20"/>
  <c r="R21" i="20"/>
  <c r="E21" i="20" s="1"/>
  <c r="D21" i="20"/>
  <c r="R17" i="20"/>
  <c r="E17" i="20" s="1"/>
  <c r="D17" i="20"/>
  <c r="R12" i="19"/>
  <c r="E12" i="19" s="1"/>
  <c r="R16" i="19"/>
  <c r="E16" i="19" s="1"/>
  <c r="Q16" i="19"/>
  <c r="D16" i="19" s="1"/>
  <c r="R19" i="26"/>
  <c r="S19" i="26" s="1"/>
  <c r="F19" i="26" s="1"/>
  <c r="R24" i="26"/>
  <c r="R11" i="26"/>
  <c r="E11" i="26" s="1"/>
  <c r="Q15" i="26"/>
  <c r="D15" i="26" s="1"/>
  <c r="R16" i="26"/>
  <c r="E16" i="26" s="1"/>
  <c r="Q20" i="26"/>
  <c r="R23" i="26"/>
  <c r="E23" i="26" s="1"/>
  <c r="R21" i="25"/>
  <c r="E21" i="25" s="1"/>
  <c r="Q17" i="25"/>
  <c r="Q19" i="25"/>
  <c r="D19" i="25" s="1"/>
  <c r="Q33" i="25"/>
  <c r="D33" i="25" s="1"/>
  <c r="Q13" i="25"/>
  <c r="D13" i="25" s="1"/>
  <c r="Q15" i="25"/>
  <c r="D15" i="25" s="1"/>
  <c r="Q29" i="25"/>
  <c r="D29" i="25" s="1"/>
  <c r="Q31" i="25"/>
  <c r="R29" i="25"/>
  <c r="E29" i="25" s="1"/>
  <c r="R9" i="24"/>
  <c r="E9" i="24" s="1"/>
  <c r="Q24" i="20"/>
  <c r="R12" i="20"/>
  <c r="E12" i="20" s="1"/>
  <c r="R28" i="20"/>
  <c r="E28" i="20" s="1"/>
  <c r="R16" i="20"/>
  <c r="E16" i="20" s="1"/>
  <c r="R32" i="20"/>
  <c r="E32" i="20" s="1"/>
  <c r="Q20" i="20"/>
  <c r="R17" i="19"/>
  <c r="E17" i="19" s="1"/>
  <c r="R20" i="19"/>
  <c r="E20" i="19" s="1"/>
  <c r="S20" i="19"/>
  <c r="F20" i="19" s="1"/>
  <c r="S17" i="19"/>
  <c r="F17" i="19" s="1"/>
  <c r="R21" i="19"/>
  <c r="E21" i="19" s="1"/>
  <c r="R24" i="19"/>
  <c r="E24" i="19" s="1"/>
  <c r="Q28" i="19"/>
  <c r="D28" i="19" s="1"/>
  <c r="S24" i="19"/>
  <c r="F24" i="19" s="1"/>
  <c r="R25" i="19"/>
  <c r="E25" i="19" s="1"/>
  <c r="Q33" i="19"/>
  <c r="D33" i="19" s="1"/>
  <c r="S12" i="19"/>
  <c r="F12" i="19" s="1"/>
  <c r="Q29" i="19"/>
  <c r="D29" i="19" s="1"/>
  <c r="R10" i="28"/>
  <c r="E10" i="28" s="1"/>
  <c r="R14" i="28"/>
  <c r="E14" i="28" s="1"/>
  <c r="R18" i="28"/>
  <c r="E18" i="28" s="1"/>
  <c r="R22" i="28"/>
  <c r="E22" i="28" s="1"/>
  <c r="R11" i="28"/>
  <c r="E11" i="28" s="1"/>
  <c r="R15" i="28"/>
  <c r="E15" i="28" s="1"/>
  <c r="R19" i="28"/>
  <c r="R23" i="28"/>
  <c r="E23" i="28" s="1"/>
  <c r="Q12" i="28"/>
  <c r="D12" i="28" s="1"/>
  <c r="Q16" i="28"/>
  <c r="D16" i="28" s="1"/>
  <c r="Q20" i="28"/>
  <c r="D20" i="28" s="1"/>
  <c r="Q24" i="28"/>
  <c r="D24" i="28" s="1"/>
  <c r="R12" i="28"/>
  <c r="E12" i="28" s="1"/>
  <c r="R20" i="28"/>
  <c r="E20" i="28" s="1"/>
  <c r="T17" i="27"/>
  <c r="G17" i="27" s="1"/>
  <c r="Q10" i="27"/>
  <c r="D10" i="27" s="1"/>
  <c r="S13" i="27"/>
  <c r="F13" i="27" s="1"/>
  <c r="Q14" i="27"/>
  <c r="D14" i="27" s="1"/>
  <c r="S17" i="27"/>
  <c r="F17" i="27" s="1"/>
  <c r="Q18" i="27"/>
  <c r="D18" i="27" s="1"/>
  <c r="Q22" i="27"/>
  <c r="D22" i="27" s="1"/>
  <c r="Q11" i="27"/>
  <c r="Q15" i="27"/>
  <c r="D15" i="27" s="1"/>
  <c r="Q19" i="27"/>
  <c r="D19" i="27" s="1"/>
  <c r="Q23" i="27"/>
  <c r="D23" i="27" s="1"/>
  <c r="R12" i="27"/>
  <c r="E12" i="27" s="1"/>
  <c r="R16" i="27"/>
  <c r="E16" i="27" s="1"/>
  <c r="R20" i="27"/>
  <c r="E20" i="27" s="1"/>
  <c r="R24" i="27"/>
  <c r="E24" i="27" s="1"/>
  <c r="Q10" i="26"/>
  <c r="R10" i="26" s="1"/>
  <c r="E10" i="26" s="1"/>
  <c r="S13" i="26"/>
  <c r="F13" i="26" s="1"/>
  <c r="Q14" i="26"/>
  <c r="D14" i="26" s="1"/>
  <c r="S17" i="26"/>
  <c r="F17" i="26" s="1"/>
  <c r="Q18" i="26"/>
  <c r="D18" i="26" s="1"/>
  <c r="S21" i="26"/>
  <c r="F21" i="26" s="1"/>
  <c r="Q22" i="26"/>
  <c r="R18" i="26"/>
  <c r="R10" i="25"/>
  <c r="E10" i="25" s="1"/>
  <c r="R14" i="25"/>
  <c r="E14" i="25" s="1"/>
  <c r="R18" i="25"/>
  <c r="R22" i="25"/>
  <c r="R26" i="25"/>
  <c r="E26" i="25" s="1"/>
  <c r="R30" i="25"/>
  <c r="R34" i="25"/>
  <c r="E34" i="25" s="1"/>
  <c r="S34" i="25"/>
  <c r="F34" i="25" s="1"/>
  <c r="Q12" i="25"/>
  <c r="Q16" i="25"/>
  <c r="D16" i="25" s="1"/>
  <c r="Q20" i="25"/>
  <c r="D20" i="25" s="1"/>
  <c r="S23" i="25"/>
  <c r="Q24" i="25"/>
  <c r="S27" i="25"/>
  <c r="Q28" i="25"/>
  <c r="Q32" i="25"/>
  <c r="D32" i="25" s="1"/>
  <c r="R12" i="25"/>
  <c r="E12" i="25" s="1"/>
  <c r="R16" i="25"/>
  <c r="E16" i="25" s="1"/>
  <c r="R20" i="25"/>
  <c r="E20" i="25" s="1"/>
  <c r="S37" i="24"/>
  <c r="T37" i="24"/>
  <c r="S25" i="24"/>
  <c r="F25" i="24" s="1"/>
  <c r="S41" i="24"/>
  <c r="T41" i="24" s="1"/>
  <c r="T38" i="24"/>
  <c r="S21" i="24"/>
  <c r="F21" i="24" s="1"/>
  <c r="S17" i="24"/>
  <c r="F17" i="24" s="1"/>
  <c r="T42" i="24"/>
  <c r="U42" i="24" s="1"/>
  <c r="R18" i="24"/>
  <c r="E18" i="24" s="1"/>
  <c r="R22" i="24"/>
  <c r="E22" i="24" s="1"/>
  <c r="R26" i="24"/>
  <c r="R30" i="24"/>
  <c r="R34" i="24"/>
  <c r="E34" i="24" s="1"/>
  <c r="R38" i="24"/>
  <c r="R42" i="24"/>
  <c r="V42" i="24" s="1"/>
  <c r="Q11" i="24"/>
  <c r="D11" i="24" s="1"/>
  <c r="Q15" i="24"/>
  <c r="D15" i="24" s="1"/>
  <c r="Q19" i="24"/>
  <c r="D19" i="24" s="1"/>
  <c r="S22" i="24"/>
  <c r="F22" i="24" s="1"/>
  <c r="Q23" i="24"/>
  <c r="D23" i="24" s="1"/>
  <c r="Q27" i="24"/>
  <c r="D27" i="24" s="1"/>
  <c r="S30" i="24"/>
  <c r="F30" i="24" s="1"/>
  <c r="Q31" i="24"/>
  <c r="D31" i="24" s="1"/>
  <c r="Q35" i="24"/>
  <c r="S38" i="24"/>
  <c r="Q39" i="24"/>
  <c r="S42" i="24"/>
  <c r="R10" i="24"/>
  <c r="E10" i="24" s="1"/>
  <c r="R11" i="24"/>
  <c r="E11" i="24" s="1"/>
  <c r="R15" i="24"/>
  <c r="E15" i="24" s="1"/>
  <c r="R31" i="24"/>
  <c r="E31" i="24" s="1"/>
  <c r="Q12" i="24"/>
  <c r="D12" i="24" s="1"/>
  <c r="Q16" i="24"/>
  <c r="D16" i="24" s="1"/>
  <c r="Q20" i="24"/>
  <c r="D20" i="24" s="1"/>
  <c r="Q24" i="24"/>
  <c r="D24" i="24" s="1"/>
  <c r="Q28" i="24"/>
  <c r="D28" i="24" s="1"/>
  <c r="Q32" i="24"/>
  <c r="D32" i="24" s="1"/>
  <c r="Q36" i="24"/>
  <c r="U38" i="24"/>
  <c r="Q40" i="24"/>
  <c r="R39" i="24"/>
  <c r="S39" i="24" s="1"/>
  <c r="R12" i="24"/>
  <c r="E12" i="24" s="1"/>
  <c r="R32" i="24"/>
  <c r="R36" i="24"/>
  <c r="R40" i="24"/>
  <c r="R14" i="24"/>
  <c r="E14" i="24" s="1"/>
  <c r="S36" i="24"/>
  <c r="R19" i="24"/>
  <c r="E19" i="24" s="1"/>
  <c r="R17" i="23"/>
  <c r="E17" i="23" s="1"/>
  <c r="R25" i="23"/>
  <c r="E25" i="23" s="1"/>
  <c r="R29" i="23"/>
  <c r="R33" i="23"/>
  <c r="E33" i="23" s="1"/>
  <c r="Q10" i="23"/>
  <c r="S13" i="23"/>
  <c r="F13" i="23" s="1"/>
  <c r="Q14" i="23"/>
  <c r="D14" i="23" s="1"/>
  <c r="Q18" i="23"/>
  <c r="Q22" i="23"/>
  <c r="Q26" i="23"/>
  <c r="Q30" i="23"/>
  <c r="D30" i="23" s="1"/>
  <c r="Q34" i="23"/>
  <c r="D34" i="23" s="1"/>
  <c r="Q11" i="23"/>
  <c r="D11" i="23" s="1"/>
  <c r="Q15" i="23"/>
  <c r="D15" i="23" s="1"/>
  <c r="Q19" i="23"/>
  <c r="D19" i="23" s="1"/>
  <c r="Q23" i="23"/>
  <c r="D23" i="23" s="1"/>
  <c r="Q27" i="23"/>
  <c r="Q31" i="23"/>
  <c r="R9" i="23"/>
  <c r="E9" i="23" s="1"/>
  <c r="R21" i="23"/>
  <c r="R23" i="23"/>
  <c r="E23" i="23" s="1"/>
  <c r="Q12" i="23"/>
  <c r="D12" i="23" s="1"/>
  <c r="Q16" i="23"/>
  <c r="Q20" i="23"/>
  <c r="D20" i="23" s="1"/>
  <c r="Q24" i="23"/>
  <c r="D24" i="23" s="1"/>
  <c r="Q28" i="23"/>
  <c r="D28" i="23" s="1"/>
  <c r="Q32" i="23"/>
  <c r="D32" i="23" s="1"/>
  <c r="S20" i="22"/>
  <c r="F20" i="22" s="1"/>
  <c r="S12" i="22"/>
  <c r="F12" i="22" s="1"/>
  <c r="R9" i="22"/>
  <c r="E9" i="22" s="1"/>
  <c r="R17" i="22"/>
  <c r="R25" i="22"/>
  <c r="E25" i="22" s="1"/>
  <c r="Q10" i="22"/>
  <c r="D10" i="22" s="1"/>
  <c r="Q14" i="22"/>
  <c r="D14" i="22" s="1"/>
  <c r="Q18" i="22"/>
  <c r="D18" i="22" s="1"/>
  <c r="S21" i="22"/>
  <c r="F21" i="22" s="1"/>
  <c r="Q22" i="22"/>
  <c r="D22" i="22" s="1"/>
  <c r="Q26" i="22"/>
  <c r="D26" i="22" s="1"/>
  <c r="S29" i="22"/>
  <c r="Q30" i="22"/>
  <c r="D30" i="22" s="1"/>
  <c r="S33" i="22"/>
  <c r="Q34" i="22"/>
  <c r="D34" i="22" s="1"/>
  <c r="Q15" i="22"/>
  <c r="D15" i="22" s="1"/>
  <c r="Q27" i="22"/>
  <c r="D27" i="22" s="1"/>
  <c r="Q31" i="22"/>
  <c r="D31" i="22" s="1"/>
  <c r="Q11" i="22"/>
  <c r="D11" i="22" s="1"/>
  <c r="Q19" i="22"/>
  <c r="Q23" i="22"/>
  <c r="D23" i="22" s="1"/>
  <c r="R11" i="22"/>
  <c r="E11" i="22" s="1"/>
  <c r="R16" i="22"/>
  <c r="E16" i="22" s="1"/>
  <c r="R24" i="22"/>
  <c r="E24" i="22" s="1"/>
  <c r="R28" i="22"/>
  <c r="E28" i="22" s="1"/>
  <c r="R32" i="22"/>
  <c r="E32" i="22" s="1"/>
  <c r="S24" i="21"/>
  <c r="S16" i="21"/>
  <c r="F16" i="21" s="1"/>
  <c r="R13" i="21"/>
  <c r="E13" i="21" s="1"/>
  <c r="T24" i="21"/>
  <c r="G24" i="21" s="1"/>
  <c r="Q10" i="21"/>
  <c r="D10" i="21" s="1"/>
  <c r="Q14" i="21"/>
  <c r="D14" i="21" s="1"/>
  <c r="S17" i="21"/>
  <c r="F17" i="21" s="1"/>
  <c r="Q18" i="21"/>
  <c r="D18" i="21" s="1"/>
  <c r="S21" i="21"/>
  <c r="F21" i="21" s="1"/>
  <c r="Q22" i="21"/>
  <c r="D22" i="21" s="1"/>
  <c r="Q26" i="21"/>
  <c r="D26" i="21" s="1"/>
  <c r="S29" i="21"/>
  <c r="F29" i="21" s="1"/>
  <c r="Q30" i="21"/>
  <c r="D30" i="21" s="1"/>
  <c r="S33" i="21"/>
  <c r="F33" i="21" s="1"/>
  <c r="Q34" i="21"/>
  <c r="D34" i="21" s="1"/>
  <c r="Q15" i="21"/>
  <c r="Q23" i="21"/>
  <c r="D23" i="21" s="1"/>
  <c r="Q31" i="21"/>
  <c r="D31" i="21" s="1"/>
  <c r="Q11" i="21"/>
  <c r="D11" i="21" s="1"/>
  <c r="Q19" i="21"/>
  <c r="D19" i="21" s="1"/>
  <c r="Q27" i="21"/>
  <c r="R11" i="21"/>
  <c r="R12" i="21"/>
  <c r="E12" i="21" s="1"/>
  <c r="R20" i="21"/>
  <c r="E20" i="21" s="1"/>
  <c r="R28" i="21"/>
  <c r="E28" i="21" s="1"/>
  <c r="R13" i="20"/>
  <c r="E13" i="20" s="1"/>
  <c r="R25" i="20"/>
  <c r="E25" i="20" s="1"/>
  <c r="R29" i="20"/>
  <c r="E29" i="20" s="1"/>
  <c r="S9" i="20"/>
  <c r="Q10" i="20"/>
  <c r="D10" i="20" s="1"/>
  <c r="Q14" i="20"/>
  <c r="D14" i="20" s="1"/>
  <c r="Q18" i="20"/>
  <c r="D18" i="20" s="1"/>
  <c r="S21" i="20"/>
  <c r="Q22" i="20"/>
  <c r="D22" i="20" s="1"/>
  <c r="Q26" i="20"/>
  <c r="D26" i="20" s="1"/>
  <c r="Q30" i="20"/>
  <c r="D30" i="20" s="1"/>
  <c r="S33" i="20"/>
  <c r="F33" i="20" s="1"/>
  <c r="Q34" i="20"/>
  <c r="D34" i="20" s="1"/>
  <c r="Q11" i="20"/>
  <c r="Q15" i="20"/>
  <c r="D15" i="20" s="1"/>
  <c r="Q19" i="20"/>
  <c r="D19" i="20" s="1"/>
  <c r="Q23" i="20"/>
  <c r="D23" i="20" s="1"/>
  <c r="Q27" i="20"/>
  <c r="D27" i="20" s="1"/>
  <c r="Q31" i="20"/>
  <c r="R27" i="20"/>
  <c r="E27" i="20" s="1"/>
  <c r="S28" i="20"/>
  <c r="F28" i="20" s="1"/>
  <c r="S12" i="20"/>
  <c r="R30" i="19"/>
  <c r="E30" i="19" s="1"/>
  <c r="R22" i="19"/>
  <c r="E22" i="19" s="1"/>
  <c r="R18" i="19"/>
  <c r="E18" i="19" s="1"/>
  <c r="R13" i="19"/>
  <c r="E13" i="19" s="1"/>
  <c r="R14" i="19"/>
  <c r="E14" i="19" s="1"/>
  <c r="R26" i="19"/>
  <c r="E26" i="19" s="1"/>
  <c r="Q9" i="19"/>
  <c r="R10" i="19"/>
  <c r="E10" i="19" s="1"/>
  <c r="T17" i="19"/>
  <c r="G17" i="19" s="1"/>
  <c r="Q11" i="19"/>
  <c r="D11" i="19" s="1"/>
  <c r="S14" i="19"/>
  <c r="F14" i="19" s="1"/>
  <c r="Q15" i="19"/>
  <c r="D15" i="19" s="1"/>
  <c r="U17" i="19"/>
  <c r="H17" i="19" s="1"/>
  <c r="Q19" i="19"/>
  <c r="D19" i="19" s="1"/>
  <c r="Q23" i="19"/>
  <c r="D23" i="19" s="1"/>
  <c r="Q27" i="19"/>
  <c r="D27" i="19" s="1"/>
  <c r="Q31" i="19"/>
  <c r="Q32" i="19"/>
  <c r="D32" i="19" s="1"/>
  <c r="P33" i="16"/>
  <c r="P32" i="16"/>
  <c r="Q32" i="16" s="1"/>
  <c r="D32" i="16" s="1"/>
  <c r="P31" i="16"/>
  <c r="P30" i="16"/>
  <c r="P29" i="16"/>
  <c r="P28" i="16"/>
  <c r="Q28" i="16" s="1"/>
  <c r="D28" i="16" s="1"/>
  <c r="P27" i="16"/>
  <c r="P26" i="16"/>
  <c r="P25" i="16"/>
  <c r="Q25" i="16" s="1"/>
  <c r="Q24" i="16"/>
  <c r="D24" i="16" s="1"/>
  <c r="P24" i="16"/>
  <c r="P23" i="16"/>
  <c r="P22" i="16"/>
  <c r="P21" i="16"/>
  <c r="P20" i="16"/>
  <c r="Q20" i="16" s="1"/>
  <c r="D20" i="16" s="1"/>
  <c r="P19" i="16"/>
  <c r="P18" i="16"/>
  <c r="P17" i="16"/>
  <c r="P16" i="16"/>
  <c r="Q16" i="16" s="1"/>
  <c r="D16" i="16" s="1"/>
  <c r="P15" i="16"/>
  <c r="P14" i="16"/>
  <c r="P13" i="16"/>
  <c r="P12" i="16"/>
  <c r="Q12" i="16" s="1"/>
  <c r="D12" i="16" s="1"/>
  <c r="P11" i="16"/>
  <c r="P10" i="16"/>
  <c r="P9" i="16"/>
  <c r="Q9" i="16" s="1"/>
  <c r="S19" i="28" l="1"/>
  <c r="F19" i="28" s="1"/>
  <c r="E19" i="28"/>
  <c r="S10" i="28"/>
  <c r="S21" i="28"/>
  <c r="F21" i="28" s="1"/>
  <c r="E21" i="28"/>
  <c r="S23" i="28"/>
  <c r="F23" i="28" s="1"/>
  <c r="S17" i="28"/>
  <c r="E17" i="28"/>
  <c r="S18" i="28"/>
  <c r="F18" i="28" s="1"/>
  <c r="S13" i="28"/>
  <c r="E13" i="28"/>
  <c r="S15" i="28"/>
  <c r="F15" i="28" s="1"/>
  <c r="S14" i="28"/>
  <c r="F14" i="28" s="1"/>
  <c r="S9" i="28"/>
  <c r="E9" i="28"/>
  <c r="R11" i="27"/>
  <c r="E11" i="27" s="1"/>
  <c r="D11" i="27"/>
  <c r="S9" i="27"/>
  <c r="F9" i="27" s="1"/>
  <c r="S21" i="27"/>
  <c r="S19" i="27"/>
  <c r="F19" i="27" s="1"/>
  <c r="R19" i="27"/>
  <c r="E19" i="27" s="1"/>
  <c r="S18" i="26"/>
  <c r="F18" i="26" s="1"/>
  <c r="E18" i="26"/>
  <c r="R20" i="26"/>
  <c r="E20" i="26" s="1"/>
  <c r="D20" i="26"/>
  <c r="S12" i="26"/>
  <c r="T19" i="26"/>
  <c r="G19" i="26" s="1"/>
  <c r="E19" i="26"/>
  <c r="R22" i="26"/>
  <c r="E22" i="26" s="1"/>
  <c r="D22" i="26"/>
  <c r="S10" i="26"/>
  <c r="D10" i="26"/>
  <c r="S9" i="26"/>
  <c r="S24" i="26"/>
  <c r="F24" i="26" s="1"/>
  <c r="E24" i="26"/>
  <c r="S16" i="26"/>
  <c r="S17" i="25"/>
  <c r="F17" i="25" s="1"/>
  <c r="D17" i="25"/>
  <c r="S9" i="25"/>
  <c r="E9" i="25"/>
  <c r="R28" i="25"/>
  <c r="E28" i="25" s="1"/>
  <c r="D28" i="25"/>
  <c r="S22" i="25"/>
  <c r="F22" i="25" s="1"/>
  <c r="E22" i="25"/>
  <c r="T27" i="25"/>
  <c r="F27" i="25"/>
  <c r="S29" i="25"/>
  <c r="S25" i="25"/>
  <c r="F25" i="25" s="1"/>
  <c r="E25" i="25"/>
  <c r="T25" i="25"/>
  <c r="R24" i="25"/>
  <c r="E24" i="25" s="1"/>
  <c r="D24" i="25"/>
  <c r="S18" i="25"/>
  <c r="F18" i="25" s="1"/>
  <c r="E18" i="25"/>
  <c r="R19" i="25"/>
  <c r="R31" i="25"/>
  <c r="E31" i="25" s="1"/>
  <c r="D31" i="25"/>
  <c r="T23" i="25"/>
  <c r="G23" i="25" s="1"/>
  <c r="F23" i="25"/>
  <c r="R33" i="25"/>
  <c r="S21" i="25"/>
  <c r="R11" i="25"/>
  <c r="S12" i="25"/>
  <c r="F12" i="25" s="1"/>
  <c r="D12" i="25"/>
  <c r="S30" i="25"/>
  <c r="E30" i="25"/>
  <c r="R17" i="25"/>
  <c r="E17" i="25" s="1"/>
  <c r="S33" i="24"/>
  <c r="T30" i="24"/>
  <c r="G30" i="24" s="1"/>
  <c r="T17" i="24"/>
  <c r="U30" i="24"/>
  <c r="E30" i="24"/>
  <c r="R24" i="24"/>
  <c r="E24" i="24" s="1"/>
  <c r="S15" i="24"/>
  <c r="S26" i="24"/>
  <c r="F26" i="24" s="1"/>
  <c r="E26" i="24"/>
  <c r="R29" i="24"/>
  <c r="R20" i="24"/>
  <c r="T21" i="24"/>
  <c r="S9" i="24"/>
  <c r="F9" i="24" s="1"/>
  <c r="R13" i="24"/>
  <c r="R16" i="24"/>
  <c r="E16" i="24" s="1"/>
  <c r="S14" i="24"/>
  <c r="F14" i="24" s="1"/>
  <c r="S32" i="24"/>
  <c r="F32" i="24" s="1"/>
  <c r="E32" i="24"/>
  <c r="S12" i="24"/>
  <c r="F12" i="24" s="1"/>
  <c r="T15" i="24"/>
  <c r="G15" i="24" s="1"/>
  <c r="R27" i="24"/>
  <c r="S21" i="23"/>
  <c r="F21" i="23" s="1"/>
  <c r="E21" i="23"/>
  <c r="T13" i="23"/>
  <c r="G13" i="23" s="1"/>
  <c r="R10" i="23"/>
  <c r="D10" i="23"/>
  <c r="R31" i="23"/>
  <c r="E31" i="23" s="1"/>
  <c r="D31" i="23"/>
  <c r="S29" i="23"/>
  <c r="F29" i="23" s="1"/>
  <c r="E29" i="23"/>
  <c r="R27" i="23"/>
  <c r="E27" i="23" s="1"/>
  <c r="D27" i="23"/>
  <c r="R26" i="23"/>
  <c r="D26" i="23"/>
  <c r="R22" i="23"/>
  <c r="E22" i="23" s="1"/>
  <c r="D22" i="23"/>
  <c r="R16" i="23"/>
  <c r="E16" i="23" s="1"/>
  <c r="D16" i="23"/>
  <c r="R18" i="23"/>
  <c r="D18" i="23"/>
  <c r="R24" i="23"/>
  <c r="E24" i="23" s="1"/>
  <c r="S11" i="22"/>
  <c r="F11" i="22" s="1"/>
  <c r="T33" i="22"/>
  <c r="G33" i="22" s="1"/>
  <c r="F33" i="22"/>
  <c r="S13" i="22"/>
  <c r="S17" i="22"/>
  <c r="F17" i="22" s="1"/>
  <c r="E17" i="22"/>
  <c r="R19" i="22"/>
  <c r="E19" i="22" s="1"/>
  <c r="D19" i="22"/>
  <c r="T29" i="22"/>
  <c r="G29" i="22" s="1"/>
  <c r="F29" i="22"/>
  <c r="S25" i="22"/>
  <c r="F25" i="22" s="1"/>
  <c r="T20" i="22"/>
  <c r="G20" i="22" s="1"/>
  <c r="R15" i="21"/>
  <c r="D15" i="21"/>
  <c r="U24" i="21"/>
  <c r="H24" i="21" s="1"/>
  <c r="F24" i="21"/>
  <c r="R27" i="21"/>
  <c r="D27" i="21"/>
  <c r="S32" i="21"/>
  <c r="S13" i="21"/>
  <c r="F13" i="21" s="1"/>
  <c r="S11" i="21"/>
  <c r="E11" i="21"/>
  <c r="S25" i="21"/>
  <c r="F25" i="21" s="1"/>
  <c r="S9" i="21"/>
  <c r="F9" i="21" s="1"/>
  <c r="S25" i="20"/>
  <c r="F25" i="20" s="1"/>
  <c r="R11" i="20"/>
  <c r="E11" i="20" s="1"/>
  <c r="D11" i="20"/>
  <c r="R23" i="20"/>
  <c r="E23" i="20" s="1"/>
  <c r="S17" i="20"/>
  <c r="F17" i="20" s="1"/>
  <c r="S32" i="20"/>
  <c r="R24" i="20"/>
  <c r="D24" i="20"/>
  <c r="R15" i="20"/>
  <c r="E15" i="20" s="1"/>
  <c r="S16" i="20"/>
  <c r="F16" i="20" s="1"/>
  <c r="T21" i="20"/>
  <c r="F21" i="20"/>
  <c r="R31" i="20"/>
  <c r="E31" i="20" s="1"/>
  <c r="D31" i="20"/>
  <c r="T12" i="20"/>
  <c r="G12" i="20" s="1"/>
  <c r="F12" i="20"/>
  <c r="T9" i="20"/>
  <c r="G9" i="20" s="1"/>
  <c r="F9" i="20"/>
  <c r="R20" i="20"/>
  <c r="E20" i="20" s="1"/>
  <c r="D20" i="20"/>
  <c r="S13" i="19"/>
  <c r="F13" i="19" s="1"/>
  <c r="R9" i="19"/>
  <c r="E9" i="19" s="1"/>
  <c r="D9" i="19"/>
  <c r="S21" i="19"/>
  <c r="R33" i="19"/>
  <c r="R31" i="19"/>
  <c r="E31" i="19" s="1"/>
  <c r="D31" i="19"/>
  <c r="S16" i="19"/>
  <c r="T12" i="19"/>
  <c r="G12" i="19" s="1"/>
  <c r="T18" i="26"/>
  <c r="S23" i="26"/>
  <c r="F23" i="26" s="1"/>
  <c r="S20" i="26"/>
  <c r="T17" i="26"/>
  <c r="G17" i="26" s="1"/>
  <c r="S11" i="26"/>
  <c r="F11" i="26" s="1"/>
  <c r="R15" i="26"/>
  <c r="E15" i="26" s="1"/>
  <c r="S31" i="25"/>
  <c r="T17" i="25"/>
  <c r="G17" i="25" s="1"/>
  <c r="R15" i="25"/>
  <c r="E15" i="25" s="1"/>
  <c r="R13" i="25"/>
  <c r="E13" i="25" s="1"/>
  <c r="S23" i="23"/>
  <c r="S19" i="22"/>
  <c r="F19" i="22" s="1"/>
  <c r="R31" i="22"/>
  <c r="E31" i="22" s="1"/>
  <c r="U16" i="21"/>
  <c r="H16" i="21" s="1"/>
  <c r="R19" i="21"/>
  <c r="E19" i="21" s="1"/>
  <c r="V24" i="21"/>
  <c r="T16" i="21"/>
  <c r="G16" i="21" s="1"/>
  <c r="S20" i="20"/>
  <c r="S23" i="20"/>
  <c r="S31" i="19"/>
  <c r="F31" i="19" s="1"/>
  <c r="S25" i="19"/>
  <c r="F25" i="19" s="1"/>
  <c r="U20" i="19"/>
  <c r="H20" i="19" s="1"/>
  <c r="T24" i="19"/>
  <c r="G24" i="19" s="1"/>
  <c r="T20" i="19"/>
  <c r="G20" i="19" s="1"/>
  <c r="R29" i="19"/>
  <c r="E29" i="19" s="1"/>
  <c r="R28" i="19"/>
  <c r="E28" i="19" s="1"/>
  <c r="S22" i="19"/>
  <c r="F22" i="19" s="1"/>
  <c r="V17" i="19"/>
  <c r="J17" i="19" s="1"/>
  <c r="R16" i="28"/>
  <c r="S20" i="28"/>
  <c r="F20" i="28" s="1"/>
  <c r="T14" i="28"/>
  <c r="G14" i="28" s="1"/>
  <c r="S12" i="28"/>
  <c r="F12" i="28" s="1"/>
  <c r="S11" i="28"/>
  <c r="F11" i="28" s="1"/>
  <c r="S22" i="28"/>
  <c r="F22" i="28" s="1"/>
  <c r="R24" i="28"/>
  <c r="T15" i="28"/>
  <c r="S16" i="28"/>
  <c r="F16" i="28" s="1"/>
  <c r="T18" i="28"/>
  <c r="S12" i="27"/>
  <c r="F12" i="27" s="1"/>
  <c r="S20" i="27"/>
  <c r="F20" i="27" s="1"/>
  <c r="S11" i="27"/>
  <c r="U17" i="27"/>
  <c r="R15" i="27"/>
  <c r="E15" i="27" s="1"/>
  <c r="R18" i="27"/>
  <c r="E18" i="27" s="1"/>
  <c r="R10" i="27"/>
  <c r="E10" i="27" s="1"/>
  <c r="S16" i="27"/>
  <c r="F16" i="27" s="1"/>
  <c r="R23" i="27"/>
  <c r="T13" i="27"/>
  <c r="G13" i="27" s="1"/>
  <c r="S24" i="27"/>
  <c r="F24" i="27" s="1"/>
  <c r="R22" i="27"/>
  <c r="E22" i="27" s="1"/>
  <c r="R14" i="27"/>
  <c r="E14" i="27" s="1"/>
  <c r="T13" i="26"/>
  <c r="G13" i="26" s="1"/>
  <c r="T21" i="26"/>
  <c r="R14" i="26"/>
  <c r="E14" i="26" s="1"/>
  <c r="T18" i="25"/>
  <c r="V23" i="25"/>
  <c r="S20" i="25"/>
  <c r="F20" i="25" s="1"/>
  <c r="S24" i="25"/>
  <c r="F24" i="25" s="1"/>
  <c r="U23" i="25"/>
  <c r="H23" i="25" s="1"/>
  <c r="S10" i="25"/>
  <c r="S28" i="25"/>
  <c r="F28" i="25" s="1"/>
  <c r="S16" i="25"/>
  <c r="T22" i="25"/>
  <c r="T34" i="25"/>
  <c r="G34" i="25" s="1"/>
  <c r="S26" i="25"/>
  <c r="F26" i="25" s="1"/>
  <c r="R32" i="25"/>
  <c r="T12" i="25"/>
  <c r="S14" i="25"/>
  <c r="F14" i="25" s="1"/>
  <c r="U41" i="24"/>
  <c r="W38" i="24"/>
  <c r="W42" i="24"/>
  <c r="S34" i="24"/>
  <c r="F34" i="24" s="1"/>
  <c r="U39" i="24"/>
  <c r="V38" i="24"/>
  <c r="X38" i="24" s="1"/>
  <c r="S40" i="24"/>
  <c r="T40" i="24" s="1"/>
  <c r="S24" i="24"/>
  <c r="S10" i="24"/>
  <c r="F10" i="24" s="1"/>
  <c r="T36" i="24"/>
  <c r="U36" i="24" s="1"/>
  <c r="T39" i="24"/>
  <c r="R28" i="24"/>
  <c r="T14" i="24"/>
  <c r="U14" i="24" s="1"/>
  <c r="T22" i="24"/>
  <c r="G22" i="24" s="1"/>
  <c r="T12" i="24"/>
  <c r="G12" i="24" s="1"/>
  <c r="U37" i="24"/>
  <c r="T34" i="24"/>
  <c r="R35" i="24"/>
  <c r="U22" i="24"/>
  <c r="H22" i="24" s="1"/>
  <c r="S11" i="24"/>
  <c r="F11" i="24" s="1"/>
  <c r="R23" i="24"/>
  <c r="E23" i="24" s="1"/>
  <c r="S18" i="24"/>
  <c r="S31" i="24"/>
  <c r="X42" i="24"/>
  <c r="T25" i="24"/>
  <c r="G25" i="24" s="1"/>
  <c r="S19" i="24"/>
  <c r="T32" i="24"/>
  <c r="G32" i="24" s="1"/>
  <c r="T22" i="23"/>
  <c r="G22" i="23" s="1"/>
  <c r="S22" i="23"/>
  <c r="F22" i="23" s="1"/>
  <c r="R11" i="23"/>
  <c r="S31" i="23"/>
  <c r="R32" i="23"/>
  <c r="R12" i="23"/>
  <c r="S33" i="23"/>
  <c r="F33" i="23" s="1"/>
  <c r="S25" i="23"/>
  <c r="F25" i="23" s="1"/>
  <c r="S17" i="23"/>
  <c r="F17" i="23" s="1"/>
  <c r="S9" i="23"/>
  <c r="R20" i="23"/>
  <c r="E20" i="23" s="1"/>
  <c r="R14" i="23"/>
  <c r="S27" i="23"/>
  <c r="S16" i="23"/>
  <c r="R34" i="23"/>
  <c r="E34" i="23" s="1"/>
  <c r="T21" i="23"/>
  <c r="G21" i="23" s="1"/>
  <c r="R28" i="23"/>
  <c r="E28" i="23" s="1"/>
  <c r="R19" i="23"/>
  <c r="S24" i="23"/>
  <c r="R15" i="23"/>
  <c r="R30" i="23"/>
  <c r="E30" i="23" s="1"/>
  <c r="T17" i="23"/>
  <c r="G17" i="23" s="1"/>
  <c r="S28" i="22"/>
  <c r="R26" i="22"/>
  <c r="E26" i="22" s="1"/>
  <c r="S9" i="22"/>
  <c r="F9" i="22" s="1"/>
  <c r="T11" i="22"/>
  <c r="T25" i="22"/>
  <c r="G25" i="22" s="1"/>
  <c r="R22" i="22"/>
  <c r="E22" i="22" s="1"/>
  <c r="R27" i="22"/>
  <c r="T17" i="22"/>
  <c r="G17" i="22" s="1"/>
  <c r="R15" i="22"/>
  <c r="E15" i="22" s="1"/>
  <c r="S23" i="22"/>
  <c r="F23" i="22" s="1"/>
  <c r="U29" i="22"/>
  <c r="U20" i="22"/>
  <c r="T12" i="22"/>
  <c r="G12" i="22" s="1"/>
  <c r="T21" i="22"/>
  <c r="G21" i="22" s="1"/>
  <c r="S24" i="22"/>
  <c r="F24" i="22" s="1"/>
  <c r="R30" i="22"/>
  <c r="E30" i="22" s="1"/>
  <c r="R14" i="22"/>
  <c r="E14" i="22" s="1"/>
  <c r="S32" i="22"/>
  <c r="R23" i="22"/>
  <c r="E23" i="22" s="1"/>
  <c r="U17" i="22"/>
  <c r="H17" i="22" s="1"/>
  <c r="S16" i="22"/>
  <c r="F16" i="22" s="1"/>
  <c r="R34" i="22"/>
  <c r="E34" i="22" s="1"/>
  <c r="R18" i="22"/>
  <c r="E18" i="22" s="1"/>
  <c r="R10" i="22"/>
  <c r="S20" i="21"/>
  <c r="R34" i="21"/>
  <c r="R26" i="21"/>
  <c r="R18" i="21"/>
  <c r="R10" i="21"/>
  <c r="T25" i="21"/>
  <c r="G25" i="21" s="1"/>
  <c r="T21" i="21"/>
  <c r="G21" i="21" s="1"/>
  <c r="S28" i="21"/>
  <c r="F28" i="21" s="1"/>
  <c r="V16" i="21"/>
  <c r="J16" i="21" s="1"/>
  <c r="T33" i="21"/>
  <c r="G33" i="21" s="1"/>
  <c r="S12" i="21"/>
  <c r="R23" i="21"/>
  <c r="E23" i="21" s="1"/>
  <c r="R30" i="21"/>
  <c r="E30" i="21" s="1"/>
  <c r="R22" i="21"/>
  <c r="E22" i="21" s="1"/>
  <c r="R14" i="21"/>
  <c r="T9" i="21"/>
  <c r="G9" i="21" s="1"/>
  <c r="T29" i="21"/>
  <c r="G29" i="21" s="1"/>
  <c r="R31" i="21"/>
  <c r="E31" i="21" s="1"/>
  <c r="T13" i="21"/>
  <c r="T28" i="21"/>
  <c r="T17" i="21"/>
  <c r="G17" i="21" s="1"/>
  <c r="U9" i="20"/>
  <c r="U12" i="20"/>
  <c r="H12" i="20" s="1"/>
  <c r="S15" i="20"/>
  <c r="F15" i="20" s="1"/>
  <c r="T33" i="20"/>
  <c r="G33" i="20" s="1"/>
  <c r="R34" i="20"/>
  <c r="E34" i="20" s="1"/>
  <c r="R26" i="20"/>
  <c r="E26" i="20" s="1"/>
  <c r="R18" i="20"/>
  <c r="E18" i="20" s="1"/>
  <c r="R10" i="20"/>
  <c r="S11" i="20"/>
  <c r="T25" i="20"/>
  <c r="S31" i="20"/>
  <c r="F31" i="20" s="1"/>
  <c r="T28" i="20"/>
  <c r="G28" i="20" s="1"/>
  <c r="T17" i="20"/>
  <c r="S27" i="20"/>
  <c r="R30" i="20"/>
  <c r="E30" i="20" s="1"/>
  <c r="R22" i="20"/>
  <c r="E22" i="20" s="1"/>
  <c r="R14" i="20"/>
  <c r="E14" i="20" s="1"/>
  <c r="R19" i="20"/>
  <c r="E19" i="20" s="1"/>
  <c r="S29" i="20"/>
  <c r="S13" i="20"/>
  <c r="F13" i="20" s="1"/>
  <c r="R23" i="19"/>
  <c r="E23" i="19" s="1"/>
  <c r="S18" i="19"/>
  <c r="F18" i="19" s="1"/>
  <c r="R11" i="19"/>
  <c r="E11" i="19" s="1"/>
  <c r="T31" i="19"/>
  <c r="G31" i="19" s="1"/>
  <c r="R19" i="19"/>
  <c r="E19" i="19" s="1"/>
  <c r="S10" i="19"/>
  <c r="F10" i="19" s="1"/>
  <c r="S26" i="19"/>
  <c r="F26" i="19" s="1"/>
  <c r="T14" i="19"/>
  <c r="G14" i="19" s="1"/>
  <c r="R32" i="19"/>
  <c r="E32" i="19" s="1"/>
  <c r="S27" i="19"/>
  <c r="F27" i="19" s="1"/>
  <c r="R27" i="19"/>
  <c r="E27" i="19" s="1"/>
  <c r="S30" i="19"/>
  <c r="R15" i="19"/>
  <c r="E15" i="19" s="1"/>
  <c r="S9" i="19"/>
  <c r="F9" i="19" s="1"/>
  <c r="T13" i="19"/>
  <c r="G13" i="19" s="1"/>
  <c r="Q23" i="16"/>
  <c r="D23" i="16" s="1"/>
  <c r="D9" i="16"/>
  <c r="R16" i="16"/>
  <c r="E16" i="16" s="1"/>
  <c r="D25" i="16"/>
  <c r="Q30" i="16"/>
  <c r="D30" i="16" s="1"/>
  <c r="R9" i="16"/>
  <c r="E9" i="16" s="1"/>
  <c r="Q14" i="16"/>
  <c r="D14" i="16" s="1"/>
  <c r="R25" i="16"/>
  <c r="E25" i="16" s="1"/>
  <c r="R32" i="16"/>
  <c r="E32" i="16" s="1"/>
  <c r="Q19" i="16"/>
  <c r="D19" i="16" s="1"/>
  <c r="Q21" i="16"/>
  <c r="D21" i="16" s="1"/>
  <c r="Q10" i="16"/>
  <c r="R10" i="16" s="1"/>
  <c r="E10" i="16" s="1"/>
  <c r="Q26" i="16"/>
  <c r="R28" i="16"/>
  <c r="E28" i="16" s="1"/>
  <c r="Q31" i="16"/>
  <c r="R31" i="16" s="1"/>
  <c r="E31" i="16" s="1"/>
  <c r="Q33" i="16"/>
  <c r="D33" i="16" s="1"/>
  <c r="R14" i="16"/>
  <c r="E14" i="16" s="1"/>
  <c r="R12" i="16"/>
  <c r="E12" i="16" s="1"/>
  <c r="Q15" i="16"/>
  <c r="Q17" i="16"/>
  <c r="R24" i="16"/>
  <c r="E24" i="16" s="1"/>
  <c r="Q22" i="16"/>
  <c r="Q11" i="16"/>
  <c r="R11" i="16" s="1"/>
  <c r="Q13" i="16"/>
  <c r="R13" i="16" s="1"/>
  <c r="E13" i="16" s="1"/>
  <c r="Q27" i="16"/>
  <c r="Q29" i="16"/>
  <c r="R29" i="16" s="1"/>
  <c r="E29" i="16" s="1"/>
  <c r="S9" i="16"/>
  <c r="F9" i="16" s="1"/>
  <c r="Q18" i="16"/>
  <c r="R20" i="16"/>
  <c r="U18" i="28" l="1"/>
  <c r="H18" i="28" s="1"/>
  <c r="G18" i="28"/>
  <c r="F9" i="28"/>
  <c r="T9" i="28"/>
  <c r="G9" i="28" s="1"/>
  <c r="T12" i="28"/>
  <c r="G12" i="28" s="1"/>
  <c r="U15" i="28"/>
  <c r="H15" i="28" s="1"/>
  <c r="G15" i="28"/>
  <c r="T19" i="28"/>
  <c r="U14" i="28"/>
  <c r="H14" i="28" s="1"/>
  <c r="T23" i="28"/>
  <c r="T11" i="28"/>
  <c r="G11" i="28" s="1"/>
  <c r="S24" i="28"/>
  <c r="F24" i="28" s="1"/>
  <c r="E24" i="28"/>
  <c r="T16" i="28"/>
  <c r="G16" i="28" s="1"/>
  <c r="E16" i="28"/>
  <c r="F17" i="28"/>
  <c r="T17" i="28"/>
  <c r="T10" i="28"/>
  <c r="F10" i="28"/>
  <c r="F13" i="28"/>
  <c r="T13" i="28"/>
  <c r="G13" i="28" s="1"/>
  <c r="T21" i="28"/>
  <c r="V17" i="27"/>
  <c r="J17" i="27" s="1"/>
  <c r="H17" i="27"/>
  <c r="T11" i="27"/>
  <c r="G11" i="27" s="1"/>
  <c r="F11" i="27"/>
  <c r="T19" i="27"/>
  <c r="G19" i="27" s="1"/>
  <c r="T21" i="27"/>
  <c r="F21" i="27"/>
  <c r="S23" i="27"/>
  <c r="F23" i="27" s="1"/>
  <c r="E23" i="27"/>
  <c r="U21" i="27"/>
  <c r="H21" i="27" s="1"/>
  <c r="T9" i="27"/>
  <c r="U19" i="27"/>
  <c r="H19" i="27" s="1"/>
  <c r="S22" i="26"/>
  <c r="T24" i="26"/>
  <c r="F9" i="26"/>
  <c r="T12" i="26"/>
  <c r="F12" i="26"/>
  <c r="U12" i="26"/>
  <c r="H12" i="26" s="1"/>
  <c r="U13" i="26"/>
  <c r="T20" i="26"/>
  <c r="G20" i="26" s="1"/>
  <c r="F20" i="26"/>
  <c r="T9" i="26"/>
  <c r="G9" i="26" s="1"/>
  <c r="T16" i="26"/>
  <c r="F16" i="26"/>
  <c r="U16" i="26"/>
  <c r="H16" i="26" s="1"/>
  <c r="T10" i="26"/>
  <c r="F10" i="26"/>
  <c r="U19" i="26"/>
  <c r="U18" i="26"/>
  <c r="H18" i="26" s="1"/>
  <c r="G18" i="26"/>
  <c r="U21" i="26"/>
  <c r="H21" i="26" s="1"/>
  <c r="G21" i="26"/>
  <c r="T30" i="25"/>
  <c r="G30" i="25" s="1"/>
  <c r="F30" i="25"/>
  <c r="E19" i="25"/>
  <c r="S19" i="25"/>
  <c r="F19" i="25" s="1"/>
  <c r="S33" i="25"/>
  <c r="E33" i="25"/>
  <c r="U27" i="25"/>
  <c r="G27" i="25"/>
  <c r="T10" i="25"/>
  <c r="G10" i="25" s="1"/>
  <c r="F10" i="25"/>
  <c r="W23" i="25"/>
  <c r="K23" i="25" s="1"/>
  <c r="J23" i="25"/>
  <c r="U18" i="25"/>
  <c r="G18" i="25"/>
  <c r="S13" i="25"/>
  <c r="F13" i="25" s="1"/>
  <c r="F29" i="25"/>
  <c r="T29" i="25"/>
  <c r="F9" i="25"/>
  <c r="T9" i="25"/>
  <c r="G9" i="25" s="1"/>
  <c r="U12" i="25"/>
  <c r="H12" i="25" s="1"/>
  <c r="G12" i="25"/>
  <c r="U22" i="25"/>
  <c r="H22" i="25" s="1"/>
  <c r="G22" i="25"/>
  <c r="E11" i="25"/>
  <c r="S11" i="25"/>
  <c r="U9" i="25"/>
  <c r="H9" i="25" s="1"/>
  <c r="U25" i="25"/>
  <c r="H25" i="25" s="1"/>
  <c r="G25" i="25"/>
  <c r="S32" i="25"/>
  <c r="F32" i="25" s="1"/>
  <c r="E32" i="25"/>
  <c r="T16" i="25"/>
  <c r="G16" i="25" s="1"/>
  <c r="F16" i="25"/>
  <c r="T31" i="25"/>
  <c r="G31" i="25" s="1"/>
  <c r="F31" i="25"/>
  <c r="F21" i="25"/>
  <c r="T21" i="25"/>
  <c r="H14" i="24"/>
  <c r="V14" i="24"/>
  <c r="E29" i="24"/>
  <c r="S29" i="24"/>
  <c r="T29" i="24"/>
  <c r="V30" i="24"/>
  <c r="H30" i="24"/>
  <c r="E13" i="24"/>
  <c r="S13" i="24"/>
  <c r="T19" i="24"/>
  <c r="G19" i="24" s="1"/>
  <c r="F19" i="24"/>
  <c r="U19" i="24"/>
  <c r="H19" i="24" s="1"/>
  <c r="T11" i="24"/>
  <c r="G11" i="24" s="1"/>
  <c r="S23" i="24"/>
  <c r="F23" i="24" s="1"/>
  <c r="T26" i="24"/>
  <c r="G26" i="24" s="1"/>
  <c r="G21" i="24"/>
  <c r="U21" i="24"/>
  <c r="T31" i="24"/>
  <c r="G31" i="24" s="1"/>
  <c r="F31" i="24"/>
  <c r="U34" i="24"/>
  <c r="H34" i="24" s="1"/>
  <c r="G34" i="24"/>
  <c r="S28" i="24"/>
  <c r="E28" i="24"/>
  <c r="W14" i="24"/>
  <c r="K14" i="24" s="1"/>
  <c r="G14" i="24"/>
  <c r="U17" i="24"/>
  <c r="H17" i="24" s="1"/>
  <c r="G17" i="24"/>
  <c r="T9" i="24"/>
  <c r="G9" i="24" s="1"/>
  <c r="T24" i="24"/>
  <c r="G24" i="24" s="1"/>
  <c r="F24" i="24"/>
  <c r="E27" i="24"/>
  <c r="S27" i="24"/>
  <c r="S20" i="24"/>
  <c r="E20" i="24"/>
  <c r="U31" i="24"/>
  <c r="H31" i="24" s="1"/>
  <c r="F15" i="24"/>
  <c r="T18" i="24"/>
  <c r="G18" i="24" s="1"/>
  <c r="F18" i="24"/>
  <c r="S16" i="24"/>
  <c r="U15" i="24"/>
  <c r="F33" i="24"/>
  <c r="T33" i="24"/>
  <c r="G33" i="24" s="1"/>
  <c r="T29" i="23"/>
  <c r="T23" i="23"/>
  <c r="F23" i="23"/>
  <c r="S10" i="23"/>
  <c r="E10" i="23"/>
  <c r="T16" i="23"/>
  <c r="G16" i="23" s="1"/>
  <c r="F16" i="23"/>
  <c r="S12" i="23"/>
  <c r="F12" i="23" s="1"/>
  <c r="E12" i="23"/>
  <c r="S15" i="23"/>
  <c r="F15" i="23" s="1"/>
  <c r="E15" i="23"/>
  <c r="S26" i="23"/>
  <c r="E26" i="23"/>
  <c r="T27" i="23"/>
  <c r="G27" i="23" s="1"/>
  <c r="F27" i="23"/>
  <c r="T24" i="23"/>
  <c r="G24" i="23" s="1"/>
  <c r="F24" i="23"/>
  <c r="S14" i="23"/>
  <c r="F14" i="23" s="1"/>
  <c r="E14" i="23"/>
  <c r="U13" i="23"/>
  <c r="H13" i="23" s="1"/>
  <c r="S18" i="23"/>
  <c r="F18" i="23" s="1"/>
  <c r="E18" i="23"/>
  <c r="S19" i="23"/>
  <c r="F19" i="23" s="1"/>
  <c r="E19" i="23"/>
  <c r="T31" i="23"/>
  <c r="F31" i="23"/>
  <c r="T9" i="23"/>
  <c r="G9" i="23" s="1"/>
  <c r="F9" i="23"/>
  <c r="S11" i="23"/>
  <c r="F11" i="23" s="1"/>
  <c r="E11" i="23"/>
  <c r="S32" i="23"/>
  <c r="F32" i="23" s="1"/>
  <c r="E32" i="23"/>
  <c r="U33" i="22"/>
  <c r="S31" i="22"/>
  <c r="V20" i="22"/>
  <c r="J20" i="22" s="1"/>
  <c r="H20" i="22"/>
  <c r="U11" i="22"/>
  <c r="G11" i="22"/>
  <c r="T13" i="22"/>
  <c r="F13" i="22"/>
  <c r="S10" i="22"/>
  <c r="F10" i="22" s="1"/>
  <c r="E10" i="22"/>
  <c r="T32" i="22"/>
  <c r="G32" i="22" s="1"/>
  <c r="F32" i="22"/>
  <c r="V29" i="22"/>
  <c r="J29" i="22" s="1"/>
  <c r="H29" i="22"/>
  <c r="S27" i="22"/>
  <c r="E27" i="22"/>
  <c r="T9" i="22"/>
  <c r="G9" i="22" s="1"/>
  <c r="T28" i="22"/>
  <c r="F28" i="22"/>
  <c r="S34" i="22"/>
  <c r="F34" i="22" s="1"/>
  <c r="S26" i="22"/>
  <c r="S27" i="21"/>
  <c r="E27" i="21"/>
  <c r="T12" i="21"/>
  <c r="G12" i="21" s="1"/>
  <c r="F12" i="21"/>
  <c r="S10" i="21"/>
  <c r="F10" i="21" s="1"/>
  <c r="E10" i="21"/>
  <c r="W24" i="21"/>
  <c r="J24" i="21"/>
  <c r="S18" i="21"/>
  <c r="F18" i="21" s="1"/>
  <c r="E18" i="21"/>
  <c r="S26" i="21"/>
  <c r="F26" i="21" s="1"/>
  <c r="E26" i="21"/>
  <c r="T11" i="21"/>
  <c r="F11" i="21"/>
  <c r="S34" i="21"/>
  <c r="F34" i="21" s="1"/>
  <c r="E34" i="21"/>
  <c r="S19" i="21"/>
  <c r="F19" i="21" s="1"/>
  <c r="S14" i="21"/>
  <c r="F14" i="21" s="1"/>
  <c r="E14" i="21"/>
  <c r="T20" i="21"/>
  <c r="G20" i="21" s="1"/>
  <c r="F20" i="21"/>
  <c r="S15" i="21"/>
  <c r="E15" i="21"/>
  <c r="T32" i="21"/>
  <c r="F32" i="21"/>
  <c r="U13" i="21"/>
  <c r="H13" i="21" s="1"/>
  <c r="G13" i="21"/>
  <c r="U33" i="21"/>
  <c r="U28" i="21"/>
  <c r="H28" i="21" s="1"/>
  <c r="G28" i="21"/>
  <c r="U17" i="20"/>
  <c r="H17" i="20" s="1"/>
  <c r="G17" i="20"/>
  <c r="T23" i="20"/>
  <c r="G23" i="20" s="1"/>
  <c r="F23" i="20"/>
  <c r="F20" i="20"/>
  <c r="T29" i="20"/>
  <c r="G29" i="20" s="1"/>
  <c r="F29" i="20"/>
  <c r="T20" i="20"/>
  <c r="S24" i="20"/>
  <c r="E24" i="20"/>
  <c r="V12" i="20"/>
  <c r="J12" i="20" s="1"/>
  <c r="S10" i="20"/>
  <c r="F10" i="20" s="1"/>
  <c r="E10" i="20"/>
  <c r="V9" i="20"/>
  <c r="H9" i="20"/>
  <c r="U21" i="20"/>
  <c r="G21" i="20"/>
  <c r="T32" i="20"/>
  <c r="F32" i="20"/>
  <c r="T16" i="20"/>
  <c r="T27" i="20"/>
  <c r="G27" i="20" s="1"/>
  <c r="F27" i="20"/>
  <c r="T11" i="20"/>
  <c r="G11" i="20" s="1"/>
  <c r="F11" i="20"/>
  <c r="U25" i="20"/>
  <c r="H25" i="20" s="1"/>
  <c r="G25" i="20"/>
  <c r="F21" i="19"/>
  <c r="T21" i="19"/>
  <c r="T22" i="19"/>
  <c r="T30" i="19"/>
  <c r="G30" i="19" s="1"/>
  <c r="F30" i="19"/>
  <c r="E33" i="19"/>
  <c r="S33" i="19"/>
  <c r="F33" i="19" s="1"/>
  <c r="U12" i="19"/>
  <c r="U14" i="19"/>
  <c r="H14" i="19" s="1"/>
  <c r="F16" i="19"/>
  <c r="T16" i="19"/>
  <c r="S32" i="16"/>
  <c r="F32" i="16" s="1"/>
  <c r="S24" i="16"/>
  <c r="F24" i="16" s="1"/>
  <c r="R33" i="16"/>
  <c r="E33" i="16" s="1"/>
  <c r="S28" i="16"/>
  <c r="F28" i="16" s="1"/>
  <c r="U12" i="28"/>
  <c r="H12" i="28" s="1"/>
  <c r="T16" i="27"/>
  <c r="T23" i="27"/>
  <c r="G23" i="27" s="1"/>
  <c r="W17" i="27"/>
  <c r="V19" i="27"/>
  <c r="J19" i="27" s="1"/>
  <c r="V18" i="26"/>
  <c r="T11" i="26"/>
  <c r="G11" i="26" s="1"/>
  <c r="U17" i="26"/>
  <c r="T23" i="26"/>
  <c r="S15" i="26"/>
  <c r="F15" i="26" s="1"/>
  <c r="T15" i="26"/>
  <c r="U15" i="26" s="1"/>
  <c r="U31" i="25"/>
  <c r="H31" i="25" s="1"/>
  <c r="U17" i="25"/>
  <c r="H17" i="25" s="1"/>
  <c r="S15" i="25"/>
  <c r="F15" i="25" s="1"/>
  <c r="U16" i="23"/>
  <c r="H16" i="23" s="1"/>
  <c r="T15" i="23"/>
  <c r="G15" i="23" s="1"/>
  <c r="W20" i="22"/>
  <c r="K20" i="22" s="1"/>
  <c r="X20" i="22"/>
  <c r="I20" i="22" s="1"/>
  <c r="U9" i="22"/>
  <c r="H9" i="22" s="1"/>
  <c r="T34" i="22"/>
  <c r="G34" i="22" s="1"/>
  <c r="V17" i="22"/>
  <c r="T19" i="22"/>
  <c r="G19" i="22" s="1"/>
  <c r="T19" i="21"/>
  <c r="G19" i="21" s="1"/>
  <c r="W12" i="20"/>
  <c r="K12" i="20" s="1"/>
  <c r="U27" i="20"/>
  <c r="H27" i="20" s="1"/>
  <c r="T10" i="20"/>
  <c r="G10" i="20" s="1"/>
  <c r="U23" i="20"/>
  <c r="T28" i="19"/>
  <c r="G28" i="19" s="1"/>
  <c r="S28" i="19"/>
  <c r="F28" i="19" s="1"/>
  <c r="U24" i="19"/>
  <c r="H24" i="19" s="1"/>
  <c r="V24" i="19"/>
  <c r="J24" i="19" s="1"/>
  <c r="S29" i="19"/>
  <c r="V20" i="19"/>
  <c r="J20" i="19" s="1"/>
  <c r="W20" i="19"/>
  <c r="K20" i="19" s="1"/>
  <c r="T25" i="19"/>
  <c r="G25" i="19" s="1"/>
  <c r="W17" i="19"/>
  <c r="K17" i="19" s="1"/>
  <c r="E11" i="16"/>
  <c r="S11" i="16"/>
  <c r="F11" i="16" s="1"/>
  <c r="S16" i="16"/>
  <c r="F16" i="16" s="1"/>
  <c r="R30" i="16"/>
  <c r="E30" i="16" s="1"/>
  <c r="S33" i="16"/>
  <c r="F33" i="16" s="1"/>
  <c r="V18" i="28"/>
  <c r="J18" i="28" s="1"/>
  <c r="T20" i="28"/>
  <c r="G20" i="28" s="1"/>
  <c r="T24" i="28"/>
  <c r="U16" i="28"/>
  <c r="V15" i="28"/>
  <c r="J15" i="28" s="1"/>
  <c r="T22" i="28"/>
  <c r="G22" i="28" s="1"/>
  <c r="V14" i="28"/>
  <c r="J14" i="28" s="1"/>
  <c r="U11" i="28"/>
  <c r="H11" i="28" s="1"/>
  <c r="W18" i="28"/>
  <c r="U13" i="27"/>
  <c r="H13" i="27" s="1"/>
  <c r="V13" i="27"/>
  <c r="J13" i="27" s="1"/>
  <c r="T24" i="27"/>
  <c r="S22" i="27"/>
  <c r="F22" i="27" s="1"/>
  <c r="S10" i="27"/>
  <c r="F10" i="27" s="1"/>
  <c r="S18" i="27"/>
  <c r="F18" i="27" s="1"/>
  <c r="S14" i="27"/>
  <c r="F14" i="27" s="1"/>
  <c r="T20" i="27"/>
  <c r="G20" i="27" s="1"/>
  <c r="S15" i="27"/>
  <c r="F15" i="27" s="1"/>
  <c r="T12" i="27"/>
  <c r="U11" i="27"/>
  <c r="H11" i="27" s="1"/>
  <c r="S14" i="26"/>
  <c r="V21" i="26"/>
  <c r="J21" i="26" s="1"/>
  <c r="U16" i="25"/>
  <c r="H16" i="25" s="1"/>
  <c r="T24" i="25"/>
  <c r="G24" i="25" s="1"/>
  <c r="X23" i="25"/>
  <c r="I23" i="25" s="1"/>
  <c r="U34" i="25"/>
  <c r="H34" i="25" s="1"/>
  <c r="V12" i="25"/>
  <c r="U24" i="25"/>
  <c r="H24" i="25" s="1"/>
  <c r="T28" i="25"/>
  <c r="T20" i="25"/>
  <c r="T14" i="25"/>
  <c r="U10" i="25"/>
  <c r="V34" i="25"/>
  <c r="T26" i="25"/>
  <c r="G26" i="25" s="1"/>
  <c r="U40" i="24"/>
  <c r="V40" i="24"/>
  <c r="W40" i="24"/>
  <c r="X40" i="24"/>
  <c r="V34" i="24"/>
  <c r="J34" i="24" s="1"/>
  <c r="V39" i="24"/>
  <c r="W39" i="24" s="1"/>
  <c r="X39" i="24" s="1"/>
  <c r="U12" i="24"/>
  <c r="H12" i="24" s="1"/>
  <c r="U32" i="24"/>
  <c r="U11" i="24"/>
  <c r="W24" i="24"/>
  <c r="K24" i="24" s="1"/>
  <c r="U18" i="24"/>
  <c r="T35" i="24"/>
  <c r="V24" i="24"/>
  <c r="J24" i="24" s="1"/>
  <c r="U26" i="24"/>
  <c r="H26" i="24" s="1"/>
  <c r="U25" i="24"/>
  <c r="V22" i="24"/>
  <c r="U24" i="24"/>
  <c r="V41" i="24"/>
  <c r="T23" i="24"/>
  <c r="G23" i="24" s="1"/>
  <c r="S35" i="24"/>
  <c r="V36" i="24"/>
  <c r="V37" i="24"/>
  <c r="W37" i="24" s="1"/>
  <c r="U9" i="24"/>
  <c r="T10" i="24"/>
  <c r="V16" i="23"/>
  <c r="U27" i="23"/>
  <c r="H27" i="23" s="1"/>
  <c r="T14" i="23"/>
  <c r="U17" i="23"/>
  <c r="H17" i="23" s="1"/>
  <c r="U24" i="23"/>
  <c r="T12" i="23"/>
  <c r="G12" i="23" s="1"/>
  <c r="V13" i="23"/>
  <c r="T32" i="23"/>
  <c r="G32" i="23" s="1"/>
  <c r="T33" i="23"/>
  <c r="T11" i="23"/>
  <c r="G11" i="23" s="1"/>
  <c r="U21" i="23"/>
  <c r="H21" i="23" s="1"/>
  <c r="S34" i="23"/>
  <c r="S20" i="23"/>
  <c r="U9" i="23"/>
  <c r="S28" i="23"/>
  <c r="F28" i="23" s="1"/>
  <c r="S30" i="23"/>
  <c r="T25" i="23"/>
  <c r="U22" i="23"/>
  <c r="H22" i="23" s="1"/>
  <c r="V22" i="23"/>
  <c r="J22" i="23" s="1"/>
  <c r="T10" i="22"/>
  <c r="S14" i="22"/>
  <c r="F14" i="22" s="1"/>
  <c r="U12" i="22"/>
  <c r="T16" i="22"/>
  <c r="S22" i="22"/>
  <c r="U25" i="22"/>
  <c r="T24" i="22"/>
  <c r="G24" i="22" s="1"/>
  <c r="T15" i="22"/>
  <c r="G15" i="22" s="1"/>
  <c r="U32" i="22"/>
  <c r="H32" i="22" s="1"/>
  <c r="T23" i="22"/>
  <c r="G23" i="22" s="1"/>
  <c r="S30" i="22"/>
  <c r="F30" i="22" s="1"/>
  <c r="U21" i="22"/>
  <c r="S15" i="22"/>
  <c r="F15" i="22" s="1"/>
  <c r="W29" i="22"/>
  <c r="S18" i="22"/>
  <c r="F18" i="22" s="1"/>
  <c r="U12" i="21"/>
  <c r="U20" i="21"/>
  <c r="H20" i="21" s="1"/>
  <c r="T14" i="21"/>
  <c r="G14" i="21" s="1"/>
  <c r="S30" i="21"/>
  <c r="U21" i="21"/>
  <c r="V13" i="21"/>
  <c r="J13" i="21" s="1"/>
  <c r="S23" i="21"/>
  <c r="F23" i="21" s="1"/>
  <c r="U25" i="21"/>
  <c r="H25" i="21" s="1"/>
  <c r="T18" i="21"/>
  <c r="G18" i="21" s="1"/>
  <c r="W16" i="21"/>
  <c r="U9" i="21"/>
  <c r="U17" i="21"/>
  <c r="T10" i="21"/>
  <c r="G10" i="21" s="1"/>
  <c r="S22" i="21"/>
  <c r="F22" i="21" s="1"/>
  <c r="V12" i="21"/>
  <c r="J12" i="21" s="1"/>
  <c r="S31" i="21"/>
  <c r="F31" i="21" s="1"/>
  <c r="U29" i="21"/>
  <c r="V29" i="21" s="1"/>
  <c r="J29" i="21" s="1"/>
  <c r="T26" i="21"/>
  <c r="G26" i="21" s="1"/>
  <c r="S30" i="20"/>
  <c r="S34" i="20"/>
  <c r="F34" i="20" s="1"/>
  <c r="V17" i="20"/>
  <c r="J17" i="20" s="1"/>
  <c r="S14" i="20"/>
  <c r="T18" i="20"/>
  <c r="G18" i="20" s="1"/>
  <c r="S18" i="20"/>
  <c r="F18" i="20" s="1"/>
  <c r="U28" i="20"/>
  <c r="H28" i="20" s="1"/>
  <c r="U18" i="20"/>
  <c r="H18" i="20" s="1"/>
  <c r="S22" i="20"/>
  <c r="F22" i="20" s="1"/>
  <c r="S26" i="20"/>
  <c r="F26" i="20" s="1"/>
  <c r="T26" i="20"/>
  <c r="G26" i="20" s="1"/>
  <c r="U11" i="20"/>
  <c r="S19" i="20"/>
  <c r="T15" i="20"/>
  <c r="W17" i="20"/>
  <c r="T31" i="20"/>
  <c r="V27" i="20"/>
  <c r="U33" i="20"/>
  <c r="H33" i="20" s="1"/>
  <c r="V25" i="20"/>
  <c r="U29" i="20"/>
  <c r="H29" i="20" s="1"/>
  <c r="T13" i="20"/>
  <c r="G13" i="20" s="1"/>
  <c r="V14" i="19"/>
  <c r="J14" i="19" s="1"/>
  <c r="T18" i="19"/>
  <c r="G18" i="19" s="1"/>
  <c r="S19" i="19"/>
  <c r="F19" i="19" s="1"/>
  <c r="U31" i="19"/>
  <c r="T9" i="19"/>
  <c r="G9" i="19" s="1"/>
  <c r="S11" i="19"/>
  <c r="F11" i="19" s="1"/>
  <c r="S15" i="19"/>
  <c r="U30" i="19"/>
  <c r="H30" i="19" s="1"/>
  <c r="T26" i="19"/>
  <c r="U9" i="19"/>
  <c r="H9" i="19" s="1"/>
  <c r="T10" i="19"/>
  <c r="G10" i="19" s="1"/>
  <c r="U13" i="19"/>
  <c r="H13" i="19" s="1"/>
  <c r="T27" i="19"/>
  <c r="G27" i="19" s="1"/>
  <c r="U27" i="19"/>
  <c r="H27" i="19" s="1"/>
  <c r="S32" i="19"/>
  <c r="F32" i="19" s="1"/>
  <c r="T11" i="19"/>
  <c r="G11" i="19" s="1"/>
  <c r="S23" i="19"/>
  <c r="F23" i="19" s="1"/>
  <c r="R22" i="16"/>
  <c r="E22" i="16" s="1"/>
  <c r="D22" i="16"/>
  <c r="E20" i="16"/>
  <c r="S20" i="16"/>
  <c r="D13" i="16"/>
  <c r="D15" i="16"/>
  <c r="S14" i="16"/>
  <c r="T14" i="16" s="1"/>
  <c r="G14" i="16" s="1"/>
  <c r="R23" i="16"/>
  <c r="D29" i="16"/>
  <c r="D27" i="16"/>
  <c r="S29" i="16"/>
  <c r="F29" i="16" s="1"/>
  <c r="R15" i="16"/>
  <c r="R26" i="16"/>
  <c r="D10" i="16"/>
  <c r="R19" i="16"/>
  <c r="S19" i="16" s="1"/>
  <c r="F19" i="16" s="1"/>
  <c r="D17" i="16"/>
  <c r="R18" i="16"/>
  <c r="D18" i="16"/>
  <c r="R27" i="16"/>
  <c r="R17" i="16"/>
  <c r="S12" i="16"/>
  <c r="T32" i="16"/>
  <c r="S10" i="16"/>
  <c r="T9" i="16"/>
  <c r="T20" i="16"/>
  <c r="G20" i="16" s="1"/>
  <c r="D26" i="16"/>
  <c r="S25" i="16"/>
  <c r="T25" i="16" s="1"/>
  <c r="D11" i="16"/>
  <c r="R21" i="16"/>
  <c r="E21" i="16" s="1"/>
  <c r="S30" i="16"/>
  <c r="T30" i="16" s="1"/>
  <c r="D31" i="16"/>
  <c r="S31" i="16"/>
  <c r="F31" i="16" s="1"/>
  <c r="T24" i="16"/>
  <c r="G24" i="16" s="1"/>
  <c r="S13" i="16"/>
  <c r="T13" i="16" s="1"/>
  <c r="T28" i="16"/>
  <c r="U24" i="28" l="1"/>
  <c r="H24" i="28" s="1"/>
  <c r="G24" i="28"/>
  <c r="G10" i="28"/>
  <c r="U10" i="28"/>
  <c r="G17" i="28"/>
  <c r="X18" i="28"/>
  <c r="I18" i="28" s="1"/>
  <c r="K18" i="28"/>
  <c r="N18" i="28" s="1"/>
  <c r="V16" i="28"/>
  <c r="J16" i="28" s="1"/>
  <c r="H16" i="28"/>
  <c r="U21" i="28"/>
  <c r="G21" i="28"/>
  <c r="V21" i="28"/>
  <c r="J21" i="28" s="1"/>
  <c r="U17" i="28"/>
  <c r="U23" i="28"/>
  <c r="G23" i="28"/>
  <c r="W15" i="28"/>
  <c r="U13" i="28"/>
  <c r="H13" i="28" s="1"/>
  <c r="V13" i="28"/>
  <c r="U9" i="28"/>
  <c r="U19" i="28"/>
  <c r="G19" i="28"/>
  <c r="U9" i="27"/>
  <c r="G9" i="27"/>
  <c r="T10" i="27"/>
  <c r="G10" i="27" s="1"/>
  <c r="U24" i="27"/>
  <c r="H24" i="27" s="1"/>
  <c r="G24" i="27"/>
  <c r="U16" i="27"/>
  <c r="H16" i="27" s="1"/>
  <c r="G16" i="27"/>
  <c r="V21" i="27"/>
  <c r="J21" i="27" s="1"/>
  <c r="X17" i="27"/>
  <c r="I17" i="27" s="1"/>
  <c r="N17" i="27" s="1"/>
  <c r="K17" i="27"/>
  <c r="G21" i="27"/>
  <c r="W21" i="27"/>
  <c r="K21" i="27" s="1"/>
  <c r="U12" i="27"/>
  <c r="G12" i="27"/>
  <c r="T15" i="27"/>
  <c r="G15" i="27" s="1"/>
  <c r="U20" i="26"/>
  <c r="H20" i="26" s="1"/>
  <c r="F22" i="26"/>
  <c r="T22" i="26"/>
  <c r="V15" i="26"/>
  <c r="J15" i="26" s="1"/>
  <c r="H15" i="26"/>
  <c r="W18" i="26"/>
  <c r="J18" i="26"/>
  <c r="G24" i="26"/>
  <c r="V16" i="26"/>
  <c r="J16" i="26" s="1"/>
  <c r="V13" i="26"/>
  <c r="J13" i="26" s="1"/>
  <c r="H13" i="26"/>
  <c r="U23" i="26"/>
  <c r="H23" i="26" s="1"/>
  <c r="G23" i="26"/>
  <c r="U24" i="26"/>
  <c r="V24" i="26" s="1"/>
  <c r="V19" i="26"/>
  <c r="J19" i="26" s="1"/>
  <c r="H19" i="26"/>
  <c r="G16" i="26"/>
  <c r="V12" i="26"/>
  <c r="G12" i="26"/>
  <c r="W15" i="26"/>
  <c r="K15" i="26" s="1"/>
  <c r="G15" i="26"/>
  <c r="T14" i="26"/>
  <c r="G14" i="26" s="1"/>
  <c r="F14" i="26"/>
  <c r="V17" i="26"/>
  <c r="J17" i="26" s="1"/>
  <c r="H17" i="26"/>
  <c r="U9" i="26"/>
  <c r="V9" i="26" s="1"/>
  <c r="G10" i="26"/>
  <c r="U10" i="26"/>
  <c r="U20" i="25"/>
  <c r="H20" i="25" s="1"/>
  <c r="G20" i="25"/>
  <c r="V10" i="25"/>
  <c r="J10" i="25" s="1"/>
  <c r="H10" i="25"/>
  <c r="T32" i="25"/>
  <c r="G32" i="25" s="1"/>
  <c r="G29" i="25"/>
  <c r="U29" i="25"/>
  <c r="U14" i="25"/>
  <c r="H14" i="25" s="1"/>
  <c r="G14" i="25"/>
  <c r="G21" i="25"/>
  <c r="U21" i="25"/>
  <c r="T33" i="25"/>
  <c r="U33" i="25" s="1"/>
  <c r="F33" i="25"/>
  <c r="V18" i="25"/>
  <c r="H18" i="25"/>
  <c r="U28" i="25"/>
  <c r="H28" i="25" s="1"/>
  <c r="G28" i="25"/>
  <c r="H27" i="25"/>
  <c r="W27" i="25"/>
  <c r="V27" i="25"/>
  <c r="J27" i="25" s="1"/>
  <c r="V16" i="25"/>
  <c r="N23" i="25"/>
  <c r="U30" i="25"/>
  <c r="H30" i="25" s="1"/>
  <c r="V9" i="25"/>
  <c r="W12" i="25"/>
  <c r="J12" i="25"/>
  <c r="W34" i="25"/>
  <c r="J34" i="25"/>
  <c r="V22" i="25"/>
  <c r="T13" i="25"/>
  <c r="V31" i="25"/>
  <c r="J31" i="25" s="1"/>
  <c r="T11" i="25"/>
  <c r="F11" i="25"/>
  <c r="T19" i="25"/>
  <c r="U19" i="25" s="1"/>
  <c r="H19" i="25" s="1"/>
  <c r="V25" i="25"/>
  <c r="V9" i="24"/>
  <c r="J9" i="24" s="1"/>
  <c r="H9" i="24"/>
  <c r="V25" i="24"/>
  <c r="J25" i="24" s="1"/>
  <c r="H25" i="24"/>
  <c r="H11" i="24"/>
  <c r="F29" i="24"/>
  <c r="H15" i="24"/>
  <c r="F16" i="24"/>
  <c r="T16" i="24"/>
  <c r="F20" i="24"/>
  <c r="T20" i="24"/>
  <c r="U20" i="24" s="1"/>
  <c r="H20" i="24" s="1"/>
  <c r="H21" i="24"/>
  <c r="W21" i="24"/>
  <c r="K21" i="24" s="1"/>
  <c r="W22" i="24"/>
  <c r="J22" i="24"/>
  <c r="T27" i="24"/>
  <c r="U27" i="24" s="1"/>
  <c r="F27" i="24"/>
  <c r="W34" i="24"/>
  <c r="V32" i="24"/>
  <c r="H32" i="24"/>
  <c r="V21" i="24"/>
  <c r="J21" i="24" s="1"/>
  <c r="T13" i="24"/>
  <c r="F13" i="24"/>
  <c r="X14" i="24"/>
  <c r="I14" i="24" s="1"/>
  <c r="N14" i="24" s="1"/>
  <c r="J14" i="24"/>
  <c r="V31" i="24"/>
  <c r="V19" i="24"/>
  <c r="N24" i="24"/>
  <c r="F28" i="24"/>
  <c r="T28" i="24"/>
  <c r="V17" i="24"/>
  <c r="V12" i="24"/>
  <c r="U29" i="24"/>
  <c r="H29" i="24" s="1"/>
  <c r="G29" i="24"/>
  <c r="U10" i="24"/>
  <c r="H10" i="24" s="1"/>
  <c r="G10" i="24"/>
  <c r="X24" i="24"/>
  <c r="I24" i="24" s="1"/>
  <c r="H24" i="24"/>
  <c r="V18" i="24"/>
  <c r="J18" i="24" s="1"/>
  <c r="H18" i="24"/>
  <c r="V11" i="24"/>
  <c r="V15" i="24"/>
  <c r="J15" i="24" s="1"/>
  <c r="J30" i="24"/>
  <c r="X30" i="24"/>
  <c r="I30" i="24" s="1"/>
  <c r="N30" i="24" s="1"/>
  <c r="W30" i="24"/>
  <c r="K30" i="24" s="1"/>
  <c r="U33" i="24"/>
  <c r="U25" i="23"/>
  <c r="H25" i="23" s="1"/>
  <c r="G25" i="23"/>
  <c r="U33" i="23"/>
  <c r="H33" i="23" s="1"/>
  <c r="G33" i="23"/>
  <c r="W16" i="23"/>
  <c r="K16" i="23" s="1"/>
  <c r="J16" i="23"/>
  <c r="T18" i="23"/>
  <c r="T19" i="23"/>
  <c r="V9" i="23"/>
  <c r="J9" i="23" s="1"/>
  <c r="H9" i="23"/>
  <c r="U32" i="23"/>
  <c r="T30" i="23"/>
  <c r="G30" i="23" s="1"/>
  <c r="F30" i="23"/>
  <c r="T20" i="23"/>
  <c r="G20" i="23" s="1"/>
  <c r="F20" i="23"/>
  <c r="W13" i="23"/>
  <c r="J13" i="23"/>
  <c r="F26" i="23"/>
  <c r="T26" i="23"/>
  <c r="U23" i="23"/>
  <c r="G23" i="23"/>
  <c r="V24" i="23"/>
  <c r="J24" i="23" s="1"/>
  <c r="H24" i="23"/>
  <c r="U15" i="23"/>
  <c r="H15" i="23" s="1"/>
  <c r="U14" i="23"/>
  <c r="G14" i="23"/>
  <c r="U29" i="23"/>
  <c r="G29" i="23"/>
  <c r="F10" i="23"/>
  <c r="T10" i="23"/>
  <c r="G10" i="23" s="1"/>
  <c r="T34" i="23"/>
  <c r="G34" i="23" s="1"/>
  <c r="F34" i="23"/>
  <c r="U10" i="23"/>
  <c r="H10" i="23" s="1"/>
  <c r="U31" i="23"/>
  <c r="G31" i="23"/>
  <c r="V12" i="22"/>
  <c r="H12" i="22"/>
  <c r="W17" i="22"/>
  <c r="J17" i="22"/>
  <c r="X29" i="22"/>
  <c r="I29" i="22" s="1"/>
  <c r="K29" i="22"/>
  <c r="N29" i="22" s="1"/>
  <c r="U10" i="22"/>
  <c r="H10" i="22" s="1"/>
  <c r="G10" i="22"/>
  <c r="T26" i="22"/>
  <c r="F26" i="22"/>
  <c r="H11" i="22"/>
  <c r="V11" i="22"/>
  <c r="V21" i="22"/>
  <c r="H21" i="22"/>
  <c r="V25" i="22"/>
  <c r="J25" i="22" s="1"/>
  <c r="H25" i="22"/>
  <c r="N20" i="22"/>
  <c r="T27" i="22"/>
  <c r="G27" i="22" s="1"/>
  <c r="F27" i="22"/>
  <c r="T22" i="22"/>
  <c r="G22" i="22" s="1"/>
  <c r="F22" i="22"/>
  <c r="V9" i="22"/>
  <c r="U13" i="22"/>
  <c r="H13" i="22" s="1"/>
  <c r="G13" i="22"/>
  <c r="V13" i="22"/>
  <c r="U34" i="22"/>
  <c r="U28" i="22"/>
  <c r="G28" i="22"/>
  <c r="T31" i="22"/>
  <c r="F31" i="22"/>
  <c r="U27" i="22"/>
  <c r="H27" i="22" s="1"/>
  <c r="U16" i="22"/>
  <c r="H16" i="22" s="1"/>
  <c r="G16" i="22"/>
  <c r="V33" i="22"/>
  <c r="H33" i="22"/>
  <c r="W27" i="21"/>
  <c r="H33" i="21"/>
  <c r="V33" i="21"/>
  <c r="K24" i="21"/>
  <c r="X24" i="21"/>
  <c r="I24" i="21" s="1"/>
  <c r="G11" i="21"/>
  <c r="U11" i="21"/>
  <c r="F15" i="21"/>
  <c r="T15" i="21"/>
  <c r="V17" i="21"/>
  <c r="H17" i="21"/>
  <c r="T34" i="21"/>
  <c r="U32" i="21"/>
  <c r="G32" i="21"/>
  <c r="V32" i="21"/>
  <c r="J32" i="21" s="1"/>
  <c r="W32" i="21"/>
  <c r="K32" i="21" s="1"/>
  <c r="F27" i="21"/>
  <c r="T27" i="21"/>
  <c r="G27" i="21" s="1"/>
  <c r="W29" i="21"/>
  <c r="H29" i="21"/>
  <c r="V9" i="21"/>
  <c r="J9" i="21" s="1"/>
  <c r="H9" i="21"/>
  <c r="W12" i="21"/>
  <c r="K12" i="21" s="1"/>
  <c r="H12" i="21"/>
  <c r="U19" i="21"/>
  <c r="H19" i="21" s="1"/>
  <c r="U27" i="21"/>
  <c r="H27" i="21" s="1"/>
  <c r="V27" i="21"/>
  <c r="J27" i="21" s="1"/>
  <c r="T30" i="21"/>
  <c r="G30" i="21" s="1"/>
  <c r="F30" i="21"/>
  <c r="W13" i="21"/>
  <c r="X16" i="21"/>
  <c r="I16" i="21" s="1"/>
  <c r="K16" i="21"/>
  <c r="V21" i="21"/>
  <c r="J21" i="21" s="1"/>
  <c r="H21" i="21"/>
  <c r="V28" i="21"/>
  <c r="J28" i="21" s="1"/>
  <c r="N17" i="20"/>
  <c r="U15" i="20"/>
  <c r="H15" i="20" s="1"/>
  <c r="G15" i="20"/>
  <c r="T24" i="20"/>
  <c r="F24" i="20"/>
  <c r="U24" i="20"/>
  <c r="H24" i="20" s="1"/>
  <c r="V24" i="20"/>
  <c r="J24" i="20" s="1"/>
  <c r="W25" i="20"/>
  <c r="K25" i="20" s="1"/>
  <c r="N25" i="20" s="1"/>
  <c r="J25" i="20"/>
  <c r="V11" i="20"/>
  <c r="J11" i="20" s="1"/>
  <c r="H11" i="20"/>
  <c r="V23" i="20"/>
  <c r="H23" i="20"/>
  <c r="W9" i="20"/>
  <c r="J9" i="20"/>
  <c r="G20" i="20"/>
  <c r="U26" i="20"/>
  <c r="H26" i="20" s="1"/>
  <c r="T19" i="20"/>
  <c r="G19" i="20" s="1"/>
  <c r="F19" i="20"/>
  <c r="V21" i="20"/>
  <c r="J21" i="20" s="1"/>
  <c r="H21" i="20"/>
  <c r="W27" i="20"/>
  <c r="J27" i="20"/>
  <c r="U16" i="20"/>
  <c r="H16" i="20" s="1"/>
  <c r="G16" i="20"/>
  <c r="V16" i="20"/>
  <c r="W16" i="20"/>
  <c r="K16" i="20" s="1"/>
  <c r="U31" i="20"/>
  <c r="G31" i="20"/>
  <c r="T22" i="20"/>
  <c r="G22" i="20" s="1"/>
  <c r="T14" i="20"/>
  <c r="G14" i="20" s="1"/>
  <c r="F14" i="20"/>
  <c r="X12" i="20"/>
  <c r="I12" i="20" s="1"/>
  <c r="N12" i="20" s="1"/>
  <c r="T30" i="20"/>
  <c r="G30" i="20" s="1"/>
  <c r="F30" i="20"/>
  <c r="X17" i="20"/>
  <c r="I17" i="20" s="1"/>
  <c r="K17" i="20"/>
  <c r="G32" i="20"/>
  <c r="U32" i="20"/>
  <c r="U20" i="20"/>
  <c r="U26" i="19"/>
  <c r="H26" i="19" s="1"/>
  <c r="G26" i="19"/>
  <c r="T33" i="19"/>
  <c r="G33" i="19" s="1"/>
  <c r="G16" i="19"/>
  <c r="U16" i="19"/>
  <c r="H16" i="19" s="1"/>
  <c r="V16" i="19"/>
  <c r="J16" i="19" s="1"/>
  <c r="T29" i="19"/>
  <c r="G29" i="19" s="1"/>
  <c r="F29" i="19"/>
  <c r="T15" i="19"/>
  <c r="G15" i="19" s="1"/>
  <c r="F15" i="19"/>
  <c r="X20" i="19"/>
  <c r="H12" i="19"/>
  <c r="V12" i="19"/>
  <c r="U22" i="19"/>
  <c r="G22" i="19"/>
  <c r="V27" i="19"/>
  <c r="J27" i="19" s="1"/>
  <c r="V9" i="19"/>
  <c r="J9" i="19" s="1"/>
  <c r="V31" i="19"/>
  <c r="J31" i="19" s="1"/>
  <c r="H31" i="19"/>
  <c r="V33" i="19"/>
  <c r="J33" i="19" s="1"/>
  <c r="G21" i="19"/>
  <c r="U21" i="19"/>
  <c r="X17" i="19"/>
  <c r="U33" i="19"/>
  <c r="H33" i="19" s="1"/>
  <c r="T16" i="16"/>
  <c r="U16" i="16" s="1"/>
  <c r="H16" i="16" s="1"/>
  <c r="T11" i="16"/>
  <c r="G11" i="16" s="1"/>
  <c r="V12" i="28"/>
  <c r="W19" i="27"/>
  <c r="U23" i="27"/>
  <c r="W13" i="27"/>
  <c r="U11" i="26"/>
  <c r="X15" i="26"/>
  <c r="I15" i="26" s="1"/>
  <c r="V20" i="25"/>
  <c r="V24" i="25"/>
  <c r="T15" i="25"/>
  <c r="V17" i="25"/>
  <c r="W10" i="25"/>
  <c r="V17" i="23"/>
  <c r="V21" i="23"/>
  <c r="V27" i="23"/>
  <c r="J27" i="23" s="1"/>
  <c r="V25" i="23"/>
  <c r="J25" i="23" s="1"/>
  <c r="U19" i="22"/>
  <c r="V27" i="22"/>
  <c r="U24" i="22"/>
  <c r="W21" i="21"/>
  <c r="U18" i="21"/>
  <c r="H18" i="21" s="1"/>
  <c r="V25" i="21"/>
  <c r="T23" i="21"/>
  <c r="U22" i="20"/>
  <c r="H22" i="20" s="1"/>
  <c r="U10" i="20"/>
  <c r="H10" i="20" s="1"/>
  <c r="V13" i="20"/>
  <c r="U13" i="20"/>
  <c r="H13" i="20" s="1"/>
  <c r="V18" i="20"/>
  <c r="W31" i="19"/>
  <c r="K31" i="19" s="1"/>
  <c r="W24" i="19"/>
  <c r="K24" i="19" s="1"/>
  <c r="V13" i="19"/>
  <c r="J13" i="19" s="1"/>
  <c r="U28" i="19"/>
  <c r="H28" i="19" s="1"/>
  <c r="U18" i="19"/>
  <c r="H18" i="19" s="1"/>
  <c r="U25" i="19"/>
  <c r="H25" i="19" s="1"/>
  <c r="U29" i="19"/>
  <c r="H29" i="19" s="1"/>
  <c r="G25" i="16"/>
  <c r="U25" i="16"/>
  <c r="H25" i="16" s="1"/>
  <c r="T33" i="16"/>
  <c r="U33" i="16" s="1"/>
  <c r="H33" i="16" s="1"/>
  <c r="U20" i="28"/>
  <c r="V24" i="28"/>
  <c r="J24" i="28" s="1"/>
  <c r="V11" i="28"/>
  <c r="W14" i="28"/>
  <c r="U22" i="28"/>
  <c r="V11" i="27"/>
  <c r="J11" i="27" s="1"/>
  <c r="U10" i="27"/>
  <c r="H10" i="27" s="1"/>
  <c r="T18" i="27"/>
  <c r="U15" i="27"/>
  <c r="T22" i="27"/>
  <c r="G22" i="27" s="1"/>
  <c r="T14" i="27"/>
  <c r="V24" i="27"/>
  <c r="J24" i="27" s="1"/>
  <c r="U20" i="27"/>
  <c r="H20" i="27" s="1"/>
  <c r="W21" i="26"/>
  <c r="U14" i="26"/>
  <c r="H14" i="26" s="1"/>
  <c r="V14" i="25"/>
  <c r="V26" i="25"/>
  <c r="J26" i="25" s="1"/>
  <c r="U26" i="25"/>
  <c r="H26" i="25" s="1"/>
  <c r="V28" i="25"/>
  <c r="V10" i="24"/>
  <c r="U23" i="24"/>
  <c r="H23" i="24" s="1"/>
  <c r="W36" i="24"/>
  <c r="X36" i="24" s="1"/>
  <c r="W41" i="24"/>
  <c r="X41" i="24" s="1"/>
  <c r="W18" i="24"/>
  <c r="K18" i="24" s="1"/>
  <c r="U35" i="24"/>
  <c r="V35" i="24"/>
  <c r="W35" i="24" s="1"/>
  <c r="X37" i="24"/>
  <c r="V26" i="24"/>
  <c r="W9" i="24"/>
  <c r="W9" i="23"/>
  <c r="U20" i="23"/>
  <c r="H20" i="23" s="1"/>
  <c r="W24" i="23"/>
  <c r="U12" i="23"/>
  <c r="H12" i="23" s="1"/>
  <c r="W34" i="23"/>
  <c r="U34" i="23"/>
  <c r="H34" i="23" s="1"/>
  <c r="U30" i="23"/>
  <c r="H30" i="23" s="1"/>
  <c r="T28" i="23"/>
  <c r="G28" i="23" s="1"/>
  <c r="W25" i="23"/>
  <c r="V33" i="23"/>
  <c r="W22" i="23"/>
  <c r="X16" i="23"/>
  <c r="I16" i="23" s="1"/>
  <c r="N16" i="23" s="1"/>
  <c r="V15" i="23"/>
  <c r="J15" i="23" s="1"/>
  <c r="V34" i="23"/>
  <c r="J34" i="23" s="1"/>
  <c r="U11" i="23"/>
  <c r="H11" i="23" s="1"/>
  <c r="V10" i="23"/>
  <c r="J10" i="23" s="1"/>
  <c r="V10" i="22"/>
  <c r="T30" i="22"/>
  <c r="G30" i="22" s="1"/>
  <c r="U15" i="22"/>
  <c r="H15" i="22" s="1"/>
  <c r="T18" i="22"/>
  <c r="U30" i="22"/>
  <c r="U23" i="22"/>
  <c r="H23" i="22" s="1"/>
  <c r="T14" i="22"/>
  <c r="G14" i="22" s="1"/>
  <c r="W25" i="22"/>
  <c r="U22" i="22"/>
  <c r="H22" i="22" s="1"/>
  <c r="V22" i="22"/>
  <c r="J22" i="22" s="1"/>
  <c r="V32" i="22"/>
  <c r="W9" i="21"/>
  <c r="U26" i="21"/>
  <c r="U10" i="21"/>
  <c r="H10" i="21" s="1"/>
  <c r="T31" i="21"/>
  <c r="U30" i="21"/>
  <c r="T22" i="21"/>
  <c r="V20" i="21"/>
  <c r="J20" i="21" s="1"/>
  <c r="U14" i="21"/>
  <c r="H14" i="21" s="1"/>
  <c r="W11" i="20"/>
  <c r="U14" i="20"/>
  <c r="U19" i="20"/>
  <c r="H19" i="20" s="1"/>
  <c r="V22" i="20"/>
  <c r="V28" i="20"/>
  <c r="V29" i="20"/>
  <c r="J29" i="20" s="1"/>
  <c r="X25" i="20"/>
  <c r="I25" i="20" s="1"/>
  <c r="V26" i="20"/>
  <c r="T34" i="20"/>
  <c r="V33" i="20"/>
  <c r="V18" i="19"/>
  <c r="J18" i="19" s="1"/>
  <c r="T23" i="19"/>
  <c r="G23" i="19" s="1"/>
  <c r="V30" i="19"/>
  <c r="J30" i="19" s="1"/>
  <c r="W13" i="19"/>
  <c r="K13" i="19" s="1"/>
  <c r="U10" i="19"/>
  <c r="H10" i="19" s="1"/>
  <c r="T32" i="19"/>
  <c r="G32" i="19" s="1"/>
  <c r="U11" i="19"/>
  <c r="H11" i="19" s="1"/>
  <c r="W9" i="19"/>
  <c r="K9" i="19" s="1"/>
  <c r="T19" i="19"/>
  <c r="G19" i="19" s="1"/>
  <c r="W27" i="19"/>
  <c r="K27" i="19" s="1"/>
  <c r="U15" i="19"/>
  <c r="H15" i="19" s="1"/>
  <c r="W14" i="19"/>
  <c r="K14" i="19" s="1"/>
  <c r="X14" i="19"/>
  <c r="V26" i="19"/>
  <c r="J26" i="19" s="1"/>
  <c r="X31" i="19"/>
  <c r="I31" i="19" s="1"/>
  <c r="U23" i="19"/>
  <c r="H23" i="19" s="1"/>
  <c r="G13" i="16"/>
  <c r="G30" i="16"/>
  <c r="U30" i="16"/>
  <c r="H30" i="16" s="1"/>
  <c r="U24" i="16"/>
  <c r="H24" i="16" s="1"/>
  <c r="G28" i="16"/>
  <c r="U28" i="16"/>
  <c r="H28" i="16" s="1"/>
  <c r="G9" i="16"/>
  <c r="U9" i="16"/>
  <c r="V9" i="16" s="1"/>
  <c r="J9" i="16" s="1"/>
  <c r="V16" i="16"/>
  <c r="J16" i="16" s="1"/>
  <c r="E23" i="16"/>
  <c r="S23" i="16"/>
  <c r="F23" i="16" s="1"/>
  <c r="F10" i="16"/>
  <c r="T29" i="16"/>
  <c r="G29" i="16" s="1"/>
  <c r="U14" i="16"/>
  <c r="H14" i="16" s="1"/>
  <c r="E18" i="16"/>
  <c r="S18" i="16"/>
  <c r="V33" i="16"/>
  <c r="J33" i="16" s="1"/>
  <c r="S22" i="16"/>
  <c r="E17" i="16"/>
  <c r="S17" i="16"/>
  <c r="F17" i="16" s="1"/>
  <c r="F30" i="16"/>
  <c r="F13" i="16"/>
  <c r="U13" i="16"/>
  <c r="H13" i="16" s="1"/>
  <c r="T10" i="16"/>
  <c r="G32" i="16"/>
  <c r="U32" i="16"/>
  <c r="S15" i="16"/>
  <c r="F15" i="16" s="1"/>
  <c r="E26" i="16"/>
  <c r="S21" i="16"/>
  <c r="F25" i="16"/>
  <c r="V25" i="16"/>
  <c r="J25" i="16" s="1"/>
  <c r="E27" i="16"/>
  <c r="S27" i="16"/>
  <c r="F14" i="16"/>
  <c r="F20" i="16"/>
  <c r="U20" i="16"/>
  <c r="H20" i="16" s="1"/>
  <c r="S26" i="16"/>
  <c r="E15" i="16"/>
  <c r="T31" i="16"/>
  <c r="G31" i="16" s="1"/>
  <c r="F12" i="16"/>
  <c r="T12" i="16"/>
  <c r="U12" i="16" s="1"/>
  <c r="E19" i="16"/>
  <c r="T19" i="16"/>
  <c r="G19" i="16" s="1"/>
  <c r="G16" i="16"/>
  <c r="T22" i="16"/>
  <c r="G22" i="16" s="1"/>
  <c r="T26" i="16"/>
  <c r="G26" i="16" s="1"/>
  <c r="U11" i="16" l="1"/>
  <c r="H11" i="16" s="1"/>
  <c r="W16" i="28"/>
  <c r="X15" i="28"/>
  <c r="I15" i="28" s="1"/>
  <c r="K15" i="28"/>
  <c r="N15" i="28" s="1"/>
  <c r="W11" i="28"/>
  <c r="J11" i="28"/>
  <c r="W12" i="28"/>
  <c r="J12" i="28"/>
  <c r="H23" i="28"/>
  <c r="V23" i="28"/>
  <c r="W24" i="28"/>
  <c r="V19" i="28"/>
  <c r="J19" i="28" s="1"/>
  <c r="H19" i="28"/>
  <c r="H17" i="28"/>
  <c r="V17" i="28"/>
  <c r="J17" i="28" s="1"/>
  <c r="V9" i="28"/>
  <c r="J9" i="28" s="1"/>
  <c r="H9" i="28"/>
  <c r="W9" i="28"/>
  <c r="V20" i="28"/>
  <c r="J20" i="28" s="1"/>
  <c r="H20" i="28"/>
  <c r="W13" i="28"/>
  <c r="J13" i="28"/>
  <c r="V10" i="28"/>
  <c r="J10" i="28" s="1"/>
  <c r="H10" i="28"/>
  <c r="W10" i="28"/>
  <c r="X14" i="28"/>
  <c r="I14" i="28" s="1"/>
  <c r="K14" i="28"/>
  <c r="H21" i="28"/>
  <c r="W21" i="28"/>
  <c r="K21" i="28" s="1"/>
  <c r="V22" i="28"/>
  <c r="H22" i="28"/>
  <c r="V15" i="27"/>
  <c r="J15" i="27" s="1"/>
  <c r="H15" i="27"/>
  <c r="V16" i="27"/>
  <c r="U18" i="27"/>
  <c r="H18" i="27" s="1"/>
  <c r="G18" i="27"/>
  <c r="X13" i="27"/>
  <c r="I13" i="27" s="1"/>
  <c r="N13" i="27" s="1"/>
  <c r="K13" i="27"/>
  <c r="V23" i="27"/>
  <c r="J23" i="27" s="1"/>
  <c r="H23" i="27"/>
  <c r="X21" i="27"/>
  <c r="I21" i="27" s="1"/>
  <c r="N21" i="27" s="1"/>
  <c r="U14" i="27"/>
  <c r="H14" i="27" s="1"/>
  <c r="G14" i="27"/>
  <c r="H9" i="27"/>
  <c r="V9" i="27"/>
  <c r="X19" i="27"/>
  <c r="I19" i="27" s="1"/>
  <c r="K19" i="27"/>
  <c r="N19" i="27" s="1"/>
  <c r="V12" i="27"/>
  <c r="H12" i="27"/>
  <c r="N15" i="26"/>
  <c r="G22" i="26"/>
  <c r="U22" i="26"/>
  <c r="V20" i="26"/>
  <c r="W16" i="26"/>
  <c r="W24" i="26"/>
  <c r="K24" i="26" s="1"/>
  <c r="J24" i="26"/>
  <c r="X21" i="26"/>
  <c r="I21" i="26" s="1"/>
  <c r="K21" i="26"/>
  <c r="V11" i="26"/>
  <c r="H11" i="26"/>
  <c r="H10" i="26"/>
  <c r="V10" i="26"/>
  <c r="W19" i="26"/>
  <c r="X18" i="26"/>
  <c r="I18" i="26" s="1"/>
  <c r="K18" i="26"/>
  <c r="W17" i="26"/>
  <c r="V23" i="26"/>
  <c r="W12" i="26"/>
  <c r="K12" i="26" s="1"/>
  <c r="J12" i="26"/>
  <c r="W13" i="26"/>
  <c r="H24" i="26"/>
  <c r="W9" i="26"/>
  <c r="K9" i="26" s="1"/>
  <c r="J9" i="26"/>
  <c r="H9" i="26"/>
  <c r="X9" i="26"/>
  <c r="I9" i="26" s="1"/>
  <c r="H33" i="25"/>
  <c r="V33" i="25"/>
  <c r="J33" i="25" s="1"/>
  <c r="W20" i="25"/>
  <c r="K20" i="25" s="1"/>
  <c r="J20" i="25"/>
  <c r="W14" i="25"/>
  <c r="J14" i="25"/>
  <c r="G11" i="25"/>
  <c r="X12" i="25"/>
  <c r="I12" i="25" s="1"/>
  <c r="N12" i="25" s="1"/>
  <c r="K12" i="25"/>
  <c r="J18" i="25"/>
  <c r="W18" i="25"/>
  <c r="X27" i="25"/>
  <c r="I27" i="25" s="1"/>
  <c r="K27" i="25"/>
  <c r="J25" i="25"/>
  <c r="W25" i="25"/>
  <c r="W9" i="25"/>
  <c r="K9" i="25" s="1"/>
  <c r="J9" i="25"/>
  <c r="X9" i="25"/>
  <c r="I9" i="25" s="1"/>
  <c r="N9" i="25" s="1"/>
  <c r="N27" i="25"/>
  <c r="X20" i="25"/>
  <c r="I20" i="25" s="1"/>
  <c r="X10" i="25"/>
  <c r="I10" i="25" s="1"/>
  <c r="K10" i="25"/>
  <c r="V13" i="25"/>
  <c r="G13" i="25"/>
  <c r="V30" i="25"/>
  <c r="V29" i="25"/>
  <c r="J29" i="25" s="1"/>
  <c r="H29" i="25"/>
  <c r="W29" i="25"/>
  <c r="K29" i="25" s="1"/>
  <c r="N20" i="25"/>
  <c r="U32" i="25"/>
  <c r="W17" i="25"/>
  <c r="J17" i="25"/>
  <c r="G19" i="25"/>
  <c r="V19" i="25"/>
  <c r="J19" i="25" s="1"/>
  <c r="J22" i="25"/>
  <c r="W22" i="25"/>
  <c r="G33" i="25"/>
  <c r="W16" i="25"/>
  <c r="K16" i="25" s="1"/>
  <c r="J16" i="25"/>
  <c r="W28" i="25"/>
  <c r="K28" i="25" s="1"/>
  <c r="J28" i="25"/>
  <c r="U15" i="25"/>
  <c r="H15" i="25" s="1"/>
  <c r="G15" i="25"/>
  <c r="W31" i="25"/>
  <c r="W24" i="25"/>
  <c r="J24" i="25"/>
  <c r="U11" i="25"/>
  <c r="X34" i="25"/>
  <c r="I34" i="25" s="1"/>
  <c r="K34" i="25"/>
  <c r="V21" i="25"/>
  <c r="H21" i="25"/>
  <c r="U13" i="25"/>
  <c r="H13" i="25" s="1"/>
  <c r="V27" i="24"/>
  <c r="J27" i="24" s="1"/>
  <c r="H27" i="24"/>
  <c r="W25" i="24"/>
  <c r="K25" i="24" s="1"/>
  <c r="W15" i="24"/>
  <c r="K15" i="24" s="1"/>
  <c r="N15" i="24" s="1"/>
  <c r="N25" i="24"/>
  <c r="X18" i="24"/>
  <c r="I18" i="24" s="1"/>
  <c r="N18" i="24" s="1"/>
  <c r="G27" i="24"/>
  <c r="V20" i="24"/>
  <c r="J20" i="24" s="1"/>
  <c r="V29" i="24"/>
  <c r="G28" i="24"/>
  <c r="U28" i="24"/>
  <c r="H28" i="24" s="1"/>
  <c r="W10" i="24"/>
  <c r="J10" i="24"/>
  <c r="W32" i="24"/>
  <c r="J32" i="24"/>
  <c r="W20" i="24"/>
  <c r="K20" i="24" s="1"/>
  <c r="J11" i="24"/>
  <c r="J19" i="24"/>
  <c r="X34" i="24"/>
  <c r="I34" i="24" s="1"/>
  <c r="K34" i="24"/>
  <c r="N34" i="24" s="1"/>
  <c r="X22" i="24"/>
  <c r="I22" i="24" s="1"/>
  <c r="K22" i="24"/>
  <c r="W26" i="24"/>
  <c r="J26" i="24"/>
  <c r="H33" i="24"/>
  <c r="W33" i="24"/>
  <c r="V33" i="24"/>
  <c r="J33" i="24" s="1"/>
  <c r="W31" i="24"/>
  <c r="J31" i="24"/>
  <c r="U13" i="24"/>
  <c r="G13" i="24"/>
  <c r="W19" i="24"/>
  <c r="K19" i="24" s="1"/>
  <c r="X9" i="24"/>
  <c r="I9" i="24" s="1"/>
  <c r="K9" i="24"/>
  <c r="N9" i="24" s="1"/>
  <c r="X25" i="24"/>
  <c r="I25" i="24" s="1"/>
  <c r="W12" i="24"/>
  <c r="J12" i="24"/>
  <c r="X15" i="24"/>
  <c r="I15" i="24" s="1"/>
  <c r="X21" i="24"/>
  <c r="I21" i="24" s="1"/>
  <c r="N21" i="24" s="1"/>
  <c r="G16" i="24"/>
  <c r="U16" i="24"/>
  <c r="V16" i="24" s="1"/>
  <c r="J16" i="24" s="1"/>
  <c r="G20" i="24"/>
  <c r="J17" i="24"/>
  <c r="W17" i="24"/>
  <c r="K17" i="24" s="1"/>
  <c r="W11" i="24"/>
  <c r="K11" i="24" s="1"/>
  <c r="H31" i="23"/>
  <c r="V31" i="23"/>
  <c r="J31" i="23" s="1"/>
  <c r="H29" i="23"/>
  <c r="V29" i="23"/>
  <c r="J29" i="23" s="1"/>
  <c r="H23" i="23"/>
  <c r="V23" i="23"/>
  <c r="J23" i="23" s="1"/>
  <c r="G18" i="23"/>
  <c r="U18" i="23"/>
  <c r="H18" i="23" s="1"/>
  <c r="X9" i="23"/>
  <c r="I9" i="23" s="1"/>
  <c r="K9" i="23"/>
  <c r="V14" i="23"/>
  <c r="H14" i="23"/>
  <c r="X34" i="23"/>
  <c r="I34" i="23" s="1"/>
  <c r="K34" i="23"/>
  <c r="N34" i="23" s="1"/>
  <c r="X22" i="23"/>
  <c r="I22" i="23" s="1"/>
  <c r="N22" i="23" s="1"/>
  <c r="K22" i="23"/>
  <c r="W21" i="23"/>
  <c r="J21" i="23"/>
  <c r="W33" i="23"/>
  <c r="J33" i="23"/>
  <c r="W23" i="23"/>
  <c r="W17" i="23"/>
  <c r="J17" i="23"/>
  <c r="X13" i="23"/>
  <c r="I13" i="23" s="1"/>
  <c r="K13" i="23"/>
  <c r="V32" i="23"/>
  <c r="H32" i="23"/>
  <c r="U26" i="23"/>
  <c r="H26" i="23" s="1"/>
  <c r="G26" i="23"/>
  <c r="V26" i="23"/>
  <c r="X25" i="23"/>
  <c r="I25" i="23" s="1"/>
  <c r="N25" i="23" s="1"/>
  <c r="K25" i="23"/>
  <c r="V20" i="23"/>
  <c r="W27" i="23"/>
  <c r="K27" i="23" s="1"/>
  <c r="X24" i="23"/>
  <c r="I24" i="23" s="1"/>
  <c r="K24" i="23"/>
  <c r="N24" i="23" s="1"/>
  <c r="U19" i="23"/>
  <c r="G19" i="23"/>
  <c r="V30" i="22"/>
  <c r="H30" i="22"/>
  <c r="W27" i="22"/>
  <c r="K27" i="22" s="1"/>
  <c r="N27" i="22" s="1"/>
  <c r="J27" i="22"/>
  <c r="V28" i="22"/>
  <c r="J28" i="22" s="1"/>
  <c r="H28" i="22"/>
  <c r="W28" i="22"/>
  <c r="W12" i="22"/>
  <c r="J12" i="22"/>
  <c r="V19" i="22"/>
  <c r="J19" i="22" s="1"/>
  <c r="H19" i="22"/>
  <c r="V34" i="22"/>
  <c r="J34" i="22" s="1"/>
  <c r="H34" i="22"/>
  <c r="W13" i="22"/>
  <c r="K13" i="22" s="1"/>
  <c r="J13" i="22"/>
  <c r="N13" i="22" s="1"/>
  <c r="W11" i="22"/>
  <c r="K11" i="22" s="1"/>
  <c r="J11" i="22"/>
  <c r="W32" i="22"/>
  <c r="J32" i="22"/>
  <c r="X13" i="22"/>
  <c r="I13" i="22" s="1"/>
  <c r="W21" i="22"/>
  <c r="K21" i="22" s="1"/>
  <c r="J21" i="22"/>
  <c r="X25" i="22"/>
  <c r="I25" i="22" s="1"/>
  <c r="K25" i="22"/>
  <c r="V16" i="22"/>
  <c r="U31" i="22"/>
  <c r="G31" i="22"/>
  <c r="V31" i="22"/>
  <c r="J31" i="22" s="1"/>
  <c r="U18" i="22"/>
  <c r="G18" i="22"/>
  <c r="W10" i="22"/>
  <c r="J10" i="22"/>
  <c r="W9" i="22"/>
  <c r="J9" i="22"/>
  <c r="U26" i="22"/>
  <c r="G26" i="22"/>
  <c r="X17" i="22"/>
  <c r="I17" i="22" s="1"/>
  <c r="N17" i="22" s="1"/>
  <c r="K17" i="22"/>
  <c r="W34" i="22"/>
  <c r="V24" i="22"/>
  <c r="H24" i="22"/>
  <c r="J33" i="22"/>
  <c r="W33" i="22"/>
  <c r="W25" i="21"/>
  <c r="J25" i="21"/>
  <c r="N16" i="21"/>
  <c r="G34" i="21"/>
  <c r="X27" i="21"/>
  <c r="I27" i="21" s="1"/>
  <c r="K27" i="21"/>
  <c r="V26" i="21"/>
  <c r="H26" i="21"/>
  <c r="V19" i="21"/>
  <c r="X13" i="21"/>
  <c r="I13" i="21" s="1"/>
  <c r="K13" i="21"/>
  <c r="N13" i="21" s="1"/>
  <c r="W28" i="21"/>
  <c r="V11" i="21"/>
  <c r="J11" i="21" s="1"/>
  <c r="H11" i="21"/>
  <c r="W11" i="21"/>
  <c r="N9" i="21"/>
  <c r="N27" i="21"/>
  <c r="W20" i="21"/>
  <c r="K20" i="21" s="1"/>
  <c r="U22" i="21"/>
  <c r="H22" i="21" s="1"/>
  <c r="G22" i="21"/>
  <c r="X9" i="21"/>
  <c r="I9" i="21" s="1"/>
  <c r="K9" i="21"/>
  <c r="W17" i="21"/>
  <c r="J17" i="21"/>
  <c r="N24" i="21"/>
  <c r="U23" i="21"/>
  <c r="G23" i="21"/>
  <c r="H32" i="21"/>
  <c r="X32" i="21"/>
  <c r="I32" i="21" s="1"/>
  <c r="U15" i="21"/>
  <c r="G15" i="21"/>
  <c r="V10" i="21"/>
  <c r="X21" i="21"/>
  <c r="I21" i="21" s="1"/>
  <c r="K21" i="21"/>
  <c r="N21" i="21"/>
  <c r="X29" i="21"/>
  <c r="I29" i="21" s="1"/>
  <c r="K29" i="21"/>
  <c r="N29" i="21" s="1"/>
  <c r="U34" i="21"/>
  <c r="U31" i="21"/>
  <c r="G31" i="21"/>
  <c r="V30" i="21"/>
  <c r="H30" i="21"/>
  <c r="X12" i="21"/>
  <c r="I12" i="21" s="1"/>
  <c r="N12" i="21" s="1"/>
  <c r="J33" i="21"/>
  <c r="W33" i="21"/>
  <c r="U34" i="20"/>
  <c r="H34" i="20" s="1"/>
  <c r="G34" i="20"/>
  <c r="W22" i="20"/>
  <c r="K22" i="20" s="1"/>
  <c r="J22" i="20"/>
  <c r="W13" i="20"/>
  <c r="J13" i="20"/>
  <c r="V31" i="20"/>
  <c r="H31" i="20"/>
  <c r="W21" i="20"/>
  <c r="V15" i="20"/>
  <c r="H32" i="20"/>
  <c r="V32" i="20"/>
  <c r="K9" i="20"/>
  <c r="X9" i="20"/>
  <c r="I9" i="20" s="1"/>
  <c r="V20" i="20"/>
  <c r="H20" i="20"/>
  <c r="X16" i="20"/>
  <c r="I16" i="20" s="1"/>
  <c r="N16" i="20" s="1"/>
  <c r="J16" i="20"/>
  <c r="U30" i="20"/>
  <c r="H30" i="20" s="1"/>
  <c r="W26" i="20"/>
  <c r="J26" i="20"/>
  <c r="V14" i="20"/>
  <c r="J14" i="20" s="1"/>
  <c r="H14" i="20"/>
  <c r="W33" i="20"/>
  <c r="J33" i="20"/>
  <c r="X11" i="20"/>
  <c r="I11" i="20" s="1"/>
  <c r="K11" i="20"/>
  <c r="N11" i="20" s="1"/>
  <c r="W18" i="20"/>
  <c r="J18" i="20"/>
  <c r="J23" i="20"/>
  <c r="W23" i="20"/>
  <c r="G24" i="20"/>
  <c r="W24" i="20"/>
  <c r="V19" i="20"/>
  <c r="W28" i="20"/>
  <c r="J28" i="20"/>
  <c r="X27" i="20"/>
  <c r="I27" i="20" s="1"/>
  <c r="N27" i="20" s="1"/>
  <c r="K27" i="20"/>
  <c r="H22" i="19"/>
  <c r="V22" i="19"/>
  <c r="W22" i="19"/>
  <c r="K22" i="19" s="1"/>
  <c r="I14" i="19"/>
  <c r="N14" i="19" s="1"/>
  <c r="J12" i="19"/>
  <c r="W12" i="19"/>
  <c r="K12" i="19" s="1"/>
  <c r="H21" i="19"/>
  <c r="V21" i="19"/>
  <c r="J21" i="19" s="1"/>
  <c r="W33" i="19"/>
  <c r="K33" i="19" s="1"/>
  <c r="I20" i="19"/>
  <c r="N20" i="19" s="1"/>
  <c r="W21" i="19"/>
  <c r="K21" i="19" s="1"/>
  <c r="N17" i="19"/>
  <c r="I17" i="19"/>
  <c r="W18" i="19"/>
  <c r="K18" i="19" s="1"/>
  <c r="W16" i="19"/>
  <c r="V20" i="16"/>
  <c r="J20" i="16" s="1"/>
  <c r="V30" i="16"/>
  <c r="J30" i="16" s="1"/>
  <c r="W16" i="16"/>
  <c r="K16" i="16" s="1"/>
  <c r="G33" i="16"/>
  <c r="W33" i="16"/>
  <c r="K33" i="16" s="1"/>
  <c r="V20" i="27"/>
  <c r="W24" i="27"/>
  <c r="W23" i="27"/>
  <c r="W10" i="23"/>
  <c r="V12" i="23"/>
  <c r="W15" i="23"/>
  <c r="X27" i="23"/>
  <c r="I27" i="23" s="1"/>
  <c r="N27" i="23" s="1"/>
  <c r="W22" i="22"/>
  <c r="W19" i="22"/>
  <c r="X27" i="22"/>
  <c r="I27" i="22" s="1"/>
  <c r="V18" i="21"/>
  <c r="W29" i="20"/>
  <c r="V10" i="20"/>
  <c r="J10" i="20" s="1"/>
  <c r="V28" i="19"/>
  <c r="J28" i="19" s="1"/>
  <c r="X24" i="19"/>
  <c r="W28" i="19"/>
  <c r="K28" i="19" s="1"/>
  <c r="V25" i="19"/>
  <c r="J25" i="19" s="1"/>
  <c r="X13" i="19"/>
  <c r="V29" i="19"/>
  <c r="J29" i="19" s="1"/>
  <c r="H12" i="16"/>
  <c r="V12" i="16"/>
  <c r="J12" i="16" s="1"/>
  <c r="U31" i="16"/>
  <c r="H31" i="16" s="1"/>
  <c r="V14" i="16"/>
  <c r="J14" i="16" s="1"/>
  <c r="X16" i="16"/>
  <c r="I16" i="16" s="1"/>
  <c r="N16" i="16" s="1"/>
  <c r="U29" i="16"/>
  <c r="H29" i="16" s="1"/>
  <c r="W30" i="16"/>
  <c r="K30" i="16" s="1"/>
  <c r="W15" i="27"/>
  <c r="K15" i="27" s="1"/>
  <c r="V18" i="27"/>
  <c r="W11" i="27"/>
  <c r="V14" i="27"/>
  <c r="J14" i="27" s="1"/>
  <c r="V10" i="27"/>
  <c r="W14" i="27"/>
  <c r="U22" i="27"/>
  <c r="H22" i="27" s="1"/>
  <c r="V14" i="26"/>
  <c r="W26" i="25"/>
  <c r="X35" i="24"/>
  <c r="V23" i="24"/>
  <c r="V11" i="23"/>
  <c r="J11" i="23" s="1"/>
  <c r="V30" i="23"/>
  <c r="J30" i="23" s="1"/>
  <c r="U28" i="23"/>
  <c r="W23" i="22"/>
  <c r="V15" i="22"/>
  <c r="U14" i="22"/>
  <c r="V23" i="22"/>
  <c r="J23" i="22" s="1"/>
  <c r="V14" i="21"/>
  <c r="V22" i="21"/>
  <c r="J22" i="21" s="1"/>
  <c r="V30" i="20"/>
  <c r="V34" i="20"/>
  <c r="V10" i="19"/>
  <c r="J10" i="19" s="1"/>
  <c r="V15" i="19"/>
  <c r="J15" i="19" s="1"/>
  <c r="U19" i="19"/>
  <c r="H19" i="19" s="1"/>
  <c r="X27" i="19"/>
  <c r="W26" i="19"/>
  <c r="K26" i="19" s="1"/>
  <c r="X9" i="19"/>
  <c r="I9" i="19" s="1"/>
  <c r="W30" i="19"/>
  <c r="K30" i="19" s="1"/>
  <c r="V11" i="19"/>
  <c r="J11" i="19" s="1"/>
  <c r="V23" i="19"/>
  <c r="J23" i="19" s="1"/>
  <c r="N31" i="19"/>
  <c r="X18" i="19"/>
  <c r="U32" i="19"/>
  <c r="H32" i="19" s="1"/>
  <c r="F26" i="16"/>
  <c r="X33" i="16"/>
  <c r="I33" i="16" s="1"/>
  <c r="N33" i="16" s="1"/>
  <c r="W9" i="16"/>
  <c r="K9" i="16" s="1"/>
  <c r="V28" i="16"/>
  <c r="J28" i="16" s="1"/>
  <c r="G12" i="16"/>
  <c r="V13" i="16"/>
  <c r="J13" i="16" s="1"/>
  <c r="H9" i="16"/>
  <c r="F21" i="16"/>
  <c r="T21" i="16"/>
  <c r="U19" i="16"/>
  <c r="H19" i="16" s="1"/>
  <c r="W12" i="16"/>
  <c r="K12" i="16" s="1"/>
  <c r="T15" i="16"/>
  <c r="G15" i="16" s="1"/>
  <c r="W25" i="16"/>
  <c r="G10" i="16"/>
  <c r="U10" i="16"/>
  <c r="H10" i="16" s="1"/>
  <c r="W20" i="16"/>
  <c r="F22" i="16"/>
  <c r="F18" i="16"/>
  <c r="V11" i="16"/>
  <c r="J11" i="16" s="1"/>
  <c r="T17" i="16"/>
  <c r="G17" i="16" s="1"/>
  <c r="V31" i="16"/>
  <c r="J31" i="16" s="1"/>
  <c r="H32" i="16"/>
  <c r="V32" i="16"/>
  <c r="W32" i="16" s="1"/>
  <c r="K32" i="16" s="1"/>
  <c r="W14" i="16"/>
  <c r="U26" i="16"/>
  <c r="H26" i="16" s="1"/>
  <c r="U22" i="16"/>
  <c r="T18" i="16"/>
  <c r="T23" i="16"/>
  <c r="G23" i="16" s="1"/>
  <c r="F27" i="16"/>
  <c r="T27" i="16"/>
  <c r="V24" i="16"/>
  <c r="J24" i="16" s="1"/>
  <c r="X10" i="28" l="1"/>
  <c r="I10" i="28" s="1"/>
  <c r="K10" i="28"/>
  <c r="N10" i="28" s="1"/>
  <c r="X9" i="28"/>
  <c r="I9" i="28" s="1"/>
  <c r="K9" i="28"/>
  <c r="N9" i="28" s="1"/>
  <c r="X11" i="28"/>
  <c r="I11" i="28" s="1"/>
  <c r="K11" i="28"/>
  <c r="N11" i="28" s="1"/>
  <c r="X24" i="28"/>
  <c r="I24" i="28" s="1"/>
  <c r="K24" i="28"/>
  <c r="W22" i="28"/>
  <c r="J22" i="28"/>
  <c r="W23" i="28"/>
  <c r="J23" i="28"/>
  <c r="X16" i="28"/>
  <c r="I16" i="28" s="1"/>
  <c r="K16" i="28"/>
  <c r="N16" i="28" s="1"/>
  <c r="X21" i="28"/>
  <c r="I21" i="28" s="1"/>
  <c r="N21" i="28" s="1"/>
  <c r="W17" i="28"/>
  <c r="W20" i="28"/>
  <c r="X13" i="28"/>
  <c r="I13" i="28" s="1"/>
  <c r="K13" i="28"/>
  <c r="N13" i="28" s="1"/>
  <c r="N14" i="28"/>
  <c r="W19" i="28"/>
  <c r="X12" i="28"/>
  <c r="I12" i="28" s="1"/>
  <c r="K12" i="28"/>
  <c r="N12" i="28" s="1"/>
  <c r="X15" i="27"/>
  <c r="I15" i="27" s="1"/>
  <c r="N15" i="27" s="1"/>
  <c r="W9" i="27"/>
  <c r="K9" i="27" s="1"/>
  <c r="J9" i="27"/>
  <c r="X14" i="27"/>
  <c r="I14" i="27" s="1"/>
  <c r="K14" i="27"/>
  <c r="N14" i="27" s="1"/>
  <c r="X23" i="27"/>
  <c r="I23" i="27" s="1"/>
  <c r="K23" i="27"/>
  <c r="N23" i="27" s="1"/>
  <c r="W10" i="27"/>
  <c r="J10" i="27"/>
  <c r="X24" i="27"/>
  <c r="I24" i="27" s="1"/>
  <c r="K24" i="27"/>
  <c r="J12" i="27"/>
  <c r="W12" i="27"/>
  <c r="W16" i="27"/>
  <c r="J16" i="27"/>
  <c r="W20" i="27"/>
  <c r="K20" i="27" s="1"/>
  <c r="J20" i="27"/>
  <c r="X9" i="27"/>
  <c r="I9" i="27" s="1"/>
  <c r="X11" i="27"/>
  <c r="I11" i="27" s="1"/>
  <c r="K11" i="27"/>
  <c r="W18" i="27"/>
  <c r="J18" i="27"/>
  <c r="K16" i="26"/>
  <c r="X16" i="26"/>
  <c r="I16" i="26" s="1"/>
  <c r="N16" i="26" s="1"/>
  <c r="W20" i="26"/>
  <c r="K20" i="26" s="1"/>
  <c r="J20" i="26"/>
  <c r="H22" i="26"/>
  <c r="V22" i="26"/>
  <c r="X24" i="26"/>
  <c r="I24" i="26" s="1"/>
  <c r="N24" i="26" s="1"/>
  <c r="X20" i="26"/>
  <c r="I20" i="26" s="1"/>
  <c r="N18" i="26"/>
  <c r="N9" i="26"/>
  <c r="X19" i="26"/>
  <c r="I19" i="26" s="1"/>
  <c r="K19" i="26"/>
  <c r="N19" i="26" s="1"/>
  <c r="N20" i="26"/>
  <c r="X17" i="26"/>
  <c r="I17" i="26" s="1"/>
  <c r="K17" i="26"/>
  <c r="W23" i="26"/>
  <c r="J23" i="26"/>
  <c r="J10" i="26"/>
  <c r="W10" i="26"/>
  <c r="N21" i="26"/>
  <c r="X12" i="26"/>
  <c r="I12" i="26" s="1"/>
  <c r="N12" i="26" s="1"/>
  <c r="W14" i="26"/>
  <c r="J14" i="26"/>
  <c r="X13" i="26"/>
  <c r="I13" i="26" s="1"/>
  <c r="K13" i="26"/>
  <c r="W11" i="26"/>
  <c r="J11" i="26"/>
  <c r="J21" i="25"/>
  <c r="W21" i="25"/>
  <c r="N34" i="25"/>
  <c r="K22" i="25"/>
  <c r="X22" i="25"/>
  <c r="I22" i="25" s="1"/>
  <c r="N10" i="25"/>
  <c r="V15" i="25"/>
  <c r="W32" i="25"/>
  <c r="K32" i="25" s="1"/>
  <c r="H32" i="25"/>
  <c r="X28" i="25"/>
  <c r="I28" i="25" s="1"/>
  <c r="N28" i="25" s="1"/>
  <c r="V11" i="25"/>
  <c r="H11" i="25"/>
  <c r="V32" i="25"/>
  <c r="J32" i="25" s="1"/>
  <c r="W19" i="25"/>
  <c r="X29" i="25"/>
  <c r="I29" i="25" s="1"/>
  <c r="N29" i="25" s="1"/>
  <c r="W33" i="25"/>
  <c r="K33" i="25" s="1"/>
  <c r="X14" i="25"/>
  <c r="I14" i="25" s="1"/>
  <c r="N14" i="25" s="1"/>
  <c r="K14" i="25"/>
  <c r="W13" i="25"/>
  <c r="J13" i="25"/>
  <c r="X24" i="25"/>
  <c r="I24" i="25" s="1"/>
  <c r="K24" i="25"/>
  <c r="X18" i="25"/>
  <c r="I18" i="25" s="1"/>
  <c r="K18" i="25"/>
  <c r="N18" i="25" s="1"/>
  <c r="X25" i="25"/>
  <c r="I25" i="25" s="1"/>
  <c r="K25" i="25"/>
  <c r="X31" i="25"/>
  <c r="I31" i="25" s="1"/>
  <c r="N31" i="25" s="1"/>
  <c r="K31" i="25"/>
  <c r="W30" i="25"/>
  <c r="J30" i="25"/>
  <c r="X16" i="25"/>
  <c r="I16" i="25" s="1"/>
  <c r="N16" i="25" s="1"/>
  <c r="X26" i="25"/>
  <c r="I26" i="25" s="1"/>
  <c r="K26" i="25"/>
  <c r="N26" i="25" s="1"/>
  <c r="X17" i="25"/>
  <c r="I17" i="25" s="1"/>
  <c r="N17" i="25" s="1"/>
  <c r="K17" i="25"/>
  <c r="X19" i="24"/>
  <c r="I19" i="24" s="1"/>
  <c r="N19" i="24" s="1"/>
  <c r="X10" i="24"/>
  <c r="I10" i="24" s="1"/>
  <c r="K10" i="24"/>
  <c r="N10" i="24" s="1"/>
  <c r="W27" i="24"/>
  <c r="X17" i="24"/>
  <c r="I17" i="24" s="1"/>
  <c r="N17" i="24" s="1"/>
  <c r="X26" i="24"/>
  <c r="I26" i="24" s="1"/>
  <c r="K26" i="24"/>
  <c r="N26" i="24" s="1"/>
  <c r="X11" i="24"/>
  <c r="I11" i="24" s="1"/>
  <c r="N11" i="24" s="1"/>
  <c r="V28" i="24"/>
  <c r="H13" i="24"/>
  <c r="V13" i="24"/>
  <c r="J13" i="24" s="1"/>
  <c r="N22" i="24"/>
  <c r="K12" i="24"/>
  <c r="X12" i="24"/>
  <c r="I12" i="24" s="1"/>
  <c r="K31" i="24"/>
  <c r="X31" i="24"/>
  <c r="I31" i="24" s="1"/>
  <c r="N31" i="24" s="1"/>
  <c r="W29" i="24"/>
  <c r="J29" i="24"/>
  <c r="W23" i="24"/>
  <c r="J23" i="24"/>
  <c r="X20" i="24"/>
  <c r="I20" i="24" s="1"/>
  <c r="N20" i="24" s="1"/>
  <c r="K32" i="24"/>
  <c r="N32" i="24" s="1"/>
  <c r="X32" i="24"/>
  <c r="I32" i="24" s="1"/>
  <c r="H16" i="24"/>
  <c r="W16" i="24"/>
  <c r="X33" i="24"/>
  <c r="I33" i="24" s="1"/>
  <c r="K33" i="24"/>
  <c r="N33" i="24" s="1"/>
  <c r="W12" i="23"/>
  <c r="K12" i="23" s="1"/>
  <c r="J12" i="23"/>
  <c r="N9" i="23"/>
  <c r="W26" i="23"/>
  <c r="K26" i="23" s="1"/>
  <c r="J26" i="23"/>
  <c r="X17" i="23"/>
  <c r="I17" i="23" s="1"/>
  <c r="K17" i="23"/>
  <c r="X23" i="23"/>
  <c r="I23" i="23" s="1"/>
  <c r="K23" i="23"/>
  <c r="V18" i="23"/>
  <c r="X10" i="23"/>
  <c r="I10" i="23" s="1"/>
  <c r="K10" i="23"/>
  <c r="N10" i="23" s="1"/>
  <c r="W30" i="23"/>
  <c r="V28" i="23"/>
  <c r="J28" i="23" s="1"/>
  <c r="H28" i="23"/>
  <c r="H19" i="23"/>
  <c r="V19" i="23"/>
  <c r="W20" i="23"/>
  <c r="J20" i="23"/>
  <c r="X33" i="23"/>
  <c r="I33" i="23" s="1"/>
  <c r="K33" i="23"/>
  <c r="J14" i="23"/>
  <c r="W14" i="23"/>
  <c r="W11" i="23"/>
  <c r="J32" i="23"/>
  <c r="X32" i="23"/>
  <c r="I32" i="23" s="1"/>
  <c r="W32" i="23"/>
  <c r="K32" i="23" s="1"/>
  <c r="N32" i="23" s="1"/>
  <c r="N23" i="23"/>
  <c r="X15" i="23"/>
  <c r="I15" i="23" s="1"/>
  <c r="K15" i="23"/>
  <c r="N15" i="23" s="1"/>
  <c r="W31" i="23"/>
  <c r="N13" i="23"/>
  <c r="X21" i="23"/>
  <c r="I21" i="23" s="1"/>
  <c r="N21" i="23" s="1"/>
  <c r="K21" i="23"/>
  <c r="W29" i="23"/>
  <c r="X10" i="22"/>
  <c r="I10" i="22" s="1"/>
  <c r="K10" i="22"/>
  <c r="N10" i="22" s="1"/>
  <c r="N25" i="22"/>
  <c r="X11" i="22"/>
  <c r="I11" i="22" s="1"/>
  <c r="N11" i="22" s="1"/>
  <c r="W15" i="22"/>
  <c r="J15" i="22"/>
  <c r="V18" i="22"/>
  <c r="H18" i="22"/>
  <c r="X12" i="22"/>
  <c r="I12" i="22" s="1"/>
  <c r="K12" i="22"/>
  <c r="N12" i="22" s="1"/>
  <c r="W30" i="22"/>
  <c r="J30" i="22"/>
  <c r="X33" i="22"/>
  <c r="I33" i="22" s="1"/>
  <c r="K33" i="22"/>
  <c r="H26" i="22"/>
  <c r="V26" i="22"/>
  <c r="X23" i="22"/>
  <c r="I23" i="22" s="1"/>
  <c r="K23" i="22"/>
  <c r="N23" i="22" s="1"/>
  <c r="X28" i="22"/>
  <c r="I28" i="22" s="1"/>
  <c r="K28" i="22"/>
  <c r="N28" i="22" s="1"/>
  <c r="X19" i="22"/>
  <c r="I19" i="22" s="1"/>
  <c r="N19" i="22" s="1"/>
  <c r="K19" i="22"/>
  <c r="X9" i="22"/>
  <c r="I9" i="22" s="1"/>
  <c r="K9" i="22"/>
  <c r="N9" i="22" s="1"/>
  <c r="X22" i="22"/>
  <c r="I22" i="22" s="1"/>
  <c r="K22" i="22"/>
  <c r="W24" i="22"/>
  <c r="J24" i="22"/>
  <c r="H31" i="22"/>
  <c r="W31" i="22"/>
  <c r="X21" i="22"/>
  <c r="I21" i="22" s="1"/>
  <c r="N21" i="22" s="1"/>
  <c r="V14" i="22"/>
  <c r="H14" i="22"/>
  <c r="X34" i="22"/>
  <c r="I34" i="22" s="1"/>
  <c r="K34" i="22"/>
  <c r="N34" i="22" s="1"/>
  <c r="W16" i="22"/>
  <c r="J16" i="22"/>
  <c r="X32" i="22"/>
  <c r="I32" i="22" s="1"/>
  <c r="K32" i="22"/>
  <c r="W14" i="21"/>
  <c r="K14" i="21" s="1"/>
  <c r="J14" i="21"/>
  <c r="V31" i="21"/>
  <c r="J31" i="21" s="1"/>
  <c r="H31" i="21"/>
  <c r="W10" i="21"/>
  <c r="K10" i="21" s="1"/>
  <c r="J10" i="21"/>
  <c r="X33" i="21"/>
  <c r="I33" i="21" s="1"/>
  <c r="K33" i="21"/>
  <c r="N33" i="21" s="1"/>
  <c r="H34" i="21"/>
  <c r="W34" i="21"/>
  <c r="H15" i="21"/>
  <c r="V15" i="21"/>
  <c r="K17" i="21"/>
  <c r="X17" i="21"/>
  <c r="I17" i="21" s="1"/>
  <c r="W19" i="21"/>
  <c r="J19" i="21"/>
  <c r="X20" i="21"/>
  <c r="I20" i="21" s="1"/>
  <c r="N20" i="21" s="1"/>
  <c r="X11" i="21"/>
  <c r="I11" i="21" s="1"/>
  <c r="K11" i="21"/>
  <c r="W30" i="21"/>
  <c r="J30" i="21"/>
  <c r="X25" i="21"/>
  <c r="I25" i="21" s="1"/>
  <c r="K25" i="21"/>
  <c r="N25" i="21" s="1"/>
  <c r="N32" i="21"/>
  <c r="W26" i="21"/>
  <c r="J26" i="21"/>
  <c r="W18" i="21"/>
  <c r="K18" i="21" s="1"/>
  <c r="J18" i="21"/>
  <c r="V23" i="21"/>
  <c r="J23" i="21" s="1"/>
  <c r="H23" i="21"/>
  <c r="X28" i="21"/>
  <c r="I28" i="21" s="1"/>
  <c r="K28" i="21"/>
  <c r="V34" i="21"/>
  <c r="J34" i="21" s="1"/>
  <c r="W34" i="20"/>
  <c r="J34" i="20"/>
  <c r="X29" i="20"/>
  <c r="I29" i="20" s="1"/>
  <c r="K29" i="20"/>
  <c r="N29" i="20" s="1"/>
  <c r="X13" i="20"/>
  <c r="I13" i="20" s="1"/>
  <c r="K13" i="20"/>
  <c r="X18" i="20"/>
  <c r="I18" i="20" s="1"/>
  <c r="N18" i="20" s="1"/>
  <c r="K18" i="20"/>
  <c r="W20" i="20"/>
  <c r="K20" i="20" s="1"/>
  <c r="N20" i="20" s="1"/>
  <c r="J20" i="20"/>
  <c r="X21" i="20"/>
  <c r="I21" i="20" s="1"/>
  <c r="K21" i="20"/>
  <c r="N21" i="20" s="1"/>
  <c r="X28" i="20"/>
  <c r="I28" i="20" s="1"/>
  <c r="K28" i="20"/>
  <c r="W14" i="20"/>
  <c r="W19" i="20"/>
  <c r="J19" i="20"/>
  <c r="X26" i="20"/>
  <c r="I26" i="20" s="1"/>
  <c r="K26" i="20"/>
  <c r="N26" i="20" s="1"/>
  <c r="N9" i="20"/>
  <c r="W15" i="20"/>
  <c r="J15" i="20"/>
  <c r="X24" i="20"/>
  <c r="I24" i="20" s="1"/>
  <c r="N24" i="20" s="1"/>
  <c r="K24" i="20"/>
  <c r="J31" i="20"/>
  <c r="W31" i="20"/>
  <c r="X22" i="20"/>
  <c r="I22" i="20" s="1"/>
  <c r="N22" i="20" s="1"/>
  <c r="J32" i="20"/>
  <c r="X32" i="20"/>
  <c r="I32" i="20" s="1"/>
  <c r="W30" i="20"/>
  <c r="J30" i="20"/>
  <c r="X23" i="20"/>
  <c r="I23" i="20" s="1"/>
  <c r="K23" i="20"/>
  <c r="X33" i="20"/>
  <c r="I33" i="20" s="1"/>
  <c r="K33" i="20"/>
  <c r="N33" i="20" s="1"/>
  <c r="W32" i="20"/>
  <c r="K32" i="20" s="1"/>
  <c r="X20" i="20"/>
  <c r="I20" i="20" s="1"/>
  <c r="X12" i="19"/>
  <c r="I24" i="19"/>
  <c r="N24" i="19" s="1"/>
  <c r="I18" i="19"/>
  <c r="N18" i="19" s="1"/>
  <c r="X28" i="19"/>
  <c r="K16" i="19"/>
  <c r="X16" i="19"/>
  <c r="X21" i="19"/>
  <c r="W10" i="19"/>
  <c r="K10" i="19" s="1"/>
  <c r="I13" i="19"/>
  <c r="N13" i="19" s="1"/>
  <c r="X33" i="19"/>
  <c r="J22" i="19"/>
  <c r="X22" i="19"/>
  <c r="N27" i="19"/>
  <c r="I27" i="19"/>
  <c r="W15" i="19"/>
  <c r="K15" i="19" s="1"/>
  <c r="W29" i="19"/>
  <c r="K29" i="19" s="1"/>
  <c r="V29" i="16"/>
  <c r="X30" i="16"/>
  <c r="I30" i="16" s="1"/>
  <c r="N30" i="16" s="1"/>
  <c r="W31" i="16"/>
  <c r="K31" i="16" s="1"/>
  <c r="V22" i="27"/>
  <c r="X20" i="27"/>
  <c r="I20" i="27" s="1"/>
  <c r="X12" i="23"/>
  <c r="I12" i="23" s="1"/>
  <c r="X18" i="21"/>
  <c r="I18" i="21" s="1"/>
  <c r="N18" i="21" s="1"/>
  <c r="W10" i="20"/>
  <c r="W25" i="19"/>
  <c r="K25" i="19" s="1"/>
  <c r="X30" i="19"/>
  <c r="X29" i="19"/>
  <c r="W11" i="16"/>
  <c r="K11" i="16" s="1"/>
  <c r="V19" i="16"/>
  <c r="J19" i="16" s="1"/>
  <c r="W28" i="16"/>
  <c r="K28" i="16" s="1"/>
  <c r="V10" i="16"/>
  <c r="J10" i="16" s="1"/>
  <c r="U27" i="16"/>
  <c r="H27" i="16" s="1"/>
  <c r="X14" i="21"/>
  <c r="I14" i="21" s="1"/>
  <c r="N14" i="21" s="1"/>
  <c r="W22" i="21"/>
  <c r="N9" i="19"/>
  <c r="X26" i="19"/>
  <c r="X15" i="19"/>
  <c r="X10" i="19"/>
  <c r="I10" i="19" s="1"/>
  <c r="W23" i="19"/>
  <c r="K23" i="19" s="1"/>
  <c r="W11" i="19"/>
  <c r="K11" i="19" s="1"/>
  <c r="V32" i="19"/>
  <c r="J32" i="19" s="1"/>
  <c r="V19" i="19"/>
  <c r="J29" i="16"/>
  <c r="W29" i="16"/>
  <c r="K29" i="16" s="1"/>
  <c r="K14" i="16"/>
  <c r="X14" i="16"/>
  <c r="I14" i="16" s="1"/>
  <c r="J32" i="16"/>
  <c r="X32" i="16"/>
  <c r="I32" i="16" s="1"/>
  <c r="X28" i="16"/>
  <c r="I28" i="16" s="1"/>
  <c r="N28" i="16" s="1"/>
  <c r="G18" i="16"/>
  <c r="U18" i="16"/>
  <c r="U17" i="16"/>
  <c r="G27" i="16"/>
  <c r="H22" i="16"/>
  <c r="V22" i="16"/>
  <c r="W22" i="16" s="1"/>
  <c r="K22" i="16" s="1"/>
  <c r="K25" i="16"/>
  <c r="X25" i="16"/>
  <c r="I25" i="16" s="1"/>
  <c r="N25" i="16" s="1"/>
  <c r="U15" i="16"/>
  <c r="W13" i="16"/>
  <c r="G21" i="16"/>
  <c r="U21" i="16"/>
  <c r="X12" i="16"/>
  <c r="I12" i="16" s="1"/>
  <c r="N12" i="16" s="1"/>
  <c r="V26" i="16"/>
  <c r="J26" i="16" s="1"/>
  <c r="X31" i="16"/>
  <c r="I31" i="16" s="1"/>
  <c r="N31" i="16" s="1"/>
  <c r="K20" i="16"/>
  <c r="X20" i="16"/>
  <c r="I20" i="16" s="1"/>
  <c r="X9" i="16"/>
  <c r="I9" i="16" s="1"/>
  <c r="N9" i="16" s="1"/>
  <c r="W24" i="16"/>
  <c r="U23" i="16"/>
  <c r="H23" i="16" s="1"/>
  <c r="N24" i="28" l="1"/>
  <c r="X19" i="28"/>
  <c r="I19" i="28" s="1"/>
  <c r="K19" i="28"/>
  <c r="N19" i="28" s="1"/>
  <c r="X17" i="28"/>
  <c r="I17" i="28" s="1"/>
  <c r="K17" i="28"/>
  <c r="X23" i="28"/>
  <c r="I23" i="28" s="1"/>
  <c r="K23" i="28"/>
  <c r="N23" i="28" s="1"/>
  <c r="K20" i="28"/>
  <c r="N20" i="28" s="1"/>
  <c r="X20" i="28"/>
  <c r="I20" i="28" s="1"/>
  <c r="K22" i="28"/>
  <c r="X22" i="28"/>
  <c r="I22" i="28" s="1"/>
  <c r="W22" i="27"/>
  <c r="J22" i="27"/>
  <c r="X18" i="27"/>
  <c r="I18" i="27" s="1"/>
  <c r="K18" i="27"/>
  <c r="N18" i="27" s="1"/>
  <c r="N11" i="27"/>
  <c r="N24" i="27"/>
  <c r="X12" i="27"/>
  <c r="I12" i="27" s="1"/>
  <c r="K12" i="27"/>
  <c r="N12" i="27" s="1"/>
  <c r="N9" i="27"/>
  <c r="X16" i="27"/>
  <c r="I16" i="27" s="1"/>
  <c r="K16" i="27"/>
  <c r="N16" i="27" s="1"/>
  <c r="N20" i="27"/>
  <c r="X10" i="27"/>
  <c r="I10" i="27" s="1"/>
  <c r="K10" i="27"/>
  <c r="N10" i="27" s="1"/>
  <c r="J22" i="26"/>
  <c r="W22" i="26"/>
  <c r="K22" i="26" s="1"/>
  <c r="N13" i="26"/>
  <c r="X22" i="26"/>
  <c r="I22" i="26" s="1"/>
  <c r="N22" i="26" s="1"/>
  <c r="X10" i="26"/>
  <c r="I10" i="26" s="1"/>
  <c r="K10" i="26"/>
  <c r="X11" i="26"/>
  <c r="I11" i="26" s="1"/>
  <c r="K11" i="26"/>
  <c r="X23" i="26"/>
  <c r="I23" i="26" s="1"/>
  <c r="K23" i="26"/>
  <c r="X14" i="26"/>
  <c r="I14" i="26" s="1"/>
  <c r="K14" i="26"/>
  <c r="N17" i="26"/>
  <c r="N24" i="25"/>
  <c r="W15" i="25"/>
  <c r="J15" i="25"/>
  <c r="X19" i="25"/>
  <c r="I19" i="25" s="1"/>
  <c r="K19" i="25"/>
  <c r="N19" i="25" s="1"/>
  <c r="X33" i="25"/>
  <c r="I33" i="25" s="1"/>
  <c r="N33" i="25" s="1"/>
  <c r="X13" i="25"/>
  <c r="I13" i="25" s="1"/>
  <c r="K13" i="25"/>
  <c r="N13" i="25" s="1"/>
  <c r="N25" i="25"/>
  <c r="N22" i="25"/>
  <c r="J11" i="25"/>
  <c r="W11" i="25"/>
  <c r="X21" i="25"/>
  <c r="I21" i="25" s="1"/>
  <c r="K21" i="25"/>
  <c r="N21" i="25" s="1"/>
  <c r="N32" i="25"/>
  <c r="X30" i="25"/>
  <c r="I30" i="25" s="1"/>
  <c r="K30" i="25"/>
  <c r="N30" i="25" s="1"/>
  <c r="X32" i="25"/>
  <c r="I32" i="25" s="1"/>
  <c r="X23" i="24"/>
  <c r="I23" i="24" s="1"/>
  <c r="K23" i="24"/>
  <c r="N23" i="24" s="1"/>
  <c r="W13" i="24"/>
  <c r="K13" i="24" s="1"/>
  <c r="X16" i="24"/>
  <c r="I16" i="24" s="1"/>
  <c r="K16" i="24"/>
  <c r="X29" i="24"/>
  <c r="I29" i="24" s="1"/>
  <c r="K29" i="24"/>
  <c r="N29" i="24" s="1"/>
  <c r="X13" i="24"/>
  <c r="I13" i="24" s="1"/>
  <c r="K27" i="24"/>
  <c r="X27" i="24"/>
  <c r="I27" i="24" s="1"/>
  <c r="N16" i="24"/>
  <c r="J28" i="24"/>
  <c r="W28" i="24"/>
  <c r="N12" i="24"/>
  <c r="K20" i="23"/>
  <c r="X20" i="23"/>
  <c r="I20" i="23" s="1"/>
  <c r="N20" i="23" s="1"/>
  <c r="K11" i="23"/>
  <c r="X11" i="23"/>
  <c r="I11" i="23" s="1"/>
  <c r="N11" i="23" s="1"/>
  <c r="X31" i="23"/>
  <c r="I31" i="23" s="1"/>
  <c r="K31" i="23"/>
  <c r="N33" i="23"/>
  <c r="J18" i="23"/>
  <c r="W18" i="23"/>
  <c r="X30" i="23"/>
  <c r="I30" i="23" s="1"/>
  <c r="K30" i="23"/>
  <c r="X26" i="23"/>
  <c r="I26" i="23" s="1"/>
  <c r="N26" i="23" s="1"/>
  <c r="N12" i="23"/>
  <c r="J19" i="23"/>
  <c r="W19" i="23"/>
  <c r="X29" i="23"/>
  <c r="I29" i="23" s="1"/>
  <c r="K29" i="23"/>
  <c r="X14" i="23"/>
  <c r="I14" i="23" s="1"/>
  <c r="K14" i="23"/>
  <c r="N17" i="23"/>
  <c r="W28" i="23"/>
  <c r="X15" i="22"/>
  <c r="I15" i="22" s="1"/>
  <c r="K15" i="22"/>
  <c r="N15" i="22" s="1"/>
  <c r="X30" i="22"/>
  <c r="I30" i="22" s="1"/>
  <c r="K30" i="22"/>
  <c r="N22" i="22"/>
  <c r="W14" i="22"/>
  <c r="J14" i="22"/>
  <c r="W26" i="22"/>
  <c r="J26" i="22"/>
  <c r="K16" i="22"/>
  <c r="X16" i="22"/>
  <c r="I16" i="22" s="1"/>
  <c r="K24" i="22"/>
  <c r="X24" i="22"/>
  <c r="I24" i="22" s="1"/>
  <c r="N32" i="22"/>
  <c r="J18" i="22"/>
  <c r="W18" i="22"/>
  <c r="X31" i="22"/>
  <c r="I31" i="22" s="1"/>
  <c r="K31" i="22"/>
  <c r="N33" i="22"/>
  <c r="N28" i="21"/>
  <c r="X26" i="21"/>
  <c r="I26" i="21" s="1"/>
  <c r="K26" i="21"/>
  <c r="N26" i="21" s="1"/>
  <c r="K19" i="21"/>
  <c r="X19" i="21"/>
  <c r="I19" i="21" s="1"/>
  <c r="N10" i="21"/>
  <c r="X30" i="21"/>
  <c r="I30" i="21" s="1"/>
  <c r="K30" i="21"/>
  <c r="X10" i="21"/>
  <c r="I10" i="21" s="1"/>
  <c r="W31" i="21"/>
  <c r="K31" i="21" s="1"/>
  <c r="N17" i="21"/>
  <c r="W23" i="21"/>
  <c r="X34" i="21"/>
  <c r="I34" i="21" s="1"/>
  <c r="K34" i="21"/>
  <c r="N34" i="21" s="1"/>
  <c r="X22" i="21"/>
  <c r="I22" i="21" s="1"/>
  <c r="K22" i="21"/>
  <c r="N11" i="21"/>
  <c r="W15" i="21"/>
  <c r="J15" i="21"/>
  <c r="X34" i="20"/>
  <c r="I34" i="20" s="1"/>
  <c r="K34" i="20"/>
  <c r="N34" i="20" s="1"/>
  <c r="X10" i="20"/>
  <c r="I10" i="20" s="1"/>
  <c r="K10" i="20"/>
  <c r="N10" i="20" s="1"/>
  <c r="X30" i="20"/>
  <c r="I30" i="20" s="1"/>
  <c r="K30" i="20"/>
  <c r="N28" i="20"/>
  <c r="N13" i="20"/>
  <c r="X31" i="20"/>
  <c r="I31" i="20" s="1"/>
  <c r="N31" i="20" s="1"/>
  <c r="K31" i="20"/>
  <c r="X15" i="20"/>
  <c r="I15" i="20" s="1"/>
  <c r="K15" i="20"/>
  <c r="N15" i="20" s="1"/>
  <c r="N32" i="20"/>
  <c r="N23" i="20"/>
  <c r="X19" i="20"/>
  <c r="I19" i="20" s="1"/>
  <c r="K19" i="20"/>
  <c r="X14" i="20"/>
  <c r="I14" i="20" s="1"/>
  <c r="K14" i="20"/>
  <c r="N14" i="20" s="1"/>
  <c r="I29" i="19"/>
  <c r="N29" i="19" s="1"/>
  <c r="I30" i="19"/>
  <c r="N30" i="19" s="1"/>
  <c r="I26" i="19"/>
  <c r="N26" i="19" s="1"/>
  <c r="I16" i="19"/>
  <c r="N16" i="19" s="1"/>
  <c r="W19" i="19"/>
  <c r="K19" i="19" s="1"/>
  <c r="J19" i="19"/>
  <c r="I22" i="19"/>
  <c r="N22" i="19" s="1"/>
  <c r="I28" i="19"/>
  <c r="N28" i="19" s="1"/>
  <c r="I33" i="19"/>
  <c r="N33" i="19" s="1"/>
  <c r="N15" i="19"/>
  <c r="I15" i="19"/>
  <c r="I21" i="19"/>
  <c r="N21" i="19" s="1"/>
  <c r="I12" i="19"/>
  <c r="N12" i="19" s="1"/>
  <c r="N14" i="16"/>
  <c r="X11" i="16"/>
  <c r="I11" i="16" s="1"/>
  <c r="N11" i="16" s="1"/>
  <c r="W19" i="16"/>
  <c r="K19" i="16" s="1"/>
  <c r="X25" i="19"/>
  <c r="N20" i="16"/>
  <c r="V27" i="16"/>
  <c r="N32" i="16"/>
  <c r="W10" i="16"/>
  <c r="K10" i="16" s="1"/>
  <c r="X23" i="19"/>
  <c r="N10" i="19"/>
  <c r="X11" i="19"/>
  <c r="I11" i="19" s="1"/>
  <c r="X19" i="19"/>
  <c r="W32" i="19"/>
  <c r="K32" i="19" s="1"/>
  <c r="W26" i="16"/>
  <c r="K26" i="16" s="1"/>
  <c r="V23" i="16"/>
  <c r="H17" i="16"/>
  <c r="V17" i="16"/>
  <c r="J17" i="16" s="1"/>
  <c r="K13" i="16"/>
  <c r="X13" i="16"/>
  <c r="I13" i="16" s="1"/>
  <c r="N13" i="16" s="1"/>
  <c r="H15" i="16"/>
  <c r="V15" i="16"/>
  <c r="J15" i="16" s="1"/>
  <c r="J22" i="16"/>
  <c r="X22" i="16"/>
  <c r="I22" i="16" s="1"/>
  <c r="H18" i="16"/>
  <c r="V18" i="16"/>
  <c r="X19" i="16"/>
  <c r="I19" i="16" s="1"/>
  <c r="N19" i="16" s="1"/>
  <c r="K24" i="16"/>
  <c r="X24" i="16"/>
  <c r="I24" i="16" s="1"/>
  <c r="H21" i="16"/>
  <c r="V21" i="16"/>
  <c r="J21" i="16" s="1"/>
  <c r="X26" i="16"/>
  <c r="I26" i="16" s="1"/>
  <c r="X29" i="16"/>
  <c r="I29" i="16" s="1"/>
  <c r="N29" i="16" s="1"/>
  <c r="N17" i="28" l="1"/>
  <c r="N22" i="28"/>
  <c r="X22" i="27"/>
  <c r="I22" i="27" s="1"/>
  <c r="K22" i="27"/>
  <c r="N22" i="27" s="1"/>
  <c r="N11" i="26"/>
  <c r="N10" i="26"/>
  <c r="N23" i="26"/>
  <c r="N14" i="26"/>
  <c r="X11" i="25"/>
  <c r="I11" i="25" s="1"/>
  <c r="K11" i="25"/>
  <c r="N11" i="25" s="1"/>
  <c r="X15" i="25"/>
  <c r="I15" i="25" s="1"/>
  <c r="K15" i="25"/>
  <c r="N15" i="25" s="1"/>
  <c r="X28" i="24"/>
  <c r="I28" i="24" s="1"/>
  <c r="K28" i="24"/>
  <c r="N28" i="24" s="1"/>
  <c r="N13" i="24"/>
  <c r="N27" i="24"/>
  <c r="X19" i="23"/>
  <c r="I19" i="23" s="1"/>
  <c r="K19" i="23"/>
  <c r="N19" i="23" s="1"/>
  <c r="K28" i="23"/>
  <c r="X28" i="23"/>
  <c r="I28" i="23" s="1"/>
  <c r="N14" i="23"/>
  <c r="N30" i="23"/>
  <c r="N29" i="23"/>
  <c r="X18" i="23"/>
  <c r="I18" i="23" s="1"/>
  <c r="K18" i="23"/>
  <c r="N31" i="23"/>
  <c r="X18" i="22"/>
  <c r="I18" i="22" s="1"/>
  <c r="K18" i="22"/>
  <c r="N18" i="22" s="1"/>
  <c r="X26" i="22"/>
  <c r="I26" i="22" s="1"/>
  <c r="K26" i="22"/>
  <c r="N26" i="22" s="1"/>
  <c r="N24" i="22"/>
  <c r="N30" i="22"/>
  <c r="N31" i="22"/>
  <c r="N16" i="22"/>
  <c r="X14" i="22"/>
  <c r="I14" i="22" s="1"/>
  <c r="K14" i="22"/>
  <c r="N14" i="22" s="1"/>
  <c r="N30" i="21"/>
  <c r="N19" i="21"/>
  <c r="X23" i="21"/>
  <c r="I23" i="21" s="1"/>
  <c r="K23" i="21"/>
  <c r="N23" i="21" s="1"/>
  <c r="X31" i="21"/>
  <c r="I31" i="21" s="1"/>
  <c r="N31" i="21" s="1"/>
  <c r="X15" i="21"/>
  <c r="I15" i="21" s="1"/>
  <c r="K15" i="21"/>
  <c r="N22" i="21"/>
  <c r="N19" i="20"/>
  <c r="N30" i="20"/>
  <c r="I23" i="19"/>
  <c r="N23" i="19" s="1"/>
  <c r="N19" i="19"/>
  <c r="I19" i="19"/>
  <c r="I25" i="19"/>
  <c r="N25" i="19" s="1"/>
  <c r="X10" i="16"/>
  <c r="I10" i="16" s="1"/>
  <c r="N10" i="16" s="1"/>
  <c r="W21" i="16"/>
  <c r="K21" i="16" s="1"/>
  <c r="N22" i="16"/>
  <c r="X21" i="16"/>
  <c r="I21" i="16" s="1"/>
  <c r="J27" i="16"/>
  <c r="W27" i="16"/>
  <c r="K27" i="16" s="1"/>
  <c r="N11" i="19"/>
  <c r="X32" i="19"/>
  <c r="I32" i="19" s="1"/>
  <c r="N24" i="16"/>
  <c r="W15" i="16"/>
  <c r="K15" i="16" s="1"/>
  <c r="W17" i="16"/>
  <c r="J23" i="16"/>
  <c r="X23" i="16"/>
  <c r="I23" i="16" s="1"/>
  <c r="N26" i="16"/>
  <c r="W23" i="16"/>
  <c r="K23" i="16" s="1"/>
  <c r="J18" i="16"/>
  <c r="W18" i="16"/>
  <c r="K18" i="16" s="1"/>
  <c r="N21" i="16"/>
  <c r="X15" i="16" l="1"/>
  <c r="I15" i="16" s="1"/>
  <c r="N28" i="23"/>
  <c r="N18" i="23"/>
  <c r="N15" i="21"/>
  <c r="X27" i="16"/>
  <c r="I27" i="16" s="1"/>
  <c r="N27" i="16" s="1"/>
  <c r="N32" i="19"/>
  <c r="X18" i="16"/>
  <c r="I18" i="16" s="1"/>
  <c r="N18" i="16" s="1"/>
  <c r="K17" i="16"/>
  <c r="X17" i="16"/>
  <c r="I17" i="16" s="1"/>
  <c r="N15" i="16"/>
  <c r="N23" i="16"/>
  <c r="N17" i="16" l="1"/>
</calcChain>
</file>

<file path=xl/sharedStrings.xml><?xml version="1.0" encoding="utf-8"?>
<sst xmlns="http://schemas.openxmlformats.org/spreadsheetml/2006/main" count="743" uniqueCount="172">
  <si>
    <t>SN</t>
  </si>
  <si>
    <t>Dönem :</t>
  </si>
  <si>
    <t>SALİH EMİR EŞE</t>
  </si>
  <si>
    <t>ÇAĞATAY EGE ŞAHİN</t>
  </si>
  <si>
    <t>KADİR AKKURT</t>
  </si>
  <si>
    <t>ALİ DOĞAN</t>
  </si>
  <si>
    <t>BURAK SARIKAYA</t>
  </si>
  <si>
    <t>ŞERİF ÇALIŞKAN</t>
  </si>
  <si>
    <t>UFUK ÖZGÜR MARANGOZ</t>
  </si>
  <si>
    <t>MEHMET ARDA DURGUT</t>
  </si>
  <si>
    <t>EMİR TETİK</t>
  </si>
  <si>
    <t>YAKUP KOCAGEDİK</t>
  </si>
  <si>
    <t>FEVZİ AYBERK DAĞBAŞI</t>
  </si>
  <si>
    <t>MEHMET FİKRET GÜNGÖR</t>
  </si>
  <si>
    <t>AHMET EGE TOPAL</t>
  </si>
  <si>
    <t>AHMET CAN YÖRÜK</t>
  </si>
  <si>
    <t>BEDİRHAN AKSOY</t>
  </si>
  <si>
    <t>Ders araç ve gereçlerini yanında bulundurma</t>
  </si>
  <si>
    <t>Ders içi etkinliklere katılım</t>
  </si>
  <si>
    <t>Sorumluluk almada istekli olma</t>
  </si>
  <si>
    <t>Verilen görevleri zamanında yapma</t>
  </si>
  <si>
    <t>Öğretmenlerine karşı davranış ve tutumları</t>
  </si>
  <si>
    <t>Arkadaşlarına karşı davranış ve tutumlar</t>
  </si>
  <si>
    <t>Ders giriş çıkış saatlerine özen gösterme</t>
  </si>
  <si>
    <t>Derse gerekli hazırlıkları yaparak gelme</t>
  </si>
  <si>
    <t>Toplam Puan</t>
  </si>
  <si>
    <t>Ders içi Performans Değerlendirme
 Kriterleri ve Puanlama</t>
  </si>
  <si>
    <t>Adı ve Soyadı</t>
  </si>
  <si>
    <t>Sıra
No</t>
  </si>
  <si>
    <t>Okul No</t>
  </si>
  <si>
    <t xml:space="preserve"> 1. Performans Değerlendirme Ölçeği</t>
  </si>
  <si>
    <t>ALPEREN İLTER</t>
  </si>
  <si>
    <t xml:space="preserve">Soma Mesleki ve Teknik Anadolu Lisesi 2025-2026 Eğitim-Öğretim Yılı </t>
  </si>
  <si>
    <t>OZAN  DÖNMEZ</t>
  </si>
  <si>
    <t>EMRE YARDIMCI</t>
  </si>
  <si>
    <t>SERCAN KÖSE</t>
  </si>
  <si>
    <t>ALAADDİN KOSTAK</t>
  </si>
  <si>
    <t>SEMİH DEMİR</t>
  </si>
  <si>
    <t>BEDİRHAN ÖLMEZ</t>
  </si>
  <si>
    <t xml:space="preserve">AYBARS CAN </t>
  </si>
  <si>
    <t>EGE AYDOĞAN</t>
  </si>
  <si>
    <t xml:space="preserve">MERT İŞBİLEN </t>
  </si>
  <si>
    <t>HAMZA BİLİR</t>
  </si>
  <si>
    <t xml:space="preserve">MUSA YILDIZ </t>
  </si>
  <si>
    <t>MUSTAFA BURAK</t>
  </si>
  <si>
    <t>MUHAMMED GÜNDÜZ</t>
  </si>
  <si>
    <t>YUSUF AK</t>
  </si>
  <si>
    <t>SAIDALO BAKHTIYOROV</t>
  </si>
  <si>
    <t>FATİH ADIGÜZEL</t>
  </si>
  <si>
    <t>MUSTAFA AYDIN</t>
  </si>
  <si>
    <t>ÖMER DEMİRCİOĞLU</t>
  </si>
  <si>
    <t>HABİL EFE  BİTİREN</t>
  </si>
  <si>
    <t>HÜSEYİN ALİ KARACA</t>
  </si>
  <si>
    <t>CEMİL ABDURRAHMAN BİRİNCİ</t>
  </si>
  <si>
    <t>MEHMET EMİR DAVUTLU</t>
  </si>
  <si>
    <t>RAMAZAN EMİR UÇAR</t>
  </si>
  <si>
    <t>EMİR HALİT KANDEMİR</t>
  </si>
  <si>
    <t>ARİF BERK İPEK</t>
  </si>
  <si>
    <t>ALİ ARMAN</t>
  </si>
  <si>
    <t>MEHMET MAMAK</t>
  </si>
  <si>
    <t>ARDA ÇAKIR</t>
  </si>
  <si>
    <t>ARDA SARAÇ</t>
  </si>
  <si>
    <t>CEMALİ SARIKAYA</t>
  </si>
  <si>
    <t>KENAN ÇELKİK</t>
  </si>
  <si>
    <t>Ders :  MALZEME BİLGİSİ</t>
  </si>
  <si>
    <t>Sınıf / Şube :  10/A</t>
  </si>
  <si>
    <t>Ders :   ÖLÇME VE KONTROL</t>
  </si>
  <si>
    <t>Ders :   İMALAT YÖNTEMLERİ</t>
  </si>
  <si>
    <t>Ders :  TEMEL İMALAT İŞLEMLERİ</t>
  </si>
  <si>
    <t>Sınıf / Şube :  9/A</t>
  </si>
  <si>
    <t>Ders :  MESLEKİ GELİŞİM ATÖLYESİ</t>
  </si>
  <si>
    <t>ALİ RIZA YETİM</t>
  </si>
  <si>
    <t>ARDA SEYHAN YILDIZ</t>
  </si>
  <si>
    <t>SÜLEYMAN TAHA YILMAZ</t>
  </si>
  <si>
    <t>HALİL İBRAHİM İLTER</t>
  </si>
  <si>
    <t>EMRECAN KAYA</t>
  </si>
  <si>
    <t>ONUR EROL</t>
  </si>
  <si>
    <t>MUSTAFA KÖŞKER</t>
  </si>
  <si>
    <t>EMİRHAN EROL</t>
  </si>
  <si>
    <t xml:space="preserve">SAMET KAPLAN </t>
  </si>
  <si>
    <t>KAAN AÇICIER</t>
  </si>
  <si>
    <t>DEVRİM SAL</t>
  </si>
  <si>
    <t>ANIL ONUR</t>
  </si>
  <si>
    <t>ERİM TURAN</t>
  </si>
  <si>
    <t>BEDİRHAN CEYHAN</t>
  </si>
  <si>
    <t>OĞUZHAN ÇAKIR</t>
  </si>
  <si>
    <t>ARDA ÖZCAN</t>
  </si>
  <si>
    <t>BATUHAN USTA</t>
  </si>
  <si>
    <t>CAFER ÇELİK</t>
  </si>
  <si>
    <t>MEHMET MUTLU</t>
  </si>
  <si>
    <t>MERTHAN YILDIRIM</t>
  </si>
  <si>
    <t>MUHAMMET KAYSIZIN</t>
  </si>
  <si>
    <t xml:space="preserve">ŞEVKİCAN ŞEN </t>
  </si>
  <si>
    <t>BERAT MUYAN</t>
  </si>
  <si>
    <t>SELİM ÇAKIR</t>
  </si>
  <si>
    <t>SEMİH DEMİRCİ</t>
  </si>
  <si>
    <t>MUHAMMET FURKAN ÇOBAN</t>
  </si>
  <si>
    <t>NAZLIM MERT ABAY</t>
  </si>
  <si>
    <t>İSMAİL MERT GELİR</t>
  </si>
  <si>
    <t xml:space="preserve">KADİR EFE KURMALI </t>
  </si>
  <si>
    <t xml:space="preserve">MURAT EREN YİĞİT </t>
  </si>
  <si>
    <t>ÖMER ARDIÇ</t>
  </si>
  <si>
    <t>BARIŞ GÜR</t>
  </si>
  <si>
    <t>HÜSEYİN BİÇER</t>
  </si>
  <si>
    <t>EMİRHAN AKSOY</t>
  </si>
  <si>
    <t>BURAK ASKAY</t>
  </si>
  <si>
    <t>EMİRHAN KARAARSLAN</t>
  </si>
  <si>
    <t>ENES ASLANCAN</t>
  </si>
  <si>
    <t>HAYATİCAN SEMİZ</t>
  </si>
  <si>
    <t>HUZEYFE ATICI</t>
  </si>
  <si>
    <t>İSMAİL DOĞAN</t>
  </si>
  <si>
    <t>ALPER UYGUN</t>
  </si>
  <si>
    <t>İSMAİLCAN MUTLU</t>
  </si>
  <si>
    <t>RECEP EREN AKAR</t>
  </si>
  <si>
    <t>BİROL UFUK CENGİZ</t>
  </si>
  <si>
    <t>BÜNYAMİN EFE AKBAŞ</t>
  </si>
  <si>
    <t>MEHMET CAN DAYAN</t>
  </si>
  <si>
    <t>Ders :  SEÇMELİ MAKİNE ELEMANLARI</t>
  </si>
  <si>
    <t>Sınıf / Şube :  12/A</t>
  </si>
  <si>
    <t>Ders :  SEÇMELİ HİDROLİK PNOMATİK</t>
  </si>
  <si>
    <t>Sınıf / Şube :  123/A</t>
  </si>
  <si>
    <t>Ders :  SEÇMELİ MEKANİZMA ÇİZİMLERİ</t>
  </si>
  <si>
    <t>Ders :   SEÇMELİ MAKİNE ELEMANLARI</t>
  </si>
  <si>
    <t>Sınıf / Şube :  12/B</t>
  </si>
  <si>
    <t>Sınıf / Şube : 12/B</t>
  </si>
  <si>
    <t>ZAFER SARI</t>
  </si>
  <si>
    <t>RAMAZAN ÖVEK</t>
  </si>
  <si>
    <t>İSMAİL SİVRİ</t>
  </si>
  <si>
    <t xml:space="preserve">ALİ YILMAZ </t>
  </si>
  <si>
    <t>TUNAHAN TEKER</t>
  </si>
  <si>
    <t>YAŞAR ARDA ÇAL</t>
  </si>
  <si>
    <t>MEHMET KAZIM UZUN</t>
  </si>
  <si>
    <t>SADETTİN AKSU</t>
  </si>
  <si>
    <t>CENGİZHAN GEZGİN</t>
  </si>
  <si>
    <t>BATIKAN ALEMDAR TAŞ.</t>
  </si>
  <si>
    <t>YUSUF EFE ÇAL</t>
  </si>
  <si>
    <t>MERT KOCABIYIK</t>
  </si>
  <si>
    <t>HÜSEYİN YEKTA</t>
  </si>
  <si>
    <t>ALİ HAN ŞENLİK</t>
  </si>
  <si>
    <t>HASAN MERT ÇELİK</t>
  </si>
  <si>
    <t>SÜLEYMAN ANAÇ</t>
  </si>
  <si>
    <t>EMİRHAN ERTÜRK</t>
  </si>
  <si>
    <t>MUHAMMET EMİN KILIÇ</t>
  </si>
  <si>
    <t>SALİH AĞCIK</t>
  </si>
  <si>
    <t xml:space="preserve">ARDA YILMAZ </t>
  </si>
  <si>
    <t>AHMET CEMİL YILDIZ</t>
  </si>
  <si>
    <t>Ders :   MEKANİZMALAR</t>
  </si>
  <si>
    <t>Sınıf / Şube :  11/A</t>
  </si>
  <si>
    <t>Ders :   MEKANİK BAKIM ONARIM</t>
  </si>
  <si>
    <t>Ders :   OTOMATİK KONTOL SİSTEMLERİ</t>
  </si>
  <si>
    <t>BATIKAN ALEMDAR TAŞPINAR</t>
  </si>
  <si>
    <t>Ders :   TEMEL ELEKTRİK</t>
  </si>
  <si>
    <t>Sınıf / Şube :  11/B</t>
  </si>
  <si>
    <t>Ders :   BİLGİSAYAR KONTROLLÜ ÜRETİM</t>
  </si>
  <si>
    <t xml:space="preserve">Ders :  BİLGİSAYAR DESTEKLİ TASARIM </t>
  </si>
  <si>
    <t>Ders :   YENİLİKÇİ ÜRETİM YÖNTEMLERİ</t>
  </si>
  <si>
    <t>RAMAZAN DOĞANER</t>
  </si>
  <si>
    <t>HÜSEYİN ANIL KOÇ</t>
  </si>
  <si>
    <t>ALİ OSMAN DURAN</t>
  </si>
  <si>
    <t>TALHA ÖMER YAĞMUR</t>
  </si>
  <si>
    <t xml:space="preserve">EMİRHAN YASLAM </t>
  </si>
  <si>
    <t>YİĞİT AFACAN</t>
  </si>
  <si>
    <t xml:space="preserve">YAĞIZ ŞENHAN </t>
  </si>
  <si>
    <t>MERT BERAT VARLI</t>
  </si>
  <si>
    <t>SAMET YALIN</t>
  </si>
  <si>
    <t>MEHMET CAN ÇELEBİ</t>
  </si>
  <si>
    <t xml:space="preserve">MUHAMMET TOPRAK </t>
  </si>
  <si>
    <t>FAHRİ CAN ILGAZ</t>
  </si>
  <si>
    <t>EFE EŞREF ÖZDİLKURAL</t>
  </si>
  <si>
    <t xml:space="preserve">EREN OLUM </t>
  </si>
  <si>
    <t>EGE GENÇ</t>
  </si>
  <si>
    <t>2. DÖNEM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</si>
</sst>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indexed="8"/>
      <name val="Calibri"/>
      <family val="2"/>
      <charset val="162"/>
      <scheme val="minor"/>
    </font>
    <font>
      <b/>
      <sz val="11"/>
      <color indexed="1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0"/>
      <color indexed="8"/>
      <name val="ARIAL"/>
      <charset val="1"/>
    </font>
    <font>
      <b/>
      <sz val="11"/>
      <color rgb="FFFF0000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sz val="10"/>
      <color theme="1"/>
      <name val="Calibri Light"/>
      <family val="2"/>
      <charset val="162"/>
      <scheme val="major"/>
    </font>
    <font>
      <b/>
      <sz val="13"/>
      <color theme="1"/>
      <name val="Calibri"/>
      <family val="2"/>
      <charset val="162"/>
      <scheme val="minor"/>
    </font>
    <font>
      <b/>
      <sz val="11"/>
      <color indexed="8"/>
      <name val="Calibri Light"/>
      <family val="2"/>
      <charset val="162"/>
      <scheme val="major"/>
    </font>
    <font>
      <b/>
      <sz val="11"/>
      <color theme="1"/>
      <name val="Calibri Light"/>
      <family val="2"/>
      <charset val="162"/>
      <scheme val="major"/>
    </font>
    <font>
      <sz val="8"/>
      <color rgb="FF000000"/>
      <name val="Tahoma"/>
      <family val="2"/>
      <charset val="162"/>
    </font>
    <font>
      <sz val="9"/>
      <color rgb="FF000000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9"/>
      <color indexed="8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9"/>
      <color rgb="FF000000"/>
      <name val="Calibri 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3" borderId="1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Fill="1" applyBorder="1" applyAlignment="1"/>
    <xf numFmtId="0" fontId="2" fillId="3" borderId="1" xfId="0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vertical="top"/>
    </xf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3" fillId="0" borderId="0" xfId="0" applyFont="1"/>
    <xf numFmtId="1" fontId="14" fillId="0" borderId="1" xfId="0" applyNumberFormat="1" applyFont="1" applyFill="1" applyBorder="1" applyAlignment="1">
      <alignment horizontal="left" vertical="top" indent="2" shrinkToFit="1"/>
    </xf>
    <xf numFmtId="0" fontId="15" fillId="0" borderId="1" xfId="0" applyFont="1" applyFill="1" applyBorder="1" applyAlignment="1">
      <alignment horizontal="left" vertical="top" wrapText="1" indent="4"/>
    </xf>
    <xf numFmtId="0" fontId="15" fillId="0" borderId="1" xfId="0" applyFont="1" applyFill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>
      <alignment horizontal="center" vertical="center"/>
    </xf>
    <xf numFmtId="1" fontId="14" fillId="0" borderId="1" xfId="0" applyNumberFormat="1" applyFont="1" applyFill="1" applyBorder="1" applyAlignment="1">
      <alignment horizontal="center" vertical="center" shrinkToFit="1"/>
    </xf>
    <xf numFmtId="0" fontId="15" fillId="0" borderId="1" xfId="0" applyFont="1" applyFill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10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textRotation="90" wrapText="1"/>
    </xf>
    <xf numFmtId="0" fontId="1" fillId="6" borderId="1" xfId="0" applyFont="1" applyFill="1" applyBorder="1" applyAlignment="1">
      <alignment horizontal="center" textRotation="90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8"/>
  <sheetViews>
    <sheetView tabSelected="1" workbookViewId="0">
      <selection activeCell="AB11" sqref="AB11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70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69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28</v>
      </c>
      <c r="B8" s="24" t="s">
        <v>29</v>
      </c>
      <c r="C8" s="24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25001</v>
      </c>
      <c r="C9" s="32" t="s">
        <v>51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33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25002</v>
      </c>
      <c r="C10" s="32" t="s">
        <v>33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33" si="4">INT(P10/10)</f>
        <v>0</v>
      </c>
      <c r="R10" s="10">
        <f t="shared" ref="R10:R33" si="5">INT((P10-Q10)/9)</f>
        <v>0</v>
      </c>
      <c r="S10" s="10">
        <f t="shared" ref="S10:S33" si="6">INT(((P10-SUM(Q10:R10))/8))</f>
        <v>0</v>
      </c>
      <c r="T10" s="10">
        <f t="shared" ref="T10:T33" si="7">INT(((P10-SUM(Q10:S10))/7))</f>
        <v>0</v>
      </c>
      <c r="U10" s="10">
        <f t="shared" ref="U10:U33" si="8">INT(((P10-SUM(Q10:T10))/6))</f>
        <v>0</v>
      </c>
      <c r="V10" s="10">
        <f t="shared" ref="V10:V33" si="9">INT(((P10-SUM(Q10:U10))/5))</f>
        <v>0</v>
      </c>
      <c r="W10" s="10">
        <f t="shared" ref="W10:W33" si="10">INT(((P10-SUM(Q10:V10))/4))</f>
        <v>0</v>
      </c>
      <c r="X10" s="11">
        <f t="shared" ref="X10:X33" si="11">P10-SUM(Q10:W10)</f>
        <v>0</v>
      </c>
    </row>
    <row r="11" spans="1:26" ht="19.5" customHeight="1">
      <c r="A11" s="18">
        <v>3</v>
      </c>
      <c r="B11" s="31">
        <v>25007</v>
      </c>
      <c r="C11" s="32" t="s">
        <v>52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33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25008</v>
      </c>
      <c r="C12" s="32" t="s">
        <v>34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25009</v>
      </c>
      <c r="C13" s="32" t="s">
        <v>53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25010</v>
      </c>
      <c r="C14" s="32" t="s">
        <v>35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25012</v>
      </c>
      <c r="C15" s="32" t="s">
        <v>36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25013</v>
      </c>
      <c r="C16" s="32" t="s">
        <v>54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25014</v>
      </c>
      <c r="C17" s="32" t="s">
        <v>37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25015</v>
      </c>
      <c r="C18" s="32" t="s">
        <v>38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25016</v>
      </c>
      <c r="C19" s="32" t="s">
        <v>39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25017</v>
      </c>
      <c r="C20" s="32" t="s">
        <v>40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25019</v>
      </c>
      <c r="C21" s="32" t="s">
        <v>41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25020</v>
      </c>
      <c r="C22" s="32" t="s">
        <v>42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25022</v>
      </c>
      <c r="C23" s="32" t="s">
        <v>43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25023</v>
      </c>
      <c r="C24" s="32" t="s">
        <v>44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25024</v>
      </c>
      <c r="C25" s="32" t="s">
        <v>55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25027</v>
      </c>
      <c r="C26" s="32" t="s">
        <v>45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25028</v>
      </c>
      <c r="C27" s="32" t="s">
        <v>46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25029</v>
      </c>
      <c r="C28" s="32" t="s">
        <v>47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25031</v>
      </c>
      <c r="C29" s="32" t="s">
        <v>56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25032</v>
      </c>
      <c r="C30" s="32" t="s">
        <v>48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25033</v>
      </c>
      <c r="C31" s="32" t="s">
        <v>49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25301</v>
      </c>
      <c r="C32" s="32" t="s">
        <v>57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4" ht="19.5" customHeight="1">
      <c r="A33" s="18">
        <v>25</v>
      </c>
      <c r="B33" s="31">
        <v>25777</v>
      </c>
      <c r="C33" s="32" t="s">
        <v>50</v>
      </c>
      <c r="D33" s="17">
        <f t="shared" ref="D33:H33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" si="44">X33</f>
        <v>0</v>
      </c>
      <c r="J33" s="17">
        <f t="shared" ref="J33:K33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4">
      <c r="O34" s="6"/>
      <c r="P34" s="4"/>
      <c r="Q34" s="3"/>
      <c r="R34" s="3"/>
      <c r="S34" s="3"/>
      <c r="T34" s="3"/>
      <c r="U34" s="3"/>
      <c r="V34" s="3"/>
      <c r="W34" s="3"/>
      <c r="X34" s="3"/>
    </row>
    <row r="35" spans="1:24"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B36" s="26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B37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B38" s="26"/>
    </row>
    <row r="39" spans="1:24">
      <c r="B39"/>
    </row>
    <row r="40" spans="1:24">
      <c r="B40" s="26"/>
    </row>
    <row r="41" spans="1:24">
      <c r="B41"/>
    </row>
    <row r="42" spans="1:24">
      <c r="B42" s="26"/>
    </row>
    <row r="43" spans="1:24">
      <c r="B43"/>
    </row>
    <row r="44" spans="1:24">
      <c r="B44" s="26"/>
    </row>
    <row r="45" spans="1:24">
      <c r="B45"/>
    </row>
    <row r="46" spans="1:24">
      <c r="B46" s="26"/>
    </row>
    <row r="47" spans="1:24">
      <c r="B47"/>
    </row>
    <row r="48" spans="1:24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  <row r="79" spans="2:2">
      <c r="B79"/>
    </row>
    <row r="80" spans="2:2">
      <c r="B80" s="26"/>
    </row>
    <row r="81" spans="2:2">
      <c r="B81"/>
    </row>
    <row r="82" spans="2:2">
      <c r="B82" s="26"/>
    </row>
    <row r="83" spans="2:2">
      <c r="B83"/>
    </row>
    <row r="84" spans="2:2">
      <c r="B84" s="26"/>
    </row>
    <row r="85" spans="2:2">
      <c r="B85"/>
    </row>
    <row r="86" spans="2:2">
      <c r="B86" s="26"/>
    </row>
    <row r="87" spans="2:2">
      <c r="B87"/>
    </row>
    <row r="88" spans="2:2">
      <c r="B88" s="26"/>
    </row>
  </sheetData>
  <mergeCells count="16">
    <mergeCell ref="O6:O8"/>
    <mergeCell ref="A1:L1"/>
    <mergeCell ref="A2:L2"/>
    <mergeCell ref="A3:C3"/>
    <mergeCell ref="L3:L7"/>
    <mergeCell ref="A4:C4"/>
    <mergeCell ref="D3:D7"/>
    <mergeCell ref="E3:E7"/>
    <mergeCell ref="F3:F7"/>
    <mergeCell ref="G3:G7"/>
    <mergeCell ref="H3:H7"/>
    <mergeCell ref="I3:I7"/>
    <mergeCell ref="J3:J7"/>
    <mergeCell ref="K3:K7"/>
    <mergeCell ref="A5:B5"/>
    <mergeCell ref="A6:C7"/>
  </mergeCells>
  <conditionalFormatting sqref="D9:K33">
    <cfRule type="cellIs" dxfId="24" priority="8" operator="lessThanOrEqual">
      <formula>0</formula>
    </cfRule>
  </conditionalFormatting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68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69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28</v>
      </c>
      <c r="B8" s="24" t="s">
        <v>29</v>
      </c>
      <c r="C8" s="24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25001</v>
      </c>
      <c r="C9" s="32" t="s">
        <v>51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33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25002</v>
      </c>
      <c r="C10" s="32" t="s">
        <v>33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33" si="4">INT(P10/10)</f>
        <v>0</v>
      </c>
      <c r="R10" s="10">
        <f t="shared" ref="R10:R33" si="5">INT((P10-Q10)/9)</f>
        <v>0</v>
      </c>
      <c r="S10" s="10">
        <f t="shared" ref="S10:S33" si="6">INT(((P10-SUM(Q10:R10))/8))</f>
        <v>0</v>
      </c>
      <c r="T10" s="10">
        <f t="shared" ref="T10:T33" si="7">INT(((P10-SUM(Q10:S10))/7))</f>
        <v>0</v>
      </c>
      <c r="U10" s="10">
        <f t="shared" ref="U10:U33" si="8">INT(((P10-SUM(Q10:T10))/6))</f>
        <v>0</v>
      </c>
      <c r="V10" s="10">
        <f t="shared" ref="V10:V33" si="9">INT(((P10-SUM(Q10:U10))/5))</f>
        <v>0</v>
      </c>
      <c r="W10" s="10">
        <f t="shared" ref="W10:W33" si="10">INT(((P10-SUM(Q10:V10))/4))</f>
        <v>0</v>
      </c>
      <c r="X10" s="11">
        <f t="shared" ref="X10:X33" si="11">P10-SUM(Q10:W10)</f>
        <v>0</v>
      </c>
    </row>
    <row r="11" spans="1:26" ht="19.5" customHeight="1">
      <c r="A11" s="18">
        <v>3</v>
      </c>
      <c r="B11" s="31">
        <v>25007</v>
      </c>
      <c r="C11" s="32" t="s">
        <v>52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33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25008</v>
      </c>
      <c r="C12" s="32" t="s">
        <v>34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25009</v>
      </c>
      <c r="C13" s="32" t="s">
        <v>53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25010</v>
      </c>
      <c r="C14" s="32" t="s">
        <v>35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25012</v>
      </c>
      <c r="C15" s="32" t="s">
        <v>36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25013</v>
      </c>
      <c r="C16" s="32" t="s">
        <v>54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25014</v>
      </c>
      <c r="C17" s="32" t="s">
        <v>37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25015</v>
      </c>
      <c r="C18" s="32" t="s">
        <v>38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25016</v>
      </c>
      <c r="C19" s="32" t="s">
        <v>39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25017</v>
      </c>
      <c r="C20" s="32" t="s">
        <v>40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25019</v>
      </c>
      <c r="C21" s="32" t="s">
        <v>41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25020</v>
      </c>
      <c r="C22" s="32" t="s">
        <v>42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25022</v>
      </c>
      <c r="C23" s="32" t="s">
        <v>43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25023</v>
      </c>
      <c r="C24" s="32" t="s">
        <v>44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25024</v>
      </c>
      <c r="C25" s="32" t="s">
        <v>55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25027</v>
      </c>
      <c r="C26" s="32" t="s">
        <v>45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25028</v>
      </c>
      <c r="C27" s="32" t="s">
        <v>46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25029</v>
      </c>
      <c r="C28" s="32" t="s">
        <v>47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25031</v>
      </c>
      <c r="C29" s="32" t="s">
        <v>56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25032</v>
      </c>
      <c r="C30" s="32" t="s">
        <v>48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25033</v>
      </c>
      <c r="C31" s="32" t="s">
        <v>49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25301</v>
      </c>
      <c r="C32" s="32" t="s">
        <v>57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4" ht="19.5" customHeight="1">
      <c r="A33" s="18">
        <v>25</v>
      </c>
      <c r="B33" s="31">
        <v>25777</v>
      </c>
      <c r="C33" s="32" t="s">
        <v>50</v>
      </c>
      <c r="D33" s="17">
        <f t="shared" ref="D33:H33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" si="44">X33</f>
        <v>0</v>
      </c>
      <c r="J33" s="17">
        <f t="shared" ref="J33:K33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4">
      <c r="B34" s="26"/>
    </row>
    <row r="35" spans="1:24">
      <c r="B35"/>
    </row>
    <row r="36" spans="1:24">
      <c r="B36" s="26"/>
    </row>
    <row r="37" spans="1:24">
      <c r="B37"/>
    </row>
    <row r="38" spans="1:24">
      <c r="B38" s="26"/>
    </row>
    <row r="39" spans="1:24">
      <c r="B39"/>
    </row>
    <row r="40" spans="1:24">
      <c r="B40" s="26"/>
    </row>
    <row r="41" spans="1:24">
      <c r="B41"/>
    </row>
    <row r="42" spans="1:24">
      <c r="B42" s="26"/>
    </row>
    <row r="43" spans="1:24">
      <c r="B43"/>
    </row>
    <row r="44" spans="1:24">
      <c r="B44" s="26"/>
    </row>
    <row r="45" spans="1:24">
      <c r="B45"/>
    </row>
    <row r="46" spans="1:24">
      <c r="B46" s="26"/>
    </row>
    <row r="47" spans="1:24">
      <c r="B47"/>
    </row>
    <row r="48" spans="1:24">
      <c r="B48" s="26"/>
    </row>
    <row r="49" spans="2:2">
      <c r="B49"/>
    </row>
    <row r="50" spans="2:2">
      <c r="B50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33">
    <cfRule type="cellIs" dxfId="23" priority="1" operator="less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4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64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65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28</v>
      </c>
      <c r="B8" s="24" t="s">
        <v>29</v>
      </c>
      <c r="C8" s="24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57</v>
      </c>
      <c r="C9" s="32" t="s">
        <v>71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3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68</v>
      </c>
      <c r="C10" s="32" t="s">
        <v>58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34" si="4">INT(P10/10)</f>
        <v>0</v>
      </c>
      <c r="R10" s="10">
        <f t="shared" ref="R10:R34" si="5">INT((P10-Q10)/9)</f>
        <v>0</v>
      </c>
      <c r="S10" s="10">
        <f t="shared" ref="S10:S34" si="6">INT(((P10-SUM(Q10:R10))/8))</f>
        <v>0</v>
      </c>
      <c r="T10" s="10">
        <f t="shared" ref="T10:T34" si="7">INT(((P10-SUM(Q10:S10))/7))</f>
        <v>0</v>
      </c>
      <c r="U10" s="10">
        <f t="shared" ref="U10:U34" si="8">INT(((P10-SUM(Q10:T10))/6))</f>
        <v>0</v>
      </c>
      <c r="V10" s="10">
        <f t="shared" ref="V10:V34" si="9">INT(((P10-SUM(Q10:U10))/5))</f>
        <v>0</v>
      </c>
      <c r="W10" s="10">
        <f t="shared" ref="W10:W34" si="10">INT(((P10-SUM(Q10:V10))/4))</f>
        <v>0</v>
      </c>
      <c r="X10" s="11">
        <f t="shared" ref="X10:X34" si="11">P10-SUM(Q10:W10)</f>
        <v>0</v>
      </c>
    </row>
    <row r="11" spans="1:26" ht="19.5" customHeight="1">
      <c r="A11" s="18">
        <v>3</v>
      </c>
      <c r="B11" s="31">
        <v>71</v>
      </c>
      <c r="C11" s="32" t="s">
        <v>59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3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75</v>
      </c>
      <c r="C12" s="32" t="s">
        <v>60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76</v>
      </c>
      <c r="C13" s="32" t="s">
        <v>72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80</v>
      </c>
      <c r="C14" s="32" t="s">
        <v>61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92</v>
      </c>
      <c r="C15" s="32" t="s">
        <v>73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111</v>
      </c>
      <c r="C16" s="32" t="s">
        <v>62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593</v>
      </c>
      <c r="C17" s="32" t="s">
        <v>2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617</v>
      </c>
      <c r="C18" s="32" t="s">
        <v>3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619</v>
      </c>
      <c r="C19" s="32" t="s">
        <v>4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712</v>
      </c>
      <c r="C20" s="32" t="s">
        <v>5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713</v>
      </c>
      <c r="C21" s="32" t="s">
        <v>6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715</v>
      </c>
      <c r="C22" s="32" t="s">
        <v>7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740</v>
      </c>
      <c r="C23" s="32" t="s">
        <v>74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741</v>
      </c>
      <c r="C24" s="32" t="s">
        <v>8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755</v>
      </c>
      <c r="C25" s="32" t="s">
        <v>63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769</v>
      </c>
      <c r="C26" s="32" t="s">
        <v>9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781</v>
      </c>
      <c r="C27" s="32" t="s">
        <v>10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797</v>
      </c>
      <c r="C28" s="32" t="s">
        <v>11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811</v>
      </c>
      <c r="C29" s="32" t="s">
        <v>12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815</v>
      </c>
      <c r="C30" s="32" t="s">
        <v>13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819</v>
      </c>
      <c r="C31" s="32" t="s">
        <v>14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826</v>
      </c>
      <c r="C32" s="32" t="s">
        <v>15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4" ht="19.5" customHeight="1">
      <c r="A33" s="18">
        <v>25</v>
      </c>
      <c r="B33" s="31">
        <v>834</v>
      </c>
      <c r="C33" s="32" t="s">
        <v>16</v>
      </c>
      <c r="D33" s="17">
        <f t="shared" ref="D33:H33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" si="44">X33</f>
        <v>0</v>
      </c>
      <c r="J33" s="17">
        <f t="shared" ref="J33:K33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4" ht="19.5" customHeight="1">
      <c r="A34" s="18">
        <v>26</v>
      </c>
      <c r="B34" s="31">
        <v>842</v>
      </c>
      <c r="C34" s="32" t="s">
        <v>31</v>
      </c>
      <c r="D34" s="17">
        <f t="shared" ref="D34" si="46">Q34</f>
        <v>0</v>
      </c>
      <c r="E34" s="17">
        <f t="shared" ref="E34" si="47">R34</f>
        <v>0</v>
      </c>
      <c r="F34" s="17">
        <f t="shared" ref="F34" si="48">S34</f>
        <v>0</v>
      </c>
      <c r="G34" s="17">
        <f t="shared" ref="G34" si="49">T34</f>
        <v>0</v>
      </c>
      <c r="H34" s="17">
        <f t="shared" ref="H34" si="50">U34</f>
        <v>0</v>
      </c>
      <c r="I34" s="17">
        <f t="shared" ref="I34" si="51">X34</f>
        <v>0</v>
      </c>
      <c r="J34" s="17">
        <f t="shared" ref="J34" si="52">V34</f>
        <v>0</v>
      </c>
      <c r="K34" s="17">
        <f t="shared" ref="K34" si="53">W34</f>
        <v>0</v>
      </c>
      <c r="L34" s="22">
        <v>0</v>
      </c>
      <c r="N34" s="9">
        <f t="shared" si="0"/>
        <v>0</v>
      </c>
      <c r="O34" s="10">
        <v>27</v>
      </c>
      <c r="P34" s="11">
        <f t="shared" si="12"/>
        <v>0</v>
      </c>
      <c r="Q34" s="10">
        <f t="shared" si="4"/>
        <v>0</v>
      </c>
      <c r="R34" s="10">
        <f t="shared" si="5"/>
        <v>0</v>
      </c>
      <c r="S34" s="10">
        <f t="shared" si="6"/>
        <v>0</v>
      </c>
      <c r="T34" s="10">
        <f t="shared" si="7"/>
        <v>0</v>
      </c>
      <c r="U34" s="10">
        <f t="shared" si="8"/>
        <v>0</v>
      </c>
      <c r="V34" s="10">
        <f t="shared" si="9"/>
        <v>0</v>
      </c>
      <c r="W34" s="10">
        <f t="shared" si="10"/>
        <v>0</v>
      </c>
      <c r="X34" s="11">
        <f t="shared" si="11"/>
        <v>0</v>
      </c>
    </row>
    <row r="35" spans="1:24">
      <c r="B35"/>
    </row>
    <row r="36" spans="1:24">
      <c r="B36" s="26"/>
    </row>
    <row r="37" spans="1:24">
      <c r="B37"/>
    </row>
    <row r="38" spans="1:24">
      <c r="B38" s="26"/>
    </row>
    <row r="39" spans="1:24">
      <c r="B39"/>
    </row>
    <row r="40" spans="1:24">
      <c r="B40" s="26"/>
    </row>
    <row r="41" spans="1:24">
      <c r="B41"/>
    </row>
    <row r="42" spans="1:24">
      <c r="B42" s="26"/>
    </row>
    <row r="43" spans="1:24">
      <c r="B43"/>
    </row>
    <row r="44" spans="1:24">
      <c r="B44" s="26"/>
    </row>
    <row r="45" spans="1:24">
      <c r="B45"/>
    </row>
    <row r="46" spans="1:24">
      <c r="B46" s="26"/>
    </row>
    <row r="47" spans="1:24">
      <c r="B47"/>
    </row>
    <row r="48" spans="1:24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34">
    <cfRule type="cellIs" dxfId="22" priority="1" operator="less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8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66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65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28</v>
      </c>
      <c r="B8" s="24" t="s">
        <v>29</v>
      </c>
      <c r="C8" s="24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57</v>
      </c>
      <c r="C9" s="32" t="s">
        <v>71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3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68</v>
      </c>
      <c r="C10" s="32" t="s">
        <v>58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34" si="4">INT(P10/10)</f>
        <v>0</v>
      </c>
      <c r="R10" s="10">
        <f t="shared" ref="R10:R34" si="5">INT((P10-Q10)/9)</f>
        <v>0</v>
      </c>
      <c r="S10" s="10">
        <f t="shared" ref="S10:S34" si="6">INT(((P10-SUM(Q10:R10))/8))</f>
        <v>0</v>
      </c>
      <c r="T10" s="10">
        <f t="shared" ref="T10:T34" si="7">INT(((P10-SUM(Q10:S10))/7))</f>
        <v>0</v>
      </c>
      <c r="U10" s="10">
        <f t="shared" ref="U10:U34" si="8">INT(((P10-SUM(Q10:T10))/6))</f>
        <v>0</v>
      </c>
      <c r="V10" s="10">
        <f t="shared" ref="V10:V34" si="9">INT(((P10-SUM(Q10:U10))/5))</f>
        <v>0</v>
      </c>
      <c r="W10" s="10">
        <f t="shared" ref="W10:W34" si="10">INT(((P10-SUM(Q10:V10))/4))</f>
        <v>0</v>
      </c>
      <c r="X10" s="11">
        <f t="shared" ref="X10:X34" si="11">P10-SUM(Q10:W10)</f>
        <v>0</v>
      </c>
    </row>
    <row r="11" spans="1:26" ht="19.5" customHeight="1">
      <c r="A11" s="18">
        <v>3</v>
      </c>
      <c r="B11" s="31">
        <v>71</v>
      </c>
      <c r="C11" s="32" t="s">
        <v>59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3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75</v>
      </c>
      <c r="C12" s="32" t="s">
        <v>60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76</v>
      </c>
      <c r="C13" s="32" t="s">
        <v>72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80</v>
      </c>
      <c r="C14" s="32" t="s">
        <v>61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92</v>
      </c>
      <c r="C15" s="32" t="s">
        <v>73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111</v>
      </c>
      <c r="C16" s="32" t="s">
        <v>62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593</v>
      </c>
      <c r="C17" s="32" t="s">
        <v>2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617</v>
      </c>
      <c r="C18" s="32" t="s">
        <v>3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619</v>
      </c>
      <c r="C19" s="32" t="s">
        <v>4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712</v>
      </c>
      <c r="C20" s="32" t="s">
        <v>5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713</v>
      </c>
      <c r="C21" s="32" t="s">
        <v>6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715</v>
      </c>
      <c r="C22" s="32" t="s">
        <v>7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740</v>
      </c>
      <c r="C23" s="32" t="s">
        <v>74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741</v>
      </c>
      <c r="C24" s="32" t="s">
        <v>8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755</v>
      </c>
      <c r="C25" s="32" t="s">
        <v>63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769</v>
      </c>
      <c r="C26" s="32" t="s">
        <v>9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781</v>
      </c>
      <c r="C27" s="32" t="s">
        <v>10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797</v>
      </c>
      <c r="C28" s="32" t="s">
        <v>11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811</v>
      </c>
      <c r="C29" s="32" t="s">
        <v>12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815</v>
      </c>
      <c r="C30" s="32" t="s">
        <v>13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819</v>
      </c>
      <c r="C31" s="32" t="s">
        <v>14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826</v>
      </c>
      <c r="C32" s="32" t="s">
        <v>15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4" ht="19.5" customHeight="1">
      <c r="A33" s="18">
        <v>25</v>
      </c>
      <c r="B33" s="31">
        <v>834</v>
      </c>
      <c r="C33" s="32" t="s">
        <v>16</v>
      </c>
      <c r="D33" s="17">
        <f t="shared" ref="D33:H34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:I34" si="44">X33</f>
        <v>0</v>
      </c>
      <c r="J33" s="17">
        <f t="shared" ref="J33:K34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4" ht="19.5" customHeight="1">
      <c r="A34" s="18">
        <v>26</v>
      </c>
      <c r="B34" s="31">
        <v>842</v>
      </c>
      <c r="C34" s="32" t="s">
        <v>31</v>
      </c>
      <c r="D34" s="17">
        <f t="shared" si="43"/>
        <v>0</v>
      </c>
      <c r="E34" s="17">
        <f t="shared" si="43"/>
        <v>0</v>
      </c>
      <c r="F34" s="17">
        <f t="shared" si="43"/>
        <v>0</v>
      </c>
      <c r="G34" s="17">
        <f t="shared" si="43"/>
        <v>0</v>
      </c>
      <c r="H34" s="17">
        <f t="shared" si="43"/>
        <v>0</v>
      </c>
      <c r="I34" s="17">
        <f t="shared" si="44"/>
        <v>0</v>
      </c>
      <c r="J34" s="17">
        <f t="shared" si="45"/>
        <v>0</v>
      </c>
      <c r="K34" s="17">
        <f t="shared" si="45"/>
        <v>0</v>
      </c>
      <c r="L34" s="22">
        <v>0</v>
      </c>
      <c r="N34" s="9">
        <f t="shared" si="0"/>
        <v>0</v>
      </c>
      <c r="O34" s="10">
        <v>27</v>
      </c>
      <c r="P34" s="11">
        <f t="shared" si="12"/>
        <v>0</v>
      </c>
      <c r="Q34" s="10">
        <f t="shared" si="4"/>
        <v>0</v>
      </c>
      <c r="R34" s="10">
        <f t="shared" si="5"/>
        <v>0</v>
      </c>
      <c r="S34" s="10">
        <f t="shared" si="6"/>
        <v>0</v>
      </c>
      <c r="T34" s="10">
        <f t="shared" si="7"/>
        <v>0</v>
      </c>
      <c r="U34" s="10">
        <f t="shared" si="8"/>
        <v>0</v>
      </c>
      <c r="V34" s="10">
        <f t="shared" si="9"/>
        <v>0</v>
      </c>
      <c r="W34" s="10">
        <f t="shared" si="10"/>
        <v>0</v>
      </c>
      <c r="X34" s="11">
        <f t="shared" si="11"/>
        <v>0</v>
      </c>
    </row>
    <row r="35" spans="1:24"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B36" s="26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B37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B38" s="26"/>
    </row>
    <row r="39" spans="1:24">
      <c r="B39"/>
    </row>
    <row r="40" spans="1:24">
      <c r="B40" s="26"/>
    </row>
    <row r="41" spans="1:24">
      <c r="B41"/>
    </row>
    <row r="42" spans="1:24">
      <c r="B42" s="26"/>
    </row>
    <row r="43" spans="1:24">
      <c r="B43"/>
    </row>
    <row r="44" spans="1:24">
      <c r="B44" s="26"/>
    </row>
    <row r="45" spans="1:24">
      <c r="B45"/>
    </row>
    <row r="46" spans="1:24">
      <c r="B46" s="26"/>
    </row>
    <row r="47" spans="1:24">
      <c r="B47"/>
    </row>
    <row r="48" spans="1:24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  <row r="79" spans="2:2">
      <c r="B79"/>
    </row>
    <row r="80" spans="2:2">
      <c r="B80" s="26"/>
    </row>
    <row r="81" spans="2:2">
      <c r="B81"/>
    </row>
    <row r="82" spans="2:2">
      <c r="B82" s="26"/>
    </row>
    <row r="83" spans="2:2">
      <c r="B83"/>
    </row>
    <row r="84" spans="2:2">
      <c r="B84" s="26"/>
    </row>
    <row r="85" spans="2:2">
      <c r="B85"/>
    </row>
    <row r="86" spans="2:2">
      <c r="B86" s="26"/>
    </row>
    <row r="87" spans="2:2">
      <c r="B87"/>
    </row>
    <row r="88" spans="2:2">
      <c r="B88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34">
    <cfRule type="cellIs" dxfId="21" priority="1" operator="lessThanOr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67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65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28</v>
      </c>
      <c r="B8" s="24" t="s">
        <v>29</v>
      </c>
      <c r="C8" s="24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57</v>
      </c>
      <c r="C9" s="32" t="s">
        <v>71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3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68</v>
      </c>
      <c r="C10" s="32" t="s">
        <v>58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34" si="4">INT(P10/10)</f>
        <v>0</v>
      </c>
      <c r="R10" s="10">
        <f t="shared" ref="R10:R34" si="5">INT((P10-Q10)/9)</f>
        <v>0</v>
      </c>
      <c r="S10" s="10">
        <f t="shared" ref="S10:S34" si="6">INT(((P10-SUM(Q10:R10))/8))</f>
        <v>0</v>
      </c>
      <c r="T10" s="10">
        <f t="shared" ref="T10:T34" si="7">INT(((P10-SUM(Q10:S10))/7))</f>
        <v>0</v>
      </c>
      <c r="U10" s="10">
        <f t="shared" ref="U10:U34" si="8">INT(((P10-SUM(Q10:T10))/6))</f>
        <v>0</v>
      </c>
      <c r="V10" s="10">
        <f t="shared" ref="V10:V34" si="9">INT(((P10-SUM(Q10:U10))/5))</f>
        <v>0</v>
      </c>
      <c r="W10" s="10">
        <f t="shared" ref="W10:W34" si="10">INT(((P10-SUM(Q10:V10))/4))</f>
        <v>0</v>
      </c>
      <c r="X10" s="11">
        <f t="shared" ref="X10:X34" si="11">P10-SUM(Q10:W10)</f>
        <v>0</v>
      </c>
    </row>
    <row r="11" spans="1:26" ht="19.5" customHeight="1">
      <c r="A11" s="18">
        <v>3</v>
      </c>
      <c r="B11" s="31">
        <v>71</v>
      </c>
      <c r="C11" s="32" t="s">
        <v>59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3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75</v>
      </c>
      <c r="C12" s="32" t="s">
        <v>60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76</v>
      </c>
      <c r="C13" s="32" t="s">
        <v>72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80</v>
      </c>
      <c r="C14" s="32" t="s">
        <v>61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92</v>
      </c>
      <c r="C15" s="32" t="s">
        <v>73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111</v>
      </c>
      <c r="C16" s="32" t="s">
        <v>62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593</v>
      </c>
      <c r="C17" s="32" t="s">
        <v>2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617</v>
      </c>
      <c r="C18" s="32" t="s">
        <v>3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619</v>
      </c>
      <c r="C19" s="32" t="s">
        <v>4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712</v>
      </c>
      <c r="C20" s="32" t="s">
        <v>5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713</v>
      </c>
      <c r="C21" s="32" t="s">
        <v>6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715</v>
      </c>
      <c r="C22" s="32" t="s">
        <v>7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740</v>
      </c>
      <c r="C23" s="32" t="s">
        <v>74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741</v>
      </c>
      <c r="C24" s="32" t="s">
        <v>8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755</v>
      </c>
      <c r="C25" s="32" t="s">
        <v>63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769</v>
      </c>
      <c r="C26" s="32" t="s">
        <v>9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781</v>
      </c>
      <c r="C27" s="32" t="s">
        <v>10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797</v>
      </c>
      <c r="C28" s="32" t="s">
        <v>11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811</v>
      </c>
      <c r="C29" s="32" t="s">
        <v>12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815</v>
      </c>
      <c r="C30" s="32" t="s">
        <v>13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819</v>
      </c>
      <c r="C31" s="32" t="s">
        <v>14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826</v>
      </c>
      <c r="C32" s="32" t="s">
        <v>15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4" ht="19.5" customHeight="1">
      <c r="A33" s="18">
        <v>25</v>
      </c>
      <c r="B33" s="31">
        <v>834</v>
      </c>
      <c r="C33" s="32" t="s">
        <v>16</v>
      </c>
      <c r="D33" s="17">
        <f t="shared" ref="D33:H34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:I34" si="44">X33</f>
        <v>0</v>
      </c>
      <c r="J33" s="17">
        <f t="shared" ref="J33:K34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4" ht="21.75" customHeight="1">
      <c r="A34" s="18">
        <v>26</v>
      </c>
      <c r="B34" s="31">
        <v>842</v>
      </c>
      <c r="C34" s="32" t="s">
        <v>31</v>
      </c>
      <c r="D34" s="17">
        <f t="shared" si="43"/>
        <v>0</v>
      </c>
      <c r="E34" s="17">
        <f t="shared" si="43"/>
        <v>0</v>
      </c>
      <c r="F34" s="17">
        <f t="shared" si="43"/>
        <v>0</v>
      </c>
      <c r="G34" s="17">
        <f t="shared" si="43"/>
        <v>0</v>
      </c>
      <c r="H34" s="17">
        <f t="shared" si="43"/>
        <v>0</v>
      </c>
      <c r="I34" s="17">
        <f t="shared" si="44"/>
        <v>0</v>
      </c>
      <c r="J34" s="17">
        <f t="shared" si="45"/>
        <v>0</v>
      </c>
      <c r="K34" s="17">
        <f t="shared" si="45"/>
        <v>0</v>
      </c>
      <c r="L34" s="22">
        <v>0</v>
      </c>
      <c r="N34" s="9">
        <f t="shared" si="0"/>
        <v>0</v>
      </c>
      <c r="O34" s="10">
        <v>27</v>
      </c>
      <c r="P34" s="11">
        <f t="shared" si="12"/>
        <v>0</v>
      </c>
      <c r="Q34" s="10">
        <f t="shared" si="4"/>
        <v>0</v>
      </c>
      <c r="R34" s="10">
        <f t="shared" si="5"/>
        <v>0</v>
      </c>
      <c r="S34" s="10">
        <f t="shared" si="6"/>
        <v>0</v>
      </c>
      <c r="T34" s="10">
        <f t="shared" si="7"/>
        <v>0</v>
      </c>
      <c r="U34" s="10">
        <f t="shared" si="8"/>
        <v>0</v>
      </c>
      <c r="V34" s="10">
        <f t="shared" si="9"/>
        <v>0</v>
      </c>
      <c r="W34" s="10">
        <f t="shared" si="10"/>
        <v>0</v>
      </c>
      <c r="X34" s="11">
        <f t="shared" si="11"/>
        <v>0</v>
      </c>
    </row>
    <row r="35" spans="1:24">
      <c r="B35" s="26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B36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B37" s="26"/>
    </row>
    <row r="38" spans="1:24">
      <c r="B38"/>
    </row>
    <row r="39" spans="1:24">
      <c r="B39" s="26"/>
    </row>
    <row r="40" spans="1:24">
      <c r="B40"/>
    </row>
    <row r="41" spans="1:24">
      <c r="B41" s="26"/>
    </row>
    <row r="42" spans="1:24">
      <c r="B42"/>
    </row>
    <row r="43" spans="1:24">
      <c r="B43" s="26"/>
    </row>
    <row r="44" spans="1:24">
      <c r="B44"/>
    </row>
    <row r="45" spans="1:24">
      <c r="B45" s="26"/>
    </row>
    <row r="46" spans="1:24">
      <c r="B46"/>
    </row>
    <row r="47" spans="1:24">
      <c r="B47" s="26"/>
    </row>
    <row r="48" spans="1:24">
      <c r="B48"/>
    </row>
    <row r="49" spans="2:2">
      <c r="B49" s="26"/>
    </row>
    <row r="50" spans="2:2">
      <c r="B50"/>
    </row>
    <row r="51" spans="2:2">
      <c r="B51" s="26"/>
    </row>
    <row r="52" spans="2:2">
      <c r="B52"/>
    </row>
    <row r="53" spans="2:2">
      <c r="B53" s="26"/>
    </row>
    <row r="54" spans="2:2">
      <c r="B54"/>
    </row>
    <row r="55" spans="2:2">
      <c r="B55" s="26"/>
    </row>
    <row r="56" spans="2:2">
      <c r="B56"/>
    </row>
    <row r="57" spans="2:2">
      <c r="B57" s="26"/>
    </row>
    <row r="58" spans="2:2">
      <c r="B58"/>
    </row>
    <row r="59" spans="2:2">
      <c r="B59" s="26"/>
    </row>
    <row r="60" spans="2:2">
      <c r="B60"/>
    </row>
    <row r="61" spans="2:2">
      <c r="B61" s="26"/>
    </row>
    <row r="62" spans="2:2">
      <c r="B62"/>
    </row>
    <row r="63" spans="2:2">
      <c r="B63" s="26"/>
    </row>
    <row r="64" spans="2:2">
      <c r="B64"/>
    </row>
    <row r="65" spans="2:2">
      <c r="B65" s="26"/>
    </row>
    <row r="66" spans="2:2">
      <c r="B66"/>
    </row>
    <row r="67" spans="2:2">
      <c r="B67" s="26"/>
    </row>
    <row r="68" spans="2:2">
      <c r="B68"/>
    </row>
    <row r="69" spans="2:2">
      <c r="B69" s="26"/>
    </row>
    <row r="70" spans="2:2">
      <c r="B70"/>
    </row>
    <row r="71" spans="2:2">
      <c r="B71" s="26"/>
    </row>
    <row r="72" spans="2:2">
      <c r="B72"/>
    </row>
    <row r="73" spans="2:2">
      <c r="B73" s="26"/>
    </row>
    <row r="74" spans="2:2">
      <c r="B74"/>
    </row>
    <row r="75" spans="2:2">
      <c r="B75" s="26"/>
    </row>
    <row r="76" spans="2:2">
      <c r="B76"/>
    </row>
    <row r="77" spans="2:2">
      <c r="B77" s="26"/>
    </row>
    <row r="78" spans="2:2">
      <c r="B78"/>
    </row>
    <row r="79" spans="2:2">
      <c r="B79" s="26"/>
    </row>
    <row r="80" spans="2:2">
      <c r="B80"/>
    </row>
    <row r="81" spans="2:2">
      <c r="B81" s="26"/>
    </row>
    <row r="82" spans="2:2">
      <c r="B82"/>
    </row>
    <row r="83" spans="2:2">
      <c r="B83" s="26"/>
    </row>
    <row r="84" spans="2:2">
      <c r="B84"/>
    </row>
    <row r="85" spans="2:2">
      <c r="B85" s="26"/>
    </row>
    <row r="86" spans="2:2">
      <c r="B86"/>
    </row>
    <row r="87" spans="2:2">
      <c r="B87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34">
    <cfRule type="cellIs" dxfId="20" priority="1" operator="less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146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147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5" t="s">
        <v>28</v>
      </c>
      <c r="B8" s="25" t="s">
        <v>29</v>
      </c>
      <c r="C8" s="25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4">
        <v>1008</v>
      </c>
      <c r="C9" s="34" t="s">
        <v>125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9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4">
        <v>23014</v>
      </c>
      <c r="C10" s="34" t="s">
        <v>126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9" si="4">INT(P10/10)</f>
        <v>0</v>
      </c>
      <c r="R10" s="10">
        <f t="shared" ref="R10:R29" si="5">INT((P10-Q10)/9)</f>
        <v>0</v>
      </c>
      <c r="S10" s="10">
        <f t="shared" ref="S10:S29" si="6">INT(((P10-SUM(Q10:R10))/8))</f>
        <v>0</v>
      </c>
      <c r="T10" s="10">
        <f t="shared" ref="T10:T29" si="7">INT(((P10-SUM(Q10:S10))/7))</f>
        <v>0</v>
      </c>
      <c r="U10" s="10">
        <f t="shared" ref="U10:U29" si="8">INT(((P10-SUM(Q10:T10))/6))</f>
        <v>0</v>
      </c>
      <c r="V10" s="10">
        <f t="shared" ref="V10:V29" si="9">INT(((P10-SUM(Q10:U10))/5))</f>
        <v>0</v>
      </c>
      <c r="W10" s="10">
        <f t="shared" ref="W10:W29" si="10">INT(((P10-SUM(Q10:V10))/4))</f>
        <v>0</v>
      </c>
      <c r="X10" s="11">
        <f t="shared" ref="X10:X29" si="11">P10-SUM(Q10:W10)</f>
        <v>0</v>
      </c>
    </row>
    <row r="11" spans="1:26" ht="19.5" customHeight="1">
      <c r="A11" s="18">
        <v>3</v>
      </c>
      <c r="B11" s="34">
        <v>23015</v>
      </c>
      <c r="C11" s="34" t="s">
        <v>127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9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4">
        <v>23034</v>
      </c>
      <c r="C12" s="34" t="s">
        <v>128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4">
        <v>23046</v>
      </c>
      <c r="C13" s="34" t="s">
        <v>129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4">
        <v>23050</v>
      </c>
      <c r="C14" s="34" t="s">
        <v>130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4">
        <v>23060</v>
      </c>
      <c r="C15" s="34" t="s">
        <v>131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4">
        <v>23068</v>
      </c>
      <c r="C16" s="34" t="s">
        <v>132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4">
        <v>23077</v>
      </c>
      <c r="C17" s="34" t="s">
        <v>133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4">
        <v>23081</v>
      </c>
      <c r="C18" s="34" t="s">
        <v>134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4">
        <v>23087</v>
      </c>
      <c r="C19" s="34" t="s">
        <v>135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4">
        <v>23100</v>
      </c>
      <c r="C20" s="34" t="s">
        <v>136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4">
        <v>23102</v>
      </c>
      <c r="C21" s="34" t="s">
        <v>137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4">
        <v>23104</v>
      </c>
      <c r="C22" s="34" t="s">
        <v>138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4">
        <v>23107</v>
      </c>
      <c r="C23" s="34" t="s">
        <v>139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4">
        <v>23110</v>
      </c>
      <c r="C24" s="34" t="s">
        <v>140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4">
        <v>23112</v>
      </c>
      <c r="C25" s="34" t="s">
        <v>141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4">
        <v>23113</v>
      </c>
      <c r="C26" s="34" t="s">
        <v>142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4">
        <v>23117</v>
      </c>
      <c r="C27" s="34" t="s">
        <v>143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4">
        <v>23238</v>
      </c>
      <c r="C28" s="34" t="s">
        <v>144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4">
        <v>23245</v>
      </c>
      <c r="C29" s="34" t="s">
        <v>145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>
      <c r="B30" s="26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B31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  <row r="79" spans="2:2">
      <c r="B79"/>
    </row>
    <row r="80" spans="2:2">
      <c r="B80" s="26"/>
    </row>
    <row r="81" spans="2:2">
      <c r="B81"/>
    </row>
    <row r="82" spans="2:2">
      <c r="B82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9">
    <cfRule type="cellIs" dxfId="19" priority="1" operator="less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148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147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5" t="s">
        <v>28</v>
      </c>
      <c r="B8" s="25" t="s">
        <v>29</v>
      </c>
      <c r="C8" s="25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4">
        <v>1008</v>
      </c>
      <c r="C9" s="34" t="s">
        <v>125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9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4">
        <v>23014</v>
      </c>
      <c r="C10" s="34" t="s">
        <v>126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9" si="4">INT(P10/10)</f>
        <v>0</v>
      </c>
      <c r="R10" s="10">
        <f t="shared" ref="R10:R29" si="5">INT((P10-Q10)/9)</f>
        <v>0</v>
      </c>
      <c r="S10" s="10">
        <f t="shared" ref="S10:S29" si="6">INT(((P10-SUM(Q10:R10))/8))</f>
        <v>0</v>
      </c>
      <c r="T10" s="10">
        <f t="shared" ref="T10:T29" si="7">INT(((P10-SUM(Q10:S10))/7))</f>
        <v>0</v>
      </c>
      <c r="U10" s="10">
        <f t="shared" ref="U10:U29" si="8">INT(((P10-SUM(Q10:T10))/6))</f>
        <v>0</v>
      </c>
      <c r="V10" s="10">
        <f t="shared" ref="V10:V29" si="9">INT(((P10-SUM(Q10:U10))/5))</f>
        <v>0</v>
      </c>
      <c r="W10" s="10">
        <f t="shared" ref="W10:W29" si="10">INT(((P10-SUM(Q10:V10))/4))</f>
        <v>0</v>
      </c>
      <c r="X10" s="11">
        <f t="shared" ref="X10:X29" si="11">P10-SUM(Q10:W10)</f>
        <v>0</v>
      </c>
    </row>
    <row r="11" spans="1:26" ht="19.5" customHeight="1">
      <c r="A11" s="18">
        <v>3</v>
      </c>
      <c r="B11" s="34">
        <v>23015</v>
      </c>
      <c r="C11" s="34" t="s">
        <v>127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9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4">
        <v>23034</v>
      </c>
      <c r="C12" s="34" t="s">
        <v>128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4">
        <v>23046</v>
      </c>
      <c r="C13" s="34" t="s">
        <v>129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4">
        <v>23050</v>
      </c>
      <c r="C14" s="34" t="s">
        <v>130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4">
        <v>23060</v>
      </c>
      <c r="C15" s="34" t="s">
        <v>131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4">
        <v>23068</v>
      </c>
      <c r="C16" s="34" t="s">
        <v>132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4">
        <v>23077</v>
      </c>
      <c r="C17" s="34" t="s">
        <v>133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4">
        <v>23081</v>
      </c>
      <c r="C18" s="34" t="s">
        <v>134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4">
        <v>23087</v>
      </c>
      <c r="C19" s="34" t="s">
        <v>135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4">
        <v>23100</v>
      </c>
      <c r="C20" s="34" t="s">
        <v>136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4">
        <v>23102</v>
      </c>
      <c r="C21" s="34" t="s">
        <v>137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4">
        <v>23104</v>
      </c>
      <c r="C22" s="34" t="s">
        <v>138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4">
        <v>23107</v>
      </c>
      <c r="C23" s="34" t="s">
        <v>139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4">
        <v>23110</v>
      </c>
      <c r="C24" s="34" t="s">
        <v>140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4">
        <v>23112</v>
      </c>
      <c r="C25" s="34" t="s">
        <v>141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4">
        <v>23113</v>
      </c>
      <c r="C26" s="34" t="s">
        <v>142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4">
        <v>23117</v>
      </c>
      <c r="C27" s="34" t="s">
        <v>143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4">
        <v>23238</v>
      </c>
      <c r="C28" s="34" t="s">
        <v>144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4">
        <v>23245</v>
      </c>
      <c r="C29" s="34" t="s">
        <v>145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>
      <c r="B30" s="26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B31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  <row r="79" spans="2:2">
      <c r="B79"/>
    </row>
    <row r="80" spans="2:2">
      <c r="B80" s="26"/>
    </row>
    <row r="81" spans="2:2">
      <c r="B81"/>
    </row>
    <row r="82" spans="2:2">
      <c r="B82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9">
    <cfRule type="cellIs" dxfId="18" priority="1" operator="less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149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147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5" t="s">
        <v>28</v>
      </c>
      <c r="B8" s="25" t="s">
        <v>29</v>
      </c>
      <c r="C8" s="25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4">
        <v>1008</v>
      </c>
      <c r="C9" s="34" t="s">
        <v>125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9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4">
        <v>23014</v>
      </c>
      <c r="C10" s="34" t="s">
        <v>126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9" si="4">INT(P10/10)</f>
        <v>0</v>
      </c>
      <c r="R10" s="10">
        <f t="shared" ref="R10:R29" si="5">INT((P10-Q10)/9)</f>
        <v>0</v>
      </c>
      <c r="S10" s="10">
        <f t="shared" ref="S10:S29" si="6">INT(((P10-SUM(Q10:R10))/8))</f>
        <v>0</v>
      </c>
      <c r="T10" s="10">
        <f t="shared" ref="T10:T29" si="7">INT(((P10-SUM(Q10:S10))/7))</f>
        <v>0</v>
      </c>
      <c r="U10" s="10">
        <f t="shared" ref="U10:U29" si="8">INT(((P10-SUM(Q10:T10))/6))</f>
        <v>0</v>
      </c>
      <c r="V10" s="10">
        <f t="shared" ref="V10:V29" si="9">INT(((P10-SUM(Q10:U10))/5))</f>
        <v>0</v>
      </c>
      <c r="W10" s="10">
        <f t="shared" ref="W10:W29" si="10">INT(((P10-SUM(Q10:V10))/4))</f>
        <v>0</v>
      </c>
      <c r="X10" s="11">
        <f t="shared" ref="X10:X29" si="11">P10-SUM(Q10:W10)</f>
        <v>0</v>
      </c>
    </row>
    <row r="11" spans="1:26" ht="19.5" customHeight="1">
      <c r="A11" s="18">
        <v>3</v>
      </c>
      <c r="B11" s="34">
        <v>23015</v>
      </c>
      <c r="C11" s="34" t="s">
        <v>127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9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4">
        <v>23034</v>
      </c>
      <c r="C12" s="34" t="s">
        <v>128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4">
        <v>23046</v>
      </c>
      <c r="C13" s="34" t="s">
        <v>129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4">
        <v>23050</v>
      </c>
      <c r="C14" s="34" t="s">
        <v>130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4">
        <v>23060</v>
      </c>
      <c r="C15" s="34" t="s">
        <v>131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4">
        <v>23068</v>
      </c>
      <c r="C16" s="34" t="s">
        <v>132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4">
        <v>23077</v>
      </c>
      <c r="C17" s="34" t="s">
        <v>133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4">
        <v>23081</v>
      </c>
      <c r="C18" s="34" t="s">
        <v>150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4">
        <v>23087</v>
      </c>
      <c r="C19" s="34" t="s">
        <v>135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4">
        <v>23100</v>
      </c>
      <c r="C20" s="34" t="s">
        <v>136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4">
        <v>23102</v>
      </c>
      <c r="C21" s="34" t="s">
        <v>137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4">
        <v>23104</v>
      </c>
      <c r="C22" s="34" t="s">
        <v>138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4">
        <v>23107</v>
      </c>
      <c r="C23" s="34" t="s">
        <v>139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4">
        <v>23110</v>
      </c>
      <c r="C24" s="34" t="s">
        <v>140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4">
        <v>23112</v>
      </c>
      <c r="C25" s="34" t="s">
        <v>141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4">
        <v>23113</v>
      </c>
      <c r="C26" s="34" t="s">
        <v>142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4">
        <v>23117</v>
      </c>
      <c r="C27" s="34" t="s">
        <v>143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4">
        <v>23238</v>
      </c>
      <c r="C28" s="34" t="s">
        <v>144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4">
        <v>23245</v>
      </c>
      <c r="C29" s="34" t="s">
        <v>145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>
      <c r="B30" s="26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B31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  <row r="79" spans="2:2">
      <c r="B79"/>
    </row>
    <row r="80" spans="2:2">
      <c r="B80" s="26"/>
    </row>
    <row r="81" spans="2:2">
      <c r="B81"/>
    </row>
    <row r="82" spans="2:2">
      <c r="B82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9">
    <cfRule type="cellIs" dxfId="17" priority="1" operator="less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151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147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5" t="s">
        <v>28</v>
      </c>
      <c r="B8" s="25" t="s">
        <v>29</v>
      </c>
      <c r="C8" s="25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4">
        <v>1008</v>
      </c>
      <c r="C9" s="34" t="s">
        <v>125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9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4">
        <v>23014</v>
      </c>
      <c r="C10" s="34" t="s">
        <v>126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9" si="4">INT(P10/10)</f>
        <v>0</v>
      </c>
      <c r="R10" s="10">
        <f t="shared" ref="R10:R29" si="5">INT((P10-Q10)/9)</f>
        <v>0</v>
      </c>
      <c r="S10" s="10">
        <f t="shared" ref="S10:S29" si="6">INT(((P10-SUM(Q10:R10))/8))</f>
        <v>0</v>
      </c>
      <c r="T10" s="10">
        <f t="shared" ref="T10:T29" si="7">INT(((P10-SUM(Q10:S10))/7))</f>
        <v>0</v>
      </c>
      <c r="U10" s="10">
        <f t="shared" ref="U10:U29" si="8">INT(((P10-SUM(Q10:T10))/6))</f>
        <v>0</v>
      </c>
      <c r="V10" s="10">
        <f t="shared" ref="V10:V29" si="9">INT(((P10-SUM(Q10:U10))/5))</f>
        <v>0</v>
      </c>
      <c r="W10" s="10">
        <f t="shared" ref="W10:W29" si="10">INT(((P10-SUM(Q10:V10))/4))</f>
        <v>0</v>
      </c>
      <c r="X10" s="11">
        <f t="shared" ref="X10:X29" si="11">P10-SUM(Q10:W10)</f>
        <v>0</v>
      </c>
    </row>
    <row r="11" spans="1:26" ht="19.5" customHeight="1">
      <c r="A11" s="18">
        <v>3</v>
      </c>
      <c r="B11" s="34">
        <v>23015</v>
      </c>
      <c r="C11" s="34" t="s">
        <v>127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9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4">
        <v>23034</v>
      </c>
      <c r="C12" s="34" t="s">
        <v>128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4">
        <v>23046</v>
      </c>
      <c r="C13" s="34" t="s">
        <v>129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4">
        <v>23050</v>
      </c>
      <c r="C14" s="34" t="s">
        <v>130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4">
        <v>23060</v>
      </c>
      <c r="C15" s="34" t="s">
        <v>131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4">
        <v>23068</v>
      </c>
      <c r="C16" s="34" t="s">
        <v>132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4">
        <v>23077</v>
      </c>
      <c r="C17" s="34" t="s">
        <v>133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4">
        <v>23081</v>
      </c>
      <c r="C18" s="34" t="s">
        <v>150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4">
        <v>23087</v>
      </c>
      <c r="C19" s="34" t="s">
        <v>135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4">
        <v>23100</v>
      </c>
      <c r="C20" s="34" t="s">
        <v>136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4">
        <v>23102</v>
      </c>
      <c r="C21" s="34" t="s">
        <v>137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4">
        <v>23104</v>
      </c>
      <c r="C22" s="34" t="s">
        <v>138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4">
        <v>23107</v>
      </c>
      <c r="C23" s="34" t="s">
        <v>139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4">
        <v>23110</v>
      </c>
      <c r="C24" s="34" t="s">
        <v>140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4">
        <v>23112</v>
      </c>
      <c r="C25" s="34" t="s">
        <v>141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4">
        <v>23113</v>
      </c>
      <c r="C26" s="34" t="s">
        <v>142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4">
        <v>23117</v>
      </c>
      <c r="C27" s="34" t="s">
        <v>143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4">
        <v>23238</v>
      </c>
      <c r="C28" s="34" t="s">
        <v>144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4">
        <v>23245</v>
      </c>
      <c r="C29" s="34" t="s">
        <v>145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>
      <c r="B30" s="26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B31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  <row r="79" spans="2:2">
      <c r="B79"/>
    </row>
    <row r="80" spans="2:2">
      <c r="B80" s="26"/>
    </row>
    <row r="81" spans="2:2">
      <c r="B81"/>
    </row>
    <row r="82" spans="2:2">
      <c r="B82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9">
    <cfRule type="cellIs" dxfId="16" priority="1" operator="less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6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153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152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5" t="s">
        <v>28</v>
      </c>
      <c r="B8" s="25" t="s">
        <v>29</v>
      </c>
      <c r="C8" s="25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4">
        <v>22102</v>
      </c>
      <c r="C9" s="34" t="s">
        <v>156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3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4">
        <v>22117</v>
      </c>
      <c r="C10" s="34" t="s">
        <v>157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3" si="4">INT(P10/10)</f>
        <v>0</v>
      </c>
      <c r="R10" s="10">
        <f t="shared" ref="R10:R23" si="5">INT((P10-Q10)/9)</f>
        <v>0</v>
      </c>
      <c r="S10" s="10">
        <f t="shared" ref="S10:S23" si="6">INT(((P10-SUM(Q10:R10))/8))</f>
        <v>0</v>
      </c>
      <c r="T10" s="10">
        <f t="shared" ref="T10:T23" si="7">INT(((P10-SUM(Q10:S10))/7))</f>
        <v>0</v>
      </c>
      <c r="U10" s="10">
        <f t="shared" ref="U10:U23" si="8">INT(((P10-SUM(Q10:T10))/6))</f>
        <v>0</v>
      </c>
      <c r="V10" s="10">
        <f t="shared" ref="V10:V23" si="9">INT(((P10-SUM(Q10:U10))/5))</f>
        <v>0</v>
      </c>
      <c r="W10" s="10">
        <f t="shared" ref="W10:W23" si="10">INT(((P10-SUM(Q10:V10))/4))</f>
        <v>0</v>
      </c>
      <c r="X10" s="11">
        <f t="shared" ref="X10:X23" si="11">P10-SUM(Q10:W10)</f>
        <v>0</v>
      </c>
    </row>
    <row r="11" spans="1:26" ht="19.5" customHeight="1">
      <c r="A11" s="18">
        <v>3</v>
      </c>
      <c r="B11" s="34">
        <v>23001</v>
      </c>
      <c r="C11" s="34" t="s">
        <v>158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3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4">
        <v>23007</v>
      </c>
      <c r="C12" s="34" t="s">
        <v>159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4">
        <v>23010</v>
      </c>
      <c r="C13" s="34" t="s">
        <v>160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4">
        <v>23021</v>
      </c>
      <c r="C14" s="34" t="s">
        <v>161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4">
        <v>23026</v>
      </c>
      <c r="C15" s="34" t="s">
        <v>162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4">
        <v>23053</v>
      </c>
      <c r="C16" s="34" t="s">
        <v>163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4">
        <v>23054</v>
      </c>
      <c r="C17" s="34" t="s">
        <v>164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4">
        <v>23058</v>
      </c>
      <c r="C18" s="34" t="s">
        <v>165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4">
        <v>23085</v>
      </c>
      <c r="C19" s="34" t="s">
        <v>166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4">
        <v>23093</v>
      </c>
      <c r="C20" s="34" t="s">
        <v>167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4">
        <v>23105</v>
      </c>
      <c r="C21" s="34" t="s">
        <v>168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4">
        <v>23109</v>
      </c>
      <c r="C22" s="34" t="s">
        <v>169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4">
        <v>23249</v>
      </c>
      <c r="C23" s="34" t="s">
        <v>170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>
      <c r="B24" s="26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B25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B26" s="26"/>
    </row>
    <row r="27" spans="1:24">
      <c r="B27"/>
    </row>
    <row r="28" spans="1:24">
      <c r="B28" s="26"/>
    </row>
    <row r="29" spans="1:24">
      <c r="B29"/>
    </row>
    <row r="30" spans="1:24">
      <c r="B30" s="26"/>
    </row>
    <row r="31" spans="1:24">
      <c r="B31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3">
    <cfRule type="cellIs" dxfId="15" priority="1" operator="less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6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154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152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5" t="s">
        <v>28</v>
      </c>
      <c r="B8" s="25" t="s">
        <v>29</v>
      </c>
      <c r="C8" s="25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4">
        <v>22102</v>
      </c>
      <c r="C9" s="34" t="s">
        <v>156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3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4">
        <v>22117</v>
      </c>
      <c r="C10" s="34" t="s">
        <v>157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3" si="4">INT(P10/10)</f>
        <v>0</v>
      </c>
      <c r="R10" s="10">
        <f t="shared" ref="R10:R23" si="5">INT((P10-Q10)/9)</f>
        <v>0</v>
      </c>
      <c r="S10" s="10">
        <f t="shared" ref="S10:S23" si="6">INT(((P10-SUM(Q10:R10))/8))</f>
        <v>0</v>
      </c>
      <c r="T10" s="10">
        <f t="shared" ref="T10:T23" si="7">INT(((P10-SUM(Q10:S10))/7))</f>
        <v>0</v>
      </c>
      <c r="U10" s="10">
        <f t="shared" ref="U10:U23" si="8">INT(((P10-SUM(Q10:T10))/6))</f>
        <v>0</v>
      </c>
      <c r="V10" s="10">
        <f t="shared" ref="V10:V23" si="9">INT(((P10-SUM(Q10:U10))/5))</f>
        <v>0</v>
      </c>
      <c r="W10" s="10">
        <f t="shared" ref="W10:W23" si="10">INT(((P10-SUM(Q10:V10))/4))</f>
        <v>0</v>
      </c>
      <c r="X10" s="11">
        <f t="shared" ref="X10:X23" si="11">P10-SUM(Q10:W10)</f>
        <v>0</v>
      </c>
    </row>
    <row r="11" spans="1:26" ht="19.5" customHeight="1">
      <c r="A11" s="18">
        <v>3</v>
      </c>
      <c r="B11" s="34">
        <v>23001</v>
      </c>
      <c r="C11" s="34" t="s">
        <v>158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3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4">
        <v>23007</v>
      </c>
      <c r="C12" s="34" t="s">
        <v>159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4">
        <v>23010</v>
      </c>
      <c r="C13" s="34" t="s">
        <v>160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4">
        <v>23021</v>
      </c>
      <c r="C14" s="34" t="s">
        <v>161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4">
        <v>23026</v>
      </c>
      <c r="C15" s="34" t="s">
        <v>162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4">
        <v>23053</v>
      </c>
      <c r="C16" s="34" t="s">
        <v>163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4">
        <v>23054</v>
      </c>
      <c r="C17" s="34" t="s">
        <v>164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4">
        <v>23058</v>
      </c>
      <c r="C18" s="34" t="s">
        <v>165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4">
        <v>23085</v>
      </c>
      <c r="C19" s="34" t="s">
        <v>166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4">
        <v>23093</v>
      </c>
      <c r="C20" s="34" t="s">
        <v>167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4">
        <v>23105</v>
      </c>
      <c r="C21" s="34" t="s">
        <v>168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4">
        <v>23109</v>
      </c>
      <c r="C22" s="34" t="s">
        <v>169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4">
        <v>23249</v>
      </c>
      <c r="C23" s="34" t="s">
        <v>170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>
      <c r="B24" s="26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B25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B26" s="26"/>
    </row>
    <row r="27" spans="1:24">
      <c r="B27"/>
    </row>
    <row r="28" spans="1:24">
      <c r="B28" s="26"/>
    </row>
    <row r="29" spans="1:24">
      <c r="B29"/>
    </row>
    <row r="30" spans="1:24">
      <c r="B30" s="26"/>
    </row>
    <row r="31" spans="1:24">
      <c r="B31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3">
    <cfRule type="cellIs" dxfId="14" priority="1" operator="lessThanOr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6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155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152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5" t="s">
        <v>28</v>
      </c>
      <c r="B8" s="25" t="s">
        <v>29</v>
      </c>
      <c r="C8" s="25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4">
        <v>22102</v>
      </c>
      <c r="C9" s="34" t="s">
        <v>156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3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4">
        <v>22117</v>
      </c>
      <c r="C10" s="34" t="s">
        <v>157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3" si="4">INT(P10/10)</f>
        <v>0</v>
      </c>
      <c r="R10" s="10">
        <f t="shared" ref="R10:R23" si="5">INT((P10-Q10)/9)</f>
        <v>0</v>
      </c>
      <c r="S10" s="10">
        <f t="shared" ref="S10:S23" si="6">INT(((P10-SUM(Q10:R10))/8))</f>
        <v>0</v>
      </c>
      <c r="T10" s="10">
        <f t="shared" ref="T10:T23" si="7">INT(((P10-SUM(Q10:S10))/7))</f>
        <v>0</v>
      </c>
      <c r="U10" s="10">
        <f t="shared" ref="U10:U23" si="8">INT(((P10-SUM(Q10:T10))/6))</f>
        <v>0</v>
      </c>
      <c r="V10" s="10">
        <f t="shared" ref="V10:V23" si="9">INT(((P10-SUM(Q10:U10))/5))</f>
        <v>0</v>
      </c>
      <c r="W10" s="10">
        <f t="shared" ref="W10:W23" si="10">INT(((P10-SUM(Q10:V10))/4))</f>
        <v>0</v>
      </c>
      <c r="X10" s="11">
        <f t="shared" ref="X10:X23" si="11">P10-SUM(Q10:W10)</f>
        <v>0</v>
      </c>
    </row>
    <row r="11" spans="1:26" ht="19.5" customHeight="1">
      <c r="A11" s="18">
        <v>3</v>
      </c>
      <c r="B11" s="34">
        <v>23001</v>
      </c>
      <c r="C11" s="34" t="s">
        <v>158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3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4">
        <v>23007</v>
      </c>
      <c r="C12" s="34" t="s">
        <v>159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4">
        <v>23010</v>
      </c>
      <c r="C13" s="34" t="s">
        <v>160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4">
        <v>23021</v>
      </c>
      <c r="C14" s="34" t="s">
        <v>161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4">
        <v>23026</v>
      </c>
      <c r="C15" s="34" t="s">
        <v>162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4">
        <v>23053</v>
      </c>
      <c r="C16" s="34" t="s">
        <v>163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4">
        <v>23054</v>
      </c>
      <c r="C17" s="34" t="s">
        <v>164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4">
        <v>23058</v>
      </c>
      <c r="C18" s="34" t="s">
        <v>165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4">
        <v>23085</v>
      </c>
      <c r="C19" s="34" t="s">
        <v>166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4">
        <v>23093</v>
      </c>
      <c r="C20" s="34" t="s">
        <v>167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4">
        <v>23105</v>
      </c>
      <c r="C21" s="34" t="s">
        <v>168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4">
        <v>23109</v>
      </c>
      <c r="C22" s="34" t="s">
        <v>169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4">
        <v>23249</v>
      </c>
      <c r="C23" s="34" t="s">
        <v>170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>
      <c r="B24" s="26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B25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B26" s="26"/>
    </row>
    <row r="27" spans="1:24">
      <c r="B27"/>
    </row>
    <row r="28" spans="1:24">
      <c r="B28" s="26"/>
    </row>
    <row r="29" spans="1:24">
      <c r="B29"/>
    </row>
    <row r="30" spans="1:24">
      <c r="B30" s="26"/>
    </row>
    <row r="31" spans="1:24">
      <c r="B31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3">
    <cfRule type="cellIs" dxfId="13" priority="1" operator="lessThanOr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8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117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118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28</v>
      </c>
      <c r="B8" s="24" t="s">
        <v>29</v>
      </c>
      <c r="C8" s="24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43</v>
      </c>
      <c r="C9" s="32" t="s">
        <v>75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3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332</v>
      </c>
      <c r="C10" s="32" t="s">
        <v>96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34" si="4">INT(P10/10)</f>
        <v>0</v>
      </c>
      <c r="R10" s="10">
        <f t="shared" ref="R10:R34" si="5">INT((P10-Q10)/9)</f>
        <v>0</v>
      </c>
      <c r="S10" s="10">
        <f t="shared" ref="S10:S34" si="6">INT(((P10-SUM(Q10:R10))/8))</f>
        <v>0</v>
      </c>
      <c r="T10" s="10">
        <f t="shared" ref="T10:T34" si="7">INT(((P10-SUM(Q10:S10))/7))</f>
        <v>0</v>
      </c>
      <c r="U10" s="10">
        <f t="shared" ref="U10:U34" si="8">INT(((P10-SUM(Q10:T10))/6))</f>
        <v>0</v>
      </c>
      <c r="V10" s="10">
        <f t="shared" ref="V10:V34" si="9">INT(((P10-SUM(Q10:U10))/5))</f>
        <v>0</v>
      </c>
      <c r="W10" s="10">
        <f t="shared" ref="W10:W34" si="10">INT(((P10-SUM(Q10:V10))/4))</f>
        <v>0</v>
      </c>
      <c r="X10" s="11">
        <f t="shared" ref="X10:X34" si="11">P10-SUM(Q10:W10)</f>
        <v>0</v>
      </c>
    </row>
    <row r="11" spans="1:26" ht="19.5" customHeight="1">
      <c r="A11" s="18">
        <v>3</v>
      </c>
      <c r="B11" s="31">
        <v>414</v>
      </c>
      <c r="C11" s="32" t="s">
        <v>97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3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452</v>
      </c>
      <c r="C12" s="32" t="s">
        <v>76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463</v>
      </c>
      <c r="C13" s="32" t="s">
        <v>77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528</v>
      </c>
      <c r="C14" s="32" t="s">
        <v>78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530</v>
      </c>
      <c r="C15" s="32" t="s">
        <v>79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549</v>
      </c>
      <c r="C16" s="32" t="s">
        <v>80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563</v>
      </c>
      <c r="C17" s="32" t="s">
        <v>81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570</v>
      </c>
      <c r="C18" s="32" t="s">
        <v>82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577</v>
      </c>
      <c r="C19" s="32" t="s">
        <v>83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640</v>
      </c>
      <c r="C20" s="32" t="s">
        <v>84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646</v>
      </c>
      <c r="C21" s="32" t="s">
        <v>85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22079</v>
      </c>
      <c r="C22" s="32" t="s">
        <v>86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22081</v>
      </c>
      <c r="C23" s="32" t="s">
        <v>87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22084</v>
      </c>
      <c r="C24" s="32" t="s">
        <v>88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22093</v>
      </c>
      <c r="C25" s="32" t="s">
        <v>98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22094</v>
      </c>
      <c r="C26" s="32" t="s">
        <v>99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22096</v>
      </c>
      <c r="C27" s="32" t="s">
        <v>89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22098</v>
      </c>
      <c r="C28" s="32" t="s">
        <v>90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22100</v>
      </c>
      <c r="C29" s="32" t="s">
        <v>91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22105</v>
      </c>
      <c r="C30" s="32" t="s">
        <v>92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22112</v>
      </c>
      <c r="C31" s="32" t="s">
        <v>93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22121</v>
      </c>
      <c r="C32" s="32" t="s">
        <v>100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4" ht="19.5" customHeight="1">
      <c r="A33" s="18">
        <v>25</v>
      </c>
      <c r="B33" s="31">
        <v>22125</v>
      </c>
      <c r="C33" s="32" t="s">
        <v>94</v>
      </c>
      <c r="D33" s="17">
        <f t="shared" ref="D33:H34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:I34" si="44">X33</f>
        <v>0</v>
      </c>
      <c r="J33" s="17">
        <f t="shared" ref="J33:K34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4" ht="19.5" customHeight="1">
      <c r="A34" s="18">
        <v>26</v>
      </c>
      <c r="B34" s="31">
        <v>22126</v>
      </c>
      <c r="C34" s="32" t="s">
        <v>95</v>
      </c>
      <c r="D34" s="17">
        <f t="shared" si="43"/>
        <v>0</v>
      </c>
      <c r="E34" s="17">
        <f t="shared" si="43"/>
        <v>0</v>
      </c>
      <c r="F34" s="17">
        <f t="shared" si="43"/>
        <v>0</v>
      </c>
      <c r="G34" s="17">
        <f t="shared" si="43"/>
        <v>0</v>
      </c>
      <c r="H34" s="17">
        <f t="shared" si="43"/>
        <v>0</v>
      </c>
      <c r="I34" s="17">
        <f t="shared" si="44"/>
        <v>0</v>
      </c>
      <c r="J34" s="17">
        <f t="shared" si="45"/>
        <v>0</v>
      </c>
      <c r="K34" s="17">
        <f t="shared" si="45"/>
        <v>0</v>
      </c>
      <c r="L34" s="22">
        <v>0</v>
      </c>
      <c r="N34" s="9">
        <f t="shared" si="0"/>
        <v>0</v>
      </c>
      <c r="O34" s="10">
        <v>27</v>
      </c>
      <c r="P34" s="11">
        <f t="shared" si="12"/>
        <v>0</v>
      </c>
      <c r="Q34" s="10">
        <f t="shared" si="4"/>
        <v>0</v>
      </c>
      <c r="R34" s="10">
        <f t="shared" si="5"/>
        <v>0</v>
      </c>
      <c r="S34" s="10">
        <f t="shared" si="6"/>
        <v>0</v>
      </c>
      <c r="T34" s="10">
        <f t="shared" si="7"/>
        <v>0</v>
      </c>
      <c r="U34" s="10">
        <f t="shared" si="8"/>
        <v>0</v>
      </c>
      <c r="V34" s="10">
        <f t="shared" si="9"/>
        <v>0</v>
      </c>
      <c r="W34" s="10">
        <f t="shared" si="10"/>
        <v>0</v>
      </c>
      <c r="X34" s="11">
        <f t="shared" si="11"/>
        <v>0</v>
      </c>
    </row>
    <row r="35" spans="1:24"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B36" s="26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B37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B38" s="26"/>
    </row>
    <row r="39" spans="1:24">
      <c r="B39"/>
    </row>
    <row r="40" spans="1:24">
      <c r="B40" s="26"/>
    </row>
    <row r="41" spans="1:24">
      <c r="B41"/>
    </row>
    <row r="42" spans="1:24">
      <c r="B42" s="26"/>
    </row>
    <row r="43" spans="1:24">
      <c r="B43"/>
    </row>
    <row r="44" spans="1:24">
      <c r="B44" s="26"/>
    </row>
    <row r="45" spans="1:24">
      <c r="B45"/>
    </row>
    <row r="46" spans="1:24">
      <c r="B46" s="26"/>
    </row>
    <row r="47" spans="1:24">
      <c r="B47"/>
    </row>
    <row r="48" spans="1:24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  <row r="79" spans="2:2">
      <c r="B79"/>
    </row>
    <row r="80" spans="2:2">
      <c r="B80" s="26"/>
    </row>
    <row r="81" spans="2:2">
      <c r="B81"/>
    </row>
    <row r="82" spans="2:2">
      <c r="B82" s="26"/>
    </row>
    <row r="83" spans="2:2">
      <c r="B83"/>
    </row>
    <row r="84" spans="2:2">
      <c r="B84" s="26"/>
    </row>
    <row r="85" spans="2:2">
      <c r="B85"/>
    </row>
    <row r="86" spans="2:2">
      <c r="B86" s="26"/>
    </row>
    <row r="87" spans="2:2">
      <c r="B87"/>
    </row>
    <row r="88" spans="2:2">
      <c r="B88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34">
    <cfRule type="cellIs" dxfId="12" priority="1" operator="lessThanOrEqual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119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120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28</v>
      </c>
      <c r="B8" s="24" t="s">
        <v>29</v>
      </c>
      <c r="C8" s="24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43</v>
      </c>
      <c r="C9" s="32" t="s">
        <v>75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42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332</v>
      </c>
      <c r="C10" s="32" t="s">
        <v>96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42" si="4">INT(P10/10)</f>
        <v>0</v>
      </c>
      <c r="R10" s="10">
        <f t="shared" ref="R10:R42" si="5">INT((P10-Q10)/9)</f>
        <v>0</v>
      </c>
      <c r="S10" s="10">
        <f t="shared" ref="S10:S42" si="6">INT(((P10-SUM(Q10:R10))/8))</f>
        <v>0</v>
      </c>
      <c r="T10" s="10">
        <f t="shared" ref="T10:T42" si="7">INT(((P10-SUM(Q10:S10))/7))</f>
        <v>0</v>
      </c>
      <c r="U10" s="10">
        <f t="shared" ref="U10:U42" si="8">INT(((P10-SUM(Q10:T10))/6))</f>
        <v>0</v>
      </c>
      <c r="V10" s="10">
        <f t="shared" ref="V10:V42" si="9">INT(((P10-SUM(Q10:U10))/5))</f>
        <v>0</v>
      </c>
      <c r="W10" s="10">
        <f t="shared" ref="W10:W42" si="10">INT(((P10-SUM(Q10:V10))/4))</f>
        <v>0</v>
      </c>
      <c r="X10" s="11">
        <f t="shared" ref="X10:X42" si="11">P10-SUM(Q10:W10)</f>
        <v>0</v>
      </c>
    </row>
    <row r="11" spans="1:26" ht="19.5" customHeight="1">
      <c r="A11" s="18">
        <v>3</v>
      </c>
      <c r="B11" s="31">
        <v>414</v>
      </c>
      <c r="C11" s="32" t="s">
        <v>97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42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452</v>
      </c>
      <c r="C12" s="32" t="s">
        <v>76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463</v>
      </c>
      <c r="C13" s="32" t="s">
        <v>77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528</v>
      </c>
      <c r="C14" s="32" t="s">
        <v>78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530</v>
      </c>
      <c r="C15" s="32" t="s">
        <v>79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549</v>
      </c>
      <c r="C16" s="32" t="s">
        <v>80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563</v>
      </c>
      <c r="C17" s="32" t="s">
        <v>81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570</v>
      </c>
      <c r="C18" s="32" t="s">
        <v>82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577</v>
      </c>
      <c r="C19" s="32" t="s">
        <v>83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640</v>
      </c>
      <c r="C20" s="32" t="s">
        <v>84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646</v>
      </c>
      <c r="C21" s="32" t="s">
        <v>85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22079</v>
      </c>
      <c r="C22" s="32" t="s">
        <v>86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22081</v>
      </c>
      <c r="C23" s="32" t="s">
        <v>87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22084</v>
      </c>
      <c r="C24" s="32" t="s">
        <v>88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22093</v>
      </c>
      <c r="C25" s="32" t="s">
        <v>98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22094</v>
      </c>
      <c r="C26" s="32" t="s">
        <v>99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22096</v>
      </c>
      <c r="C27" s="32" t="s">
        <v>89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22098</v>
      </c>
      <c r="C28" s="32" t="s">
        <v>90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22100</v>
      </c>
      <c r="C29" s="32" t="s">
        <v>91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22105</v>
      </c>
      <c r="C30" s="32" t="s">
        <v>92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22112</v>
      </c>
      <c r="C31" s="32" t="s">
        <v>93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22121</v>
      </c>
      <c r="C32" s="32" t="s">
        <v>100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5" ht="19.5" customHeight="1">
      <c r="A33" s="18">
        <v>25</v>
      </c>
      <c r="B33" s="31">
        <v>22125</v>
      </c>
      <c r="C33" s="32" t="s">
        <v>94</v>
      </c>
      <c r="D33" s="17">
        <f t="shared" ref="D33:H34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:I34" si="44">X33</f>
        <v>0</v>
      </c>
      <c r="J33" s="17">
        <f t="shared" ref="J33:K34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5" ht="19.5" customHeight="1">
      <c r="A34" s="18">
        <v>26</v>
      </c>
      <c r="B34" s="31">
        <v>22126</v>
      </c>
      <c r="C34" s="32" t="s">
        <v>95</v>
      </c>
      <c r="D34" s="17">
        <f t="shared" si="43"/>
        <v>0</v>
      </c>
      <c r="E34" s="17">
        <f t="shared" si="43"/>
        <v>0</v>
      </c>
      <c r="F34" s="17">
        <f t="shared" si="43"/>
        <v>0</v>
      </c>
      <c r="G34" s="17">
        <f t="shared" si="43"/>
        <v>0</v>
      </c>
      <c r="H34" s="17">
        <f t="shared" si="43"/>
        <v>0</v>
      </c>
      <c r="I34" s="17">
        <f t="shared" si="44"/>
        <v>0</v>
      </c>
      <c r="J34" s="17">
        <f t="shared" si="45"/>
        <v>0</v>
      </c>
      <c r="K34" s="17">
        <f t="shared" si="45"/>
        <v>0</v>
      </c>
      <c r="L34" s="22">
        <v>0</v>
      </c>
      <c r="N34" s="9">
        <f t="shared" si="0"/>
        <v>0</v>
      </c>
      <c r="O34" s="10">
        <v>27</v>
      </c>
      <c r="P34" s="11">
        <f t="shared" si="12"/>
        <v>0</v>
      </c>
      <c r="Q34" s="10">
        <f t="shared" si="4"/>
        <v>0</v>
      </c>
      <c r="R34" s="10">
        <f t="shared" si="5"/>
        <v>0</v>
      </c>
      <c r="S34" s="10">
        <f t="shared" si="6"/>
        <v>0</v>
      </c>
      <c r="T34" s="10">
        <f t="shared" si="7"/>
        <v>0</v>
      </c>
      <c r="U34" s="10">
        <f t="shared" si="8"/>
        <v>0</v>
      </c>
      <c r="V34" s="10">
        <f t="shared" si="9"/>
        <v>0</v>
      </c>
      <c r="W34" s="10">
        <f t="shared" si="10"/>
        <v>0</v>
      </c>
      <c r="X34" s="11">
        <f t="shared" si="11"/>
        <v>0</v>
      </c>
    </row>
    <row r="35" spans="1:25" ht="19.5" customHeight="1">
      <c r="A35" s="18">
        <v>27</v>
      </c>
      <c r="B35" s="31"/>
      <c r="C35" s="32"/>
      <c r="D35" s="17"/>
      <c r="E35" s="17"/>
      <c r="F35" s="17"/>
      <c r="G35" s="17"/>
      <c r="H35" s="17"/>
      <c r="I35" s="17"/>
      <c r="J35" s="17"/>
      <c r="K35" s="17"/>
      <c r="L35" s="15">
        <v>0</v>
      </c>
      <c r="N35" s="9">
        <f t="shared" si="0"/>
        <v>0</v>
      </c>
      <c r="O35" s="12">
        <v>28</v>
      </c>
      <c r="P35" s="13">
        <f t="shared" si="12"/>
        <v>0</v>
      </c>
      <c r="Q35" s="10">
        <f t="shared" si="4"/>
        <v>0</v>
      </c>
      <c r="R35" s="10">
        <f t="shared" si="5"/>
        <v>0</v>
      </c>
      <c r="S35" s="10">
        <f t="shared" si="6"/>
        <v>0</v>
      </c>
      <c r="T35" s="10">
        <f t="shared" si="7"/>
        <v>0</v>
      </c>
      <c r="U35" s="10">
        <f t="shared" si="8"/>
        <v>0</v>
      </c>
      <c r="V35" s="10">
        <f t="shared" si="9"/>
        <v>0</v>
      </c>
      <c r="W35" s="10">
        <f t="shared" si="10"/>
        <v>0</v>
      </c>
      <c r="X35" s="11">
        <f t="shared" si="11"/>
        <v>0</v>
      </c>
    </row>
    <row r="36" spans="1:25" ht="19.5" customHeight="1">
      <c r="A36" s="23">
        <v>28</v>
      </c>
      <c r="B36" s="33"/>
      <c r="C36" s="32"/>
      <c r="D36" s="17"/>
      <c r="E36" s="17"/>
      <c r="F36" s="17"/>
      <c r="G36" s="17"/>
      <c r="H36" s="17"/>
      <c r="I36" s="17"/>
      <c r="J36" s="17"/>
      <c r="K36" s="17"/>
      <c r="L36" s="15">
        <v>0</v>
      </c>
      <c r="N36" s="9">
        <f t="shared" si="0"/>
        <v>0</v>
      </c>
      <c r="O36" s="10">
        <v>29</v>
      </c>
      <c r="P36" s="11">
        <f t="shared" si="12"/>
        <v>0</v>
      </c>
      <c r="Q36" s="10">
        <f t="shared" si="4"/>
        <v>0</v>
      </c>
      <c r="R36" s="10">
        <f t="shared" si="5"/>
        <v>0</v>
      </c>
      <c r="S36" s="10">
        <f t="shared" si="6"/>
        <v>0</v>
      </c>
      <c r="T36" s="10">
        <f t="shared" si="7"/>
        <v>0</v>
      </c>
      <c r="U36" s="10">
        <f t="shared" si="8"/>
        <v>0</v>
      </c>
      <c r="V36" s="10">
        <f t="shared" si="9"/>
        <v>0</v>
      </c>
      <c r="W36" s="10">
        <f t="shared" si="10"/>
        <v>0</v>
      </c>
      <c r="X36" s="11">
        <f t="shared" si="11"/>
        <v>0</v>
      </c>
    </row>
    <row r="37" spans="1:25" ht="19.5" customHeight="1">
      <c r="A37" s="23">
        <v>29</v>
      </c>
      <c r="B37" s="33"/>
      <c r="C37" s="32"/>
      <c r="D37" s="17"/>
      <c r="E37" s="17"/>
      <c r="F37" s="17"/>
      <c r="G37" s="17"/>
      <c r="H37" s="17"/>
      <c r="I37" s="17"/>
      <c r="J37" s="17"/>
      <c r="K37" s="17"/>
      <c r="L37" s="15">
        <v>0</v>
      </c>
      <c r="N37" s="9">
        <f t="shared" si="0"/>
        <v>0</v>
      </c>
      <c r="O37" s="12">
        <v>30</v>
      </c>
      <c r="P37" s="13">
        <f t="shared" si="12"/>
        <v>0</v>
      </c>
      <c r="Q37" s="10">
        <f t="shared" si="4"/>
        <v>0</v>
      </c>
      <c r="R37" s="10">
        <f t="shared" si="5"/>
        <v>0</v>
      </c>
      <c r="S37" s="10">
        <f t="shared" si="6"/>
        <v>0</v>
      </c>
      <c r="T37" s="10">
        <f t="shared" si="7"/>
        <v>0</v>
      </c>
      <c r="U37" s="10">
        <f t="shared" si="8"/>
        <v>0</v>
      </c>
      <c r="V37" s="10">
        <f t="shared" si="9"/>
        <v>0</v>
      </c>
      <c r="W37" s="10">
        <f t="shared" si="10"/>
        <v>0</v>
      </c>
      <c r="X37" s="11">
        <f t="shared" si="11"/>
        <v>0</v>
      </c>
      <c r="Y37" s="19"/>
    </row>
    <row r="38" spans="1:25" ht="19.5" customHeight="1">
      <c r="A38" s="23">
        <v>30</v>
      </c>
      <c r="B38" s="33"/>
      <c r="C38" s="32"/>
      <c r="D38" s="17"/>
      <c r="E38" s="17"/>
      <c r="F38" s="17"/>
      <c r="G38" s="17"/>
      <c r="H38" s="17"/>
      <c r="I38" s="17"/>
      <c r="J38" s="17"/>
      <c r="K38" s="17"/>
      <c r="L38" s="15">
        <v>0</v>
      </c>
      <c r="N38" s="9">
        <f t="shared" si="0"/>
        <v>0</v>
      </c>
      <c r="O38" s="10">
        <v>31</v>
      </c>
      <c r="P38" s="11">
        <f t="shared" si="12"/>
        <v>0</v>
      </c>
      <c r="Q38" s="10">
        <f t="shared" si="4"/>
        <v>0</v>
      </c>
      <c r="R38" s="10">
        <f t="shared" si="5"/>
        <v>0</v>
      </c>
      <c r="S38" s="10">
        <f t="shared" si="6"/>
        <v>0</v>
      </c>
      <c r="T38" s="10">
        <f t="shared" si="7"/>
        <v>0</v>
      </c>
      <c r="U38" s="10">
        <f t="shared" si="8"/>
        <v>0</v>
      </c>
      <c r="V38" s="10">
        <f t="shared" si="9"/>
        <v>0</v>
      </c>
      <c r="W38" s="10">
        <f t="shared" si="10"/>
        <v>0</v>
      </c>
      <c r="X38" s="11">
        <f t="shared" si="11"/>
        <v>0</v>
      </c>
    </row>
    <row r="39" spans="1:25" ht="19.5" customHeight="1">
      <c r="A39" s="23">
        <v>31</v>
      </c>
      <c r="B39" s="33"/>
      <c r="C39" s="32"/>
      <c r="D39" s="17"/>
      <c r="E39" s="17"/>
      <c r="F39" s="17"/>
      <c r="G39" s="17"/>
      <c r="H39" s="17"/>
      <c r="I39" s="17"/>
      <c r="J39" s="17"/>
      <c r="K39" s="17"/>
      <c r="L39" s="15">
        <v>0</v>
      </c>
      <c r="N39" s="9">
        <f t="shared" si="0"/>
        <v>0</v>
      </c>
      <c r="O39" s="12">
        <v>32</v>
      </c>
      <c r="P39" s="13">
        <f t="shared" si="12"/>
        <v>0</v>
      </c>
      <c r="Q39" s="10">
        <f t="shared" si="4"/>
        <v>0</v>
      </c>
      <c r="R39" s="10">
        <f t="shared" si="5"/>
        <v>0</v>
      </c>
      <c r="S39" s="10">
        <f t="shared" si="6"/>
        <v>0</v>
      </c>
      <c r="T39" s="10">
        <f t="shared" si="7"/>
        <v>0</v>
      </c>
      <c r="U39" s="10">
        <f t="shared" si="8"/>
        <v>0</v>
      </c>
      <c r="V39" s="10">
        <f t="shared" si="9"/>
        <v>0</v>
      </c>
      <c r="W39" s="10">
        <f t="shared" si="10"/>
        <v>0</v>
      </c>
      <c r="X39" s="11">
        <f t="shared" si="11"/>
        <v>0</v>
      </c>
    </row>
    <row r="40" spans="1:25" ht="19.5" customHeight="1">
      <c r="A40" s="23">
        <v>32</v>
      </c>
      <c r="B40" s="33"/>
      <c r="C40" s="32"/>
      <c r="D40" s="17"/>
      <c r="E40" s="17"/>
      <c r="F40" s="17"/>
      <c r="G40" s="17"/>
      <c r="H40" s="17"/>
      <c r="I40" s="17"/>
      <c r="J40" s="17"/>
      <c r="K40" s="17"/>
      <c r="L40" s="15">
        <v>0</v>
      </c>
      <c r="N40" s="9">
        <f t="shared" si="0"/>
        <v>0</v>
      </c>
      <c r="O40" s="10">
        <v>33</v>
      </c>
      <c r="P40" s="11">
        <f t="shared" si="12"/>
        <v>0</v>
      </c>
      <c r="Q40" s="10">
        <f t="shared" si="4"/>
        <v>0</v>
      </c>
      <c r="R40" s="10">
        <f t="shared" si="5"/>
        <v>0</v>
      </c>
      <c r="S40" s="10">
        <f t="shared" si="6"/>
        <v>0</v>
      </c>
      <c r="T40" s="10">
        <f t="shared" si="7"/>
        <v>0</v>
      </c>
      <c r="U40" s="10">
        <f t="shared" si="8"/>
        <v>0</v>
      </c>
      <c r="V40" s="10">
        <f t="shared" si="9"/>
        <v>0</v>
      </c>
      <c r="W40" s="10">
        <f t="shared" si="10"/>
        <v>0</v>
      </c>
      <c r="X40" s="11">
        <f t="shared" si="11"/>
        <v>0</v>
      </c>
    </row>
    <row r="41" spans="1:25" ht="19.5" customHeight="1">
      <c r="A41" s="23">
        <v>33</v>
      </c>
      <c r="B41" s="29"/>
      <c r="C41" s="32"/>
      <c r="D41" s="17"/>
      <c r="E41" s="17"/>
      <c r="F41" s="17"/>
      <c r="G41" s="17"/>
      <c r="H41" s="17"/>
      <c r="I41" s="17"/>
      <c r="J41" s="17"/>
      <c r="K41" s="17"/>
      <c r="L41" s="15">
        <v>0</v>
      </c>
      <c r="N41" s="9">
        <f t="shared" si="0"/>
        <v>0</v>
      </c>
      <c r="O41" s="12">
        <v>34</v>
      </c>
      <c r="P41" s="13">
        <f t="shared" si="12"/>
        <v>0</v>
      </c>
      <c r="Q41" s="10">
        <f t="shared" si="4"/>
        <v>0</v>
      </c>
      <c r="R41" s="10">
        <f t="shared" si="5"/>
        <v>0</v>
      </c>
      <c r="S41" s="10">
        <f t="shared" si="6"/>
        <v>0</v>
      </c>
      <c r="T41" s="10">
        <f t="shared" si="7"/>
        <v>0</v>
      </c>
      <c r="U41" s="10">
        <f t="shared" si="8"/>
        <v>0</v>
      </c>
      <c r="V41" s="10">
        <f t="shared" si="9"/>
        <v>0</v>
      </c>
      <c r="W41" s="10">
        <f t="shared" si="10"/>
        <v>0</v>
      </c>
      <c r="X41" s="11">
        <f t="shared" si="11"/>
        <v>0</v>
      </c>
    </row>
    <row r="42" spans="1:25" s="1" customFormat="1" ht="19.5" customHeight="1">
      <c r="A42" s="23">
        <v>34</v>
      </c>
      <c r="B42" s="30"/>
      <c r="C42" s="32"/>
      <c r="D42" s="17"/>
      <c r="E42" s="17"/>
      <c r="F42" s="17"/>
      <c r="G42" s="17"/>
      <c r="H42" s="17"/>
      <c r="I42" s="17"/>
      <c r="J42" s="17"/>
      <c r="K42" s="17"/>
      <c r="L42" s="15">
        <v>0</v>
      </c>
      <c r="N42" s="9">
        <f t="shared" si="0"/>
        <v>0</v>
      </c>
      <c r="O42" s="10">
        <v>35</v>
      </c>
      <c r="P42" s="11">
        <f t="shared" si="12"/>
        <v>0</v>
      </c>
      <c r="Q42" s="10">
        <f t="shared" si="4"/>
        <v>0</v>
      </c>
      <c r="R42" s="10">
        <f t="shared" si="5"/>
        <v>0</v>
      </c>
      <c r="S42" s="10">
        <f t="shared" si="6"/>
        <v>0</v>
      </c>
      <c r="T42" s="10">
        <f t="shared" si="7"/>
        <v>0</v>
      </c>
      <c r="U42" s="10">
        <f t="shared" si="8"/>
        <v>0</v>
      </c>
      <c r="V42" s="10">
        <f t="shared" si="9"/>
        <v>0</v>
      </c>
      <c r="W42" s="10">
        <f t="shared" si="10"/>
        <v>0</v>
      </c>
      <c r="X42" s="11">
        <f t="shared" si="11"/>
        <v>0</v>
      </c>
    </row>
    <row r="43" spans="1:25">
      <c r="O43" s="6"/>
      <c r="P43" s="4"/>
      <c r="Q43" s="3"/>
      <c r="R43" s="3"/>
      <c r="S43" s="3"/>
      <c r="T43" s="3"/>
      <c r="U43" s="3"/>
      <c r="V43" s="3"/>
      <c r="W43" s="3"/>
      <c r="X43" s="3"/>
    </row>
    <row r="44" spans="1:25"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5">
      <c r="B45" s="26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5">
      <c r="B46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5">
      <c r="B47" s="26"/>
    </row>
    <row r="48" spans="1:25">
      <c r="B48"/>
    </row>
    <row r="49" spans="2:2">
      <c r="B49" s="26"/>
    </row>
    <row r="50" spans="2:2">
      <c r="B50"/>
    </row>
    <row r="51" spans="2:2">
      <c r="B51" s="26"/>
    </row>
    <row r="52" spans="2:2">
      <c r="B52"/>
    </row>
    <row r="53" spans="2:2">
      <c r="B53" s="26"/>
    </row>
    <row r="54" spans="2:2">
      <c r="B54"/>
    </row>
    <row r="55" spans="2:2">
      <c r="B55" s="26"/>
    </row>
    <row r="56" spans="2:2">
      <c r="B56"/>
    </row>
    <row r="57" spans="2:2">
      <c r="B57" s="26"/>
    </row>
    <row r="58" spans="2:2">
      <c r="B58"/>
    </row>
    <row r="59" spans="2:2">
      <c r="B59" s="26"/>
    </row>
    <row r="60" spans="2:2">
      <c r="B60"/>
    </row>
    <row r="61" spans="2:2">
      <c r="B61" s="26"/>
    </row>
    <row r="62" spans="2:2">
      <c r="B62"/>
    </row>
    <row r="63" spans="2:2">
      <c r="B63" s="26"/>
    </row>
    <row r="64" spans="2:2">
      <c r="B64"/>
    </row>
    <row r="65" spans="2:2">
      <c r="B65" s="26"/>
    </row>
    <row r="66" spans="2:2">
      <c r="B66"/>
    </row>
    <row r="67" spans="2:2">
      <c r="B67" s="26"/>
    </row>
    <row r="68" spans="2:2">
      <c r="B68"/>
    </row>
    <row r="69" spans="2:2">
      <c r="B69" s="26"/>
    </row>
    <row r="70" spans="2:2">
      <c r="B70"/>
    </row>
    <row r="71" spans="2:2">
      <c r="B71" s="26"/>
    </row>
    <row r="72" spans="2:2">
      <c r="B72"/>
    </row>
    <row r="73" spans="2:2">
      <c r="B73" s="26"/>
    </row>
    <row r="74" spans="2:2">
      <c r="B74"/>
    </row>
    <row r="75" spans="2:2">
      <c r="B75" s="26"/>
    </row>
    <row r="76" spans="2:2">
      <c r="B76"/>
    </row>
    <row r="77" spans="2:2">
      <c r="B77" s="26"/>
    </row>
    <row r="78" spans="2:2">
      <c r="B78"/>
    </row>
    <row r="79" spans="2:2">
      <c r="B79" s="26"/>
    </row>
    <row r="80" spans="2:2">
      <c r="B80"/>
    </row>
    <row r="81" spans="2:2">
      <c r="B81" s="26"/>
    </row>
    <row r="82" spans="2:2">
      <c r="B82"/>
    </row>
    <row r="83" spans="2:2">
      <c r="B83" s="26"/>
    </row>
    <row r="84" spans="2:2">
      <c r="B84"/>
    </row>
    <row r="85" spans="2:2">
      <c r="B85" s="26"/>
    </row>
    <row r="86" spans="2:2">
      <c r="B86"/>
    </row>
    <row r="87" spans="2:2">
      <c r="B87" s="26"/>
    </row>
    <row r="88" spans="2:2">
      <c r="B88"/>
    </row>
    <row r="89" spans="2:2">
      <c r="B89" s="26"/>
    </row>
    <row r="90" spans="2:2">
      <c r="B90"/>
    </row>
    <row r="91" spans="2:2">
      <c r="B91" s="26"/>
    </row>
    <row r="92" spans="2:2">
      <c r="B92"/>
    </row>
    <row r="93" spans="2:2">
      <c r="B93" s="26"/>
    </row>
    <row r="94" spans="2:2">
      <c r="B94"/>
    </row>
    <row r="95" spans="2:2">
      <c r="B95" s="26"/>
    </row>
    <row r="96" spans="2:2">
      <c r="B96"/>
    </row>
    <row r="97" spans="2:2">
      <c r="B97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35:K35">
    <cfRule type="cellIs" dxfId="11" priority="8" operator="lessThanOrEqual">
      <formula>0</formula>
    </cfRule>
  </conditionalFormatting>
  <conditionalFormatting sqref="D36:K37">
    <cfRule type="cellIs" dxfId="10" priority="7" operator="lessThanOrEqual">
      <formula>0</formula>
    </cfRule>
  </conditionalFormatting>
  <conditionalFormatting sqref="D38:K38">
    <cfRule type="cellIs" dxfId="9" priority="6" operator="lessThanOrEqual">
      <formula>0</formula>
    </cfRule>
  </conditionalFormatting>
  <conditionalFormatting sqref="D39:K39">
    <cfRule type="cellIs" dxfId="8" priority="5" operator="lessThanOrEqual">
      <formula>0</formula>
    </cfRule>
  </conditionalFormatting>
  <conditionalFormatting sqref="D40:K40">
    <cfRule type="cellIs" dxfId="7" priority="4" operator="lessThanOrEqual">
      <formula>0</formula>
    </cfRule>
  </conditionalFormatting>
  <conditionalFormatting sqref="D41:K41">
    <cfRule type="cellIs" dxfId="6" priority="3" operator="lessThanOrEqual">
      <formula>0</formula>
    </cfRule>
  </conditionalFormatting>
  <conditionalFormatting sqref="D42:K42">
    <cfRule type="cellIs" dxfId="5" priority="2" operator="lessThanOrEqual">
      <formula>0</formula>
    </cfRule>
  </conditionalFormatting>
  <conditionalFormatting sqref="D9:K34">
    <cfRule type="cellIs" dxfId="4" priority="1" operator="lessThanOr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9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121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118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28</v>
      </c>
      <c r="B8" s="24" t="s">
        <v>29</v>
      </c>
      <c r="C8" s="24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43</v>
      </c>
      <c r="C9" s="32" t="s">
        <v>75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3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332</v>
      </c>
      <c r="C10" s="32" t="s">
        <v>96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34" si="4">INT(P10/10)</f>
        <v>0</v>
      </c>
      <c r="R10" s="10">
        <f t="shared" ref="R10:R34" si="5">INT((P10-Q10)/9)</f>
        <v>0</v>
      </c>
      <c r="S10" s="10">
        <f t="shared" ref="S10:S34" si="6">INT(((P10-SUM(Q10:R10))/8))</f>
        <v>0</v>
      </c>
      <c r="T10" s="10">
        <f t="shared" ref="T10:T34" si="7">INT(((P10-SUM(Q10:S10))/7))</f>
        <v>0</v>
      </c>
      <c r="U10" s="10">
        <f t="shared" ref="U10:U34" si="8">INT(((P10-SUM(Q10:T10))/6))</f>
        <v>0</v>
      </c>
      <c r="V10" s="10">
        <f t="shared" ref="V10:V34" si="9">INT(((P10-SUM(Q10:U10))/5))</f>
        <v>0</v>
      </c>
      <c r="W10" s="10">
        <f t="shared" ref="W10:W34" si="10">INT(((P10-SUM(Q10:V10))/4))</f>
        <v>0</v>
      </c>
      <c r="X10" s="11">
        <f t="shared" ref="X10:X34" si="11">P10-SUM(Q10:W10)</f>
        <v>0</v>
      </c>
    </row>
    <row r="11" spans="1:26" ht="19.5" customHeight="1">
      <c r="A11" s="18">
        <v>3</v>
      </c>
      <c r="B11" s="31">
        <v>414</v>
      </c>
      <c r="C11" s="32" t="s">
        <v>97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3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452</v>
      </c>
      <c r="C12" s="32" t="s">
        <v>76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463</v>
      </c>
      <c r="C13" s="32" t="s">
        <v>77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528</v>
      </c>
      <c r="C14" s="32" t="s">
        <v>78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530</v>
      </c>
      <c r="C15" s="32" t="s">
        <v>79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549</v>
      </c>
      <c r="C16" s="32" t="s">
        <v>80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563</v>
      </c>
      <c r="C17" s="32" t="s">
        <v>81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570</v>
      </c>
      <c r="C18" s="32" t="s">
        <v>82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577</v>
      </c>
      <c r="C19" s="32" t="s">
        <v>83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640</v>
      </c>
      <c r="C20" s="32" t="s">
        <v>84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646</v>
      </c>
      <c r="C21" s="32" t="s">
        <v>85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22079</v>
      </c>
      <c r="C22" s="32" t="s">
        <v>86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22081</v>
      </c>
      <c r="C23" s="32" t="s">
        <v>87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22084</v>
      </c>
      <c r="C24" s="32" t="s">
        <v>88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22093</v>
      </c>
      <c r="C25" s="32" t="s">
        <v>98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22094</v>
      </c>
      <c r="C26" s="32" t="s">
        <v>99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22096</v>
      </c>
      <c r="C27" s="32" t="s">
        <v>89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22098</v>
      </c>
      <c r="C28" s="32" t="s">
        <v>90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22100</v>
      </c>
      <c r="C29" s="32" t="s">
        <v>91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22105</v>
      </c>
      <c r="C30" s="32" t="s">
        <v>92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22112</v>
      </c>
      <c r="C31" s="32" t="s">
        <v>93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22121</v>
      </c>
      <c r="C32" s="32" t="s">
        <v>100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4" ht="19.5" customHeight="1">
      <c r="A33" s="18">
        <v>25</v>
      </c>
      <c r="B33" s="31">
        <v>22125</v>
      </c>
      <c r="C33" s="32" t="s">
        <v>94</v>
      </c>
      <c r="D33" s="17">
        <f t="shared" ref="D33:H34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:I34" si="44">X33</f>
        <v>0</v>
      </c>
      <c r="J33" s="17">
        <f t="shared" ref="J33:K34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4" ht="19.5" customHeight="1">
      <c r="A34" s="18">
        <v>26</v>
      </c>
      <c r="B34" s="31">
        <v>22126</v>
      </c>
      <c r="C34" s="32" t="s">
        <v>95</v>
      </c>
      <c r="D34" s="17">
        <f t="shared" si="43"/>
        <v>0</v>
      </c>
      <c r="E34" s="17">
        <f t="shared" si="43"/>
        <v>0</v>
      </c>
      <c r="F34" s="17">
        <f t="shared" si="43"/>
        <v>0</v>
      </c>
      <c r="G34" s="17">
        <f t="shared" si="43"/>
        <v>0</v>
      </c>
      <c r="H34" s="17">
        <f t="shared" si="43"/>
        <v>0</v>
      </c>
      <c r="I34" s="17">
        <f t="shared" si="44"/>
        <v>0</v>
      </c>
      <c r="J34" s="17">
        <f t="shared" si="45"/>
        <v>0</v>
      </c>
      <c r="K34" s="17">
        <f t="shared" si="45"/>
        <v>0</v>
      </c>
      <c r="L34" s="22">
        <v>0</v>
      </c>
      <c r="N34" s="9">
        <f t="shared" si="0"/>
        <v>0</v>
      </c>
      <c r="O34" s="10">
        <v>27</v>
      </c>
      <c r="P34" s="11">
        <f t="shared" si="12"/>
        <v>0</v>
      </c>
      <c r="Q34" s="10">
        <f t="shared" si="4"/>
        <v>0</v>
      </c>
      <c r="R34" s="10">
        <f t="shared" si="5"/>
        <v>0</v>
      </c>
      <c r="S34" s="10">
        <f t="shared" si="6"/>
        <v>0</v>
      </c>
      <c r="T34" s="10">
        <f t="shared" si="7"/>
        <v>0</v>
      </c>
      <c r="U34" s="10">
        <f t="shared" si="8"/>
        <v>0</v>
      </c>
      <c r="V34" s="10">
        <f t="shared" si="9"/>
        <v>0</v>
      </c>
      <c r="W34" s="10">
        <f t="shared" si="10"/>
        <v>0</v>
      </c>
      <c r="X34" s="11">
        <f t="shared" si="11"/>
        <v>0</v>
      </c>
    </row>
    <row r="35" spans="1:24">
      <c r="O35" s="6"/>
      <c r="P35" s="4"/>
      <c r="Q35" s="3"/>
      <c r="R35" s="3"/>
      <c r="S35" s="3"/>
      <c r="T35" s="3"/>
      <c r="U35" s="3"/>
      <c r="V35" s="3"/>
      <c r="W35" s="3"/>
      <c r="X35" s="3"/>
    </row>
    <row r="36" spans="1:24"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B37" s="26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B38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B39" s="26"/>
    </row>
    <row r="40" spans="1:24">
      <c r="B40"/>
    </row>
    <row r="41" spans="1:24">
      <c r="B41" s="26"/>
    </row>
    <row r="42" spans="1:24">
      <c r="B42"/>
    </row>
    <row r="43" spans="1:24">
      <c r="B43" s="26"/>
    </row>
    <row r="44" spans="1:24">
      <c r="B44"/>
    </row>
    <row r="45" spans="1:24">
      <c r="B45" s="26"/>
    </row>
    <row r="46" spans="1:24">
      <c r="B46"/>
    </row>
    <row r="47" spans="1:24">
      <c r="B47" s="26"/>
    </row>
    <row r="48" spans="1:24">
      <c r="B48"/>
    </row>
    <row r="49" spans="2:2">
      <c r="B49" s="26"/>
    </row>
    <row r="50" spans="2:2">
      <c r="B50"/>
    </row>
    <row r="51" spans="2:2">
      <c r="B51" s="26"/>
    </row>
    <row r="52" spans="2:2">
      <c r="B52"/>
    </row>
    <row r="53" spans="2:2">
      <c r="B53" s="26"/>
    </row>
    <row r="54" spans="2:2">
      <c r="B54"/>
    </row>
    <row r="55" spans="2:2">
      <c r="B55" s="26"/>
    </row>
    <row r="56" spans="2:2">
      <c r="B56"/>
    </row>
    <row r="57" spans="2:2">
      <c r="B57" s="26"/>
    </row>
    <row r="58" spans="2:2">
      <c r="B58"/>
    </row>
    <row r="59" spans="2:2">
      <c r="B59" s="26"/>
    </row>
    <row r="60" spans="2:2">
      <c r="B60"/>
    </row>
    <row r="61" spans="2:2">
      <c r="B61" s="26"/>
    </row>
    <row r="62" spans="2:2">
      <c r="B62"/>
    </row>
    <row r="63" spans="2:2">
      <c r="B63" s="26"/>
    </row>
    <row r="64" spans="2:2">
      <c r="B64"/>
    </row>
    <row r="65" spans="2:2">
      <c r="B65" s="26"/>
    </row>
    <row r="66" spans="2:2">
      <c r="B66"/>
    </row>
    <row r="67" spans="2:2">
      <c r="B67" s="26"/>
    </row>
    <row r="68" spans="2:2">
      <c r="B68"/>
    </row>
    <row r="69" spans="2:2">
      <c r="B69" s="26"/>
    </row>
    <row r="70" spans="2:2">
      <c r="B70"/>
    </row>
    <row r="71" spans="2:2">
      <c r="B71" s="26"/>
    </row>
    <row r="72" spans="2:2">
      <c r="B72"/>
    </row>
    <row r="73" spans="2:2">
      <c r="B73" s="26"/>
    </row>
    <row r="74" spans="2:2">
      <c r="B74"/>
    </row>
    <row r="75" spans="2:2">
      <c r="B75" s="26"/>
    </row>
    <row r="76" spans="2:2">
      <c r="B76"/>
    </row>
    <row r="77" spans="2:2">
      <c r="B77" s="26"/>
    </row>
    <row r="78" spans="2:2">
      <c r="B78"/>
    </row>
    <row r="79" spans="2:2">
      <c r="B79" s="26"/>
    </row>
    <row r="80" spans="2:2">
      <c r="B80"/>
    </row>
    <row r="81" spans="2:2">
      <c r="B81" s="26"/>
    </row>
    <row r="82" spans="2:2">
      <c r="B82"/>
    </row>
    <row r="83" spans="2:2">
      <c r="B83" s="26"/>
    </row>
    <row r="84" spans="2:2">
      <c r="B84"/>
    </row>
    <row r="85" spans="2:2">
      <c r="B85" s="26"/>
    </row>
    <row r="86" spans="2:2">
      <c r="B86"/>
    </row>
    <row r="87" spans="2:2">
      <c r="B87" s="26"/>
    </row>
    <row r="88" spans="2:2">
      <c r="B88"/>
    </row>
    <row r="89" spans="2:2">
      <c r="B89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34">
    <cfRule type="cellIs" dxfId="3" priority="1" operator="lessThanOr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122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123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28</v>
      </c>
      <c r="B8" s="24" t="s">
        <v>29</v>
      </c>
      <c r="C8" s="24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27">
        <v>53</v>
      </c>
      <c r="C9" s="28" t="s">
        <v>101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27">
        <v>91</v>
      </c>
      <c r="C10" s="28" t="s">
        <v>102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4" si="4">INT(P10/10)</f>
        <v>0</v>
      </c>
      <c r="R10" s="10">
        <f t="shared" ref="R10:R24" si="5">INT((P10-Q10)/9)</f>
        <v>0</v>
      </c>
      <c r="S10" s="10">
        <f t="shared" ref="S10:S24" si="6">INT(((P10-SUM(Q10:R10))/8))</f>
        <v>0</v>
      </c>
      <c r="T10" s="10">
        <f t="shared" ref="T10:T24" si="7">INT(((P10-SUM(Q10:S10))/7))</f>
        <v>0</v>
      </c>
      <c r="U10" s="10">
        <f t="shared" ref="U10:U24" si="8">INT(((P10-SUM(Q10:T10))/6))</f>
        <v>0</v>
      </c>
      <c r="V10" s="10">
        <f t="shared" ref="V10:V24" si="9">INT(((P10-SUM(Q10:U10))/5))</f>
        <v>0</v>
      </c>
      <c r="W10" s="10">
        <f t="shared" ref="W10:W24" si="10">INT(((P10-SUM(Q10:V10))/4))</f>
        <v>0</v>
      </c>
      <c r="X10" s="11">
        <f t="shared" ref="X10:X24" si="11">P10-SUM(Q10:W10)</f>
        <v>0</v>
      </c>
    </row>
    <row r="11" spans="1:26" ht="19.5" customHeight="1">
      <c r="A11" s="18">
        <v>3</v>
      </c>
      <c r="B11" s="27">
        <v>184</v>
      </c>
      <c r="C11" s="28" t="s">
        <v>103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27">
        <v>269</v>
      </c>
      <c r="C12" s="28" t="s">
        <v>104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27">
        <v>22082</v>
      </c>
      <c r="C13" s="28" t="s">
        <v>105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27">
        <v>22086</v>
      </c>
      <c r="C14" s="28" t="s">
        <v>106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27">
        <v>22088</v>
      </c>
      <c r="C15" s="28" t="s">
        <v>107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27">
        <v>22090</v>
      </c>
      <c r="C16" s="28" t="s">
        <v>108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27">
        <v>22091</v>
      </c>
      <c r="C17" s="28" t="s">
        <v>109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27">
        <v>22092</v>
      </c>
      <c r="C18" s="28" t="s">
        <v>110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27">
        <v>22103</v>
      </c>
      <c r="C19" s="28" t="s">
        <v>113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27">
        <v>22108</v>
      </c>
      <c r="C20" s="28" t="s">
        <v>111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27">
        <v>22113</v>
      </c>
      <c r="C21" s="28" t="s">
        <v>114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27">
        <v>22114</v>
      </c>
      <c r="C22" s="28" t="s">
        <v>115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27">
        <v>22118</v>
      </c>
      <c r="C23" s="28" t="s">
        <v>112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27">
        <v>22119</v>
      </c>
      <c r="C24" s="28" t="s">
        <v>116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4">
    <cfRule type="cellIs" dxfId="2" priority="1" operator="lessThanOrEqual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workbookViewId="0">
      <selection activeCell="C5" sqref="C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119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123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28</v>
      </c>
      <c r="B8" s="24" t="s">
        <v>29</v>
      </c>
      <c r="C8" s="24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27">
        <v>53</v>
      </c>
      <c r="C9" s="28" t="s">
        <v>101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27">
        <v>91</v>
      </c>
      <c r="C10" s="28" t="s">
        <v>102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4" si="4">INT(P10/10)</f>
        <v>0</v>
      </c>
      <c r="R10" s="10">
        <f t="shared" ref="R10:R24" si="5">INT((P10-Q10)/9)</f>
        <v>0</v>
      </c>
      <c r="S10" s="10">
        <f t="shared" ref="S10:S24" si="6">INT(((P10-SUM(Q10:R10))/8))</f>
        <v>0</v>
      </c>
      <c r="T10" s="10">
        <f t="shared" ref="T10:T24" si="7">INT(((P10-SUM(Q10:S10))/7))</f>
        <v>0</v>
      </c>
      <c r="U10" s="10">
        <f t="shared" ref="U10:U24" si="8">INT(((P10-SUM(Q10:T10))/6))</f>
        <v>0</v>
      </c>
      <c r="V10" s="10">
        <f t="shared" ref="V10:V24" si="9">INT(((P10-SUM(Q10:U10))/5))</f>
        <v>0</v>
      </c>
      <c r="W10" s="10">
        <f t="shared" ref="W10:W24" si="10">INT(((P10-SUM(Q10:V10))/4))</f>
        <v>0</v>
      </c>
      <c r="X10" s="11">
        <f t="shared" ref="X10:X24" si="11">P10-SUM(Q10:W10)</f>
        <v>0</v>
      </c>
    </row>
    <row r="11" spans="1:26" ht="19.5" customHeight="1">
      <c r="A11" s="18">
        <v>3</v>
      </c>
      <c r="B11" s="27">
        <v>184</v>
      </c>
      <c r="C11" s="28" t="s">
        <v>103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27">
        <v>269</v>
      </c>
      <c r="C12" s="28" t="s">
        <v>104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27">
        <v>22082</v>
      </c>
      <c r="C13" s="28" t="s">
        <v>105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27">
        <v>22086</v>
      </c>
      <c r="C14" s="28" t="s">
        <v>106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27">
        <v>22088</v>
      </c>
      <c r="C15" s="28" t="s">
        <v>107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27">
        <v>22090</v>
      </c>
      <c r="C16" s="28" t="s">
        <v>108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27">
        <v>22091</v>
      </c>
      <c r="C17" s="28" t="s">
        <v>109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27">
        <v>22092</v>
      </c>
      <c r="C18" s="28" t="s">
        <v>110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27">
        <v>22103</v>
      </c>
      <c r="C19" s="28" t="s">
        <v>113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27">
        <v>22108</v>
      </c>
      <c r="C20" s="28" t="s">
        <v>111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27">
        <v>22113</v>
      </c>
      <c r="C21" s="28" t="s">
        <v>114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27">
        <v>22114</v>
      </c>
      <c r="C22" s="28" t="s">
        <v>115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27">
        <v>22118</v>
      </c>
      <c r="C23" s="28" t="s">
        <v>112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27">
        <v>22119</v>
      </c>
      <c r="C24" s="28" t="s">
        <v>116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>
      <c r="O25" s="6"/>
      <c r="P25" s="4"/>
      <c r="Q25" s="3"/>
      <c r="R25" s="3"/>
      <c r="S25" s="3"/>
      <c r="T25" s="3"/>
      <c r="U25" s="3"/>
      <c r="V25" s="3"/>
      <c r="W25" s="3"/>
      <c r="X25" s="3"/>
    </row>
    <row r="26" spans="1:24"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B27" s="26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B28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B29" s="26"/>
    </row>
    <row r="30" spans="1:24">
      <c r="B30"/>
    </row>
    <row r="31" spans="1:24">
      <c r="B31" s="26"/>
    </row>
    <row r="32" spans="1:24">
      <c r="B32"/>
    </row>
    <row r="33" spans="2:2">
      <c r="B33" s="26"/>
    </row>
    <row r="34" spans="2:2">
      <c r="B34"/>
    </row>
    <row r="35" spans="2:2">
      <c r="B35" s="26"/>
    </row>
    <row r="36" spans="2:2">
      <c r="B36"/>
    </row>
    <row r="37" spans="2:2">
      <c r="B37" s="26"/>
    </row>
    <row r="38" spans="2:2">
      <c r="B38"/>
    </row>
    <row r="39" spans="2:2">
      <c r="B39" s="26"/>
    </row>
    <row r="40" spans="2:2">
      <c r="B40"/>
    </row>
    <row r="41" spans="2:2">
      <c r="B41" s="26"/>
    </row>
    <row r="42" spans="2:2">
      <c r="B42"/>
    </row>
    <row r="43" spans="2:2">
      <c r="B43" s="26"/>
    </row>
    <row r="44" spans="2:2">
      <c r="B44"/>
    </row>
    <row r="45" spans="2:2">
      <c r="B45" s="26"/>
    </row>
    <row r="46" spans="2:2">
      <c r="B46"/>
    </row>
    <row r="47" spans="2:2">
      <c r="B47" s="26"/>
    </row>
    <row r="48" spans="2:2">
      <c r="B48"/>
    </row>
    <row r="49" spans="2:2">
      <c r="B49" s="26"/>
    </row>
    <row r="50" spans="2:2">
      <c r="B50"/>
    </row>
    <row r="51" spans="2:2">
      <c r="B51" s="26"/>
    </row>
    <row r="52" spans="2:2">
      <c r="B52"/>
    </row>
    <row r="53" spans="2:2">
      <c r="B53" s="26"/>
    </row>
    <row r="54" spans="2:2">
      <c r="B54"/>
    </row>
    <row r="55" spans="2:2">
      <c r="B55" s="26"/>
    </row>
    <row r="56" spans="2:2">
      <c r="B56"/>
    </row>
    <row r="57" spans="2:2">
      <c r="B57" s="26"/>
    </row>
    <row r="58" spans="2:2">
      <c r="B58"/>
    </row>
    <row r="59" spans="2:2">
      <c r="B59" s="26"/>
    </row>
    <row r="60" spans="2:2">
      <c r="B60"/>
    </row>
    <row r="61" spans="2:2">
      <c r="B61" s="26"/>
    </row>
    <row r="62" spans="2:2">
      <c r="B62"/>
    </row>
    <row r="63" spans="2:2">
      <c r="B63" s="26"/>
    </row>
    <row r="64" spans="2:2">
      <c r="B64"/>
    </row>
    <row r="65" spans="2:2">
      <c r="B65" s="26"/>
    </row>
    <row r="66" spans="2:2">
      <c r="B66"/>
    </row>
    <row r="67" spans="2:2">
      <c r="B67" s="26"/>
    </row>
    <row r="68" spans="2:2">
      <c r="B68"/>
    </row>
    <row r="69" spans="2:2">
      <c r="B69" s="26"/>
    </row>
    <row r="70" spans="2:2">
      <c r="B70"/>
    </row>
    <row r="71" spans="2:2">
      <c r="B71" s="26"/>
    </row>
    <row r="72" spans="2:2">
      <c r="B72"/>
    </row>
    <row r="73" spans="2:2">
      <c r="B73" s="26"/>
    </row>
    <row r="74" spans="2:2">
      <c r="B74"/>
    </row>
    <row r="75" spans="2:2">
      <c r="B75" s="26"/>
    </row>
    <row r="76" spans="2:2">
      <c r="B76"/>
    </row>
    <row r="77" spans="2:2">
      <c r="B77" s="26"/>
    </row>
    <row r="78" spans="2:2">
      <c r="B78"/>
    </row>
    <row r="79" spans="2:2">
      <c r="B79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4">
    <cfRule type="cellIs" dxfId="1" priority="1" operator="lessThanOrEqual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8"/>
  <sheetViews>
    <sheetView workbookViewId="0">
      <selection activeCell="AA8" sqref="AA8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121</v>
      </c>
      <c r="B3" s="37"/>
      <c r="C3" s="37"/>
      <c r="D3" s="38" t="s">
        <v>24</v>
      </c>
      <c r="E3" s="38" t="s">
        <v>17</v>
      </c>
      <c r="F3" s="38" t="s">
        <v>18</v>
      </c>
      <c r="G3" s="38" t="s">
        <v>19</v>
      </c>
      <c r="H3" s="38" t="s">
        <v>20</v>
      </c>
      <c r="I3" s="38" t="s">
        <v>21</v>
      </c>
      <c r="J3" s="38" t="s">
        <v>22</v>
      </c>
      <c r="K3" s="38" t="s">
        <v>23</v>
      </c>
      <c r="L3" s="39" t="s">
        <v>25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124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9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171</v>
      </c>
      <c r="D5" s="38"/>
      <c r="E5" s="38"/>
      <c r="F5" s="38"/>
      <c r="G5" s="38"/>
      <c r="H5" s="38"/>
      <c r="I5" s="38"/>
      <c r="J5" s="38"/>
      <c r="K5" s="38"/>
      <c r="L5" s="39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26</v>
      </c>
      <c r="B6" s="40"/>
      <c r="C6" s="40"/>
      <c r="D6" s="38"/>
      <c r="E6" s="38"/>
      <c r="F6" s="38"/>
      <c r="G6" s="38"/>
      <c r="H6" s="38"/>
      <c r="I6" s="38"/>
      <c r="J6" s="38"/>
      <c r="K6" s="38"/>
      <c r="L6" s="39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8"/>
      <c r="E7" s="38"/>
      <c r="F7" s="38"/>
      <c r="G7" s="38"/>
      <c r="H7" s="38"/>
      <c r="I7" s="38"/>
      <c r="J7" s="38"/>
      <c r="K7" s="38"/>
      <c r="L7" s="39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28</v>
      </c>
      <c r="B8" s="24" t="s">
        <v>29</v>
      </c>
      <c r="C8" s="24" t="s">
        <v>27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27">
        <v>53</v>
      </c>
      <c r="C9" s="28" t="s">
        <v>101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27">
        <v>91</v>
      </c>
      <c r="C10" s="28" t="s">
        <v>102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4" si="4">INT(P10/10)</f>
        <v>0</v>
      </c>
      <c r="R10" s="10">
        <f t="shared" ref="R10:R24" si="5">INT((P10-Q10)/9)</f>
        <v>0</v>
      </c>
      <c r="S10" s="10">
        <f t="shared" ref="S10:S24" si="6">INT(((P10-SUM(Q10:R10))/8))</f>
        <v>0</v>
      </c>
      <c r="T10" s="10">
        <f t="shared" ref="T10:T24" si="7">INT(((P10-SUM(Q10:S10))/7))</f>
        <v>0</v>
      </c>
      <c r="U10" s="10">
        <f t="shared" ref="U10:U24" si="8">INT(((P10-SUM(Q10:T10))/6))</f>
        <v>0</v>
      </c>
      <c r="V10" s="10">
        <f t="shared" ref="V10:V24" si="9">INT(((P10-SUM(Q10:U10))/5))</f>
        <v>0</v>
      </c>
      <c r="W10" s="10">
        <f t="shared" ref="W10:W24" si="10">INT(((P10-SUM(Q10:V10))/4))</f>
        <v>0</v>
      </c>
      <c r="X10" s="11">
        <f t="shared" ref="X10:X24" si="11">P10-SUM(Q10:W10)</f>
        <v>0</v>
      </c>
    </row>
    <row r="11" spans="1:26" ht="19.5" customHeight="1">
      <c r="A11" s="18">
        <v>3</v>
      </c>
      <c r="B11" s="27">
        <v>184</v>
      </c>
      <c r="C11" s="28" t="s">
        <v>103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27">
        <v>269</v>
      </c>
      <c r="C12" s="28" t="s">
        <v>104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27">
        <v>22082</v>
      </c>
      <c r="C13" s="28" t="s">
        <v>105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27">
        <v>22086</v>
      </c>
      <c r="C14" s="28" t="s">
        <v>106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27">
        <v>22088</v>
      </c>
      <c r="C15" s="28" t="s">
        <v>107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27">
        <v>22090</v>
      </c>
      <c r="C16" s="28" t="s">
        <v>108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27">
        <v>22091</v>
      </c>
      <c r="C17" s="28" t="s">
        <v>109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27">
        <v>22092</v>
      </c>
      <c r="C18" s="28" t="s">
        <v>110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27">
        <v>22103</v>
      </c>
      <c r="C19" s="28" t="s">
        <v>113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27">
        <v>22108</v>
      </c>
      <c r="C20" s="28" t="s">
        <v>111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27">
        <v>22113</v>
      </c>
      <c r="C21" s="28" t="s">
        <v>114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27">
        <v>22114</v>
      </c>
      <c r="C22" s="28" t="s">
        <v>115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27">
        <v>22118</v>
      </c>
      <c r="C23" s="28" t="s">
        <v>112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27">
        <v>22119</v>
      </c>
      <c r="C24" s="28" t="s">
        <v>116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B26" s="26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B27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B28" s="26"/>
    </row>
    <row r="29" spans="1:24">
      <c r="B29"/>
    </row>
    <row r="30" spans="1:24">
      <c r="B30" s="26"/>
    </row>
    <row r="31" spans="1:24">
      <c r="B31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4">
    <cfRule type="cellIs" dxfId="0" priority="1" operator="less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18</vt:i4>
      </vt:variant>
      <vt:variant>
        <vt:lpstr>Adlandırılmış Aralıklar</vt:lpstr>
      </vt:variant>
      <vt:variant>
        <vt:i4>1</vt:i4>
      </vt:variant>
    </vt:vector>
  </HeadingPairs>
  <TitlesOfParts>
    <vt:vector size="19" baseType="lpstr">
      <vt:lpstr>9-A Mesleki Gelişim </vt:lpstr>
      <vt:lpstr>9-A TEMEL İMALAT İŞLEMLERİ</vt:lpstr>
      <vt:lpstr>10-A MALZEME BİLGİSİ</vt:lpstr>
      <vt:lpstr>10-A ÖLÇME VE KONTROL</vt:lpstr>
      <vt:lpstr>10-A  İMALAT YÖNTEMLERİ</vt:lpstr>
      <vt:lpstr>11-A MEKANİZMALAR</vt:lpstr>
      <vt:lpstr>11-A MEK. BAK. ONA.</vt:lpstr>
      <vt:lpstr>11-A OTO. KONT.</vt:lpstr>
      <vt:lpstr>11-A TEMEL ELEKTRİK</vt:lpstr>
      <vt:lpstr>11-B  BİL.KONT. ÜRETİM</vt:lpstr>
      <vt:lpstr>11-B BİL. DES. TAS.</vt:lpstr>
      <vt:lpstr>11-B YEN. ÜRET. YÖN.</vt:lpstr>
      <vt:lpstr>12-A SEÇ.MAK.EL.</vt:lpstr>
      <vt:lpstr>12-A SEÇ. HİD.PNO.</vt:lpstr>
      <vt:lpstr>12-A SEÇ.MEK.ÇİZ.</vt:lpstr>
      <vt:lpstr>12-B SEÇ.MAK.EL.</vt:lpstr>
      <vt:lpstr>12-B SEÇ. HİD.PNO.</vt:lpstr>
      <vt:lpstr>12-B SEÇ.MEK.ÇİZ.</vt:lpstr>
      <vt:lpstr>'9-A Mesleki Gelişim 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Zeki ORAL</dc:creator>
  <cp:lastModifiedBy>makina</cp:lastModifiedBy>
  <cp:lastPrinted>2025-06-15T18:06:14Z</cp:lastPrinted>
  <dcterms:created xsi:type="dcterms:W3CDTF">2013-12-06T20:37:02Z</dcterms:created>
  <dcterms:modified xsi:type="dcterms:W3CDTF">2026-01-05T09:02:52Z</dcterms:modified>
</cp:coreProperties>
</file>