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BECERİ - USTALIK - KALFALIK SINAV EVRAKLARI\2025-2026\AMP\"/>
    </mc:Choice>
  </mc:AlternateContent>
  <bookViews>
    <workbookView xWindow="0" yWindow="0" windowWidth="20490" windowHeight="7665" activeTab="1"/>
  </bookViews>
  <sheets>
    <sheet name="12-A Bakım Onarım" sheetId="1" r:id="rId1"/>
    <sheet name="12-B Bilg.Makine İmalatı" sheetId="2" r:id="rId2"/>
  </sheets>
  <definedNames>
    <definedName name="_xlnm.Print_Titles" localSheetId="0">'12-A Bakım Onarım'!$1:$5</definedName>
    <definedName name="_xlnm.Print_Titles" localSheetId="1">'12-B Bilg.Makine İmalatı'!$1:$5</definedName>
  </definedNames>
  <calcPr calcId="162913"/>
</workbook>
</file>

<file path=xl/calcChain.xml><?xml version="1.0" encoding="utf-8"?>
<calcChain xmlns="http://schemas.openxmlformats.org/spreadsheetml/2006/main">
  <c r="V23" i="2" l="1"/>
  <c r="U23" i="2"/>
  <c r="R23" i="2"/>
  <c r="Q23" i="2"/>
  <c r="P23" i="2"/>
  <c r="O23" i="2"/>
  <c r="N23" i="2"/>
  <c r="M23" i="2"/>
  <c r="K23" i="2"/>
  <c r="J23" i="2"/>
  <c r="I23" i="2"/>
  <c r="H23" i="2"/>
  <c r="G23" i="2"/>
  <c r="F23" i="2"/>
  <c r="W21" i="2"/>
  <c r="S21" i="2"/>
  <c r="L21" i="2"/>
  <c r="W20" i="2"/>
  <c r="Z20" i="2" s="1"/>
  <c r="S20" i="2"/>
  <c r="L20" i="2"/>
  <c r="W19" i="2"/>
  <c r="S19" i="2"/>
  <c r="L19" i="2"/>
  <c r="W18" i="2"/>
  <c r="S18" i="2"/>
  <c r="L18" i="2"/>
  <c r="W17" i="2"/>
  <c r="S17" i="2"/>
  <c r="L17" i="2"/>
  <c r="W16" i="2"/>
  <c r="S16" i="2"/>
  <c r="L16" i="2"/>
  <c r="W15" i="2"/>
  <c r="Z15" i="2" s="1"/>
  <c r="S15" i="2"/>
  <c r="L15" i="2"/>
  <c r="W14" i="2"/>
  <c r="S14" i="2"/>
  <c r="L14" i="2"/>
  <c r="W13" i="2"/>
  <c r="S13" i="2"/>
  <c r="L13" i="2"/>
  <c r="W12" i="2"/>
  <c r="Z12" i="2" s="1"/>
  <c r="S12" i="2"/>
  <c r="L12" i="2"/>
  <c r="W11" i="2"/>
  <c r="S11" i="2"/>
  <c r="L11" i="2"/>
  <c r="W10" i="2"/>
  <c r="S10" i="2"/>
  <c r="L10" i="2"/>
  <c r="W9" i="2"/>
  <c r="S9" i="2"/>
  <c r="L9" i="2"/>
  <c r="W8" i="2"/>
  <c r="Z8" i="2" s="1"/>
  <c r="S8" i="2"/>
  <c r="L8" i="2"/>
  <c r="W7" i="2"/>
  <c r="S7" i="2"/>
  <c r="L7" i="2"/>
  <c r="W6" i="2"/>
  <c r="S6" i="2"/>
  <c r="L6" i="2"/>
  <c r="V33" i="1"/>
  <c r="U33" i="1"/>
  <c r="R33" i="1"/>
  <c r="Q33" i="1"/>
  <c r="P33" i="1"/>
  <c r="O33" i="1"/>
  <c r="N33" i="1"/>
  <c r="M33" i="1"/>
  <c r="K33" i="1"/>
  <c r="J33" i="1"/>
  <c r="I33" i="1"/>
  <c r="H33" i="1"/>
  <c r="G33" i="1"/>
  <c r="F33" i="1"/>
  <c r="W31" i="1"/>
  <c r="Z31" i="1" s="1"/>
  <c r="S31" i="1"/>
  <c r="L31" i="1"/>
  <c r="W30" i="1"/>
  <c r="Z30" i="1" s="1"/>
  <c r="S30" i="1"/>
  <c r="L30" i="1"/>
  <c r="W29" i="1"/>
  <c r="S29" i="1"/>
  <c r="L29" i="1"/>
  <c r="W28" i="1"/>
  <c r="Z28" i="1" s="1"/>
  <c r="S28" i="1"/>
  <c r="L28" i="1"/>
  <c r="W27" i="1"/>
  <c r="Z27" i="1" s="1"/>
  <c r="S27" i="1"/>
  <c r="L27" i="1"/>
  <c r="W26" i="1"/>
  <c r="Z26" i="1" s="1"/>
  <c r="S26" i="1"/>
  <c r="L26" i="1"/>
  <c r="W25" i="1"/>
  <c r="Z25" i="1" s="1"/>
  <c r="S25" i="1"/>
  <c r="L25" i="1"/>
  <c r="W24" i="1"/>
  <c r="Z24" i="1" s="1"/>
  <c r="S24" i="1"/>
  <c r="L24" i="1"/>
  <c r="W23" i="1"/>
  <c r="Z23" i="1" s="1"/>
  <c r="S23" i="1"/>
  <c r="L23" i="1"/>
  <c r="W22" i="1"/>
  <c r="Z22" i="1" s="1"/>
  <c r="S22" i="1"/>
  <c r="L22" i="1"/>
  <c r="W21" i="1"/>
  <c r="Z21" i="1" s="1"/>
  <c r="S21" i="1"/>
  <c r="L21" i="1"/>
  <c r="W20" i="1"/>
  <c r="Z20" i="1" s="1"/>
  <c r="S20" i="1"/>
  <c r="L20" i="1"/>
  <c r="W19" i="1"/>
  <c r="Z19" i="1" s="1"/>
  <c r="S19" i="1"/>
  <c r="L19" i="1"/>
  <c r="W18" i="1"/>
  <c r="Z18" i="1" s="1"/>
  <c r="S18" i="1"/>
  <c r="L18" i="1"/>
  <c r="W17" i="1"/>
  <c r="Z17" i="1" s="1"/>
  <c r="S17" i="1"/>
  <c r="L17" i="1"/>
  <c r="W16" i="1"/>
  <c r="S16" i="1"/>
  <c r="L16" i="1"/>
  <c r="W15" i="1"/>
  <c r="Z15" i="1" s="1"/>
  <c r="S15" i="1"/>
  <c r="L15" i="1"/>
  <c r="W14" i="1"/>
  <c r="Z14" i="1" s="1"/>
  <c r="S14" i="1"/>
  <c r="L14" i="1"/>
  <c r="W13" i="1"/>
  <c r="Z13" i="1" s="1"/>
  <c r="S13" i="1"/>
  <c r="L13" i="1"/>
  <c r="W12" i="1"/>
  <c r="S12" i="1"/>
  <c r="L12" i="1"/>
  <c r="W11" i="1"/>
  <c r="S11" i="1"/>
  <c r="L11" i="1"/>
  <c r="W10" i="1"/>
  <c r="Z10" i="1" s="1"/>
  <c r="S10" i="1"/>
  <c r="L10" i="1"/>
  <c r="W9" i="1"/>
  <c r="Z9" i="1" s="1"/>
  <c r="S9" i="1"/>
  <c r="L9" i="1"/>
  <c r="W8" i="1"/>
  <c r="Z8" i="1" s="1"/>
  <c r="S8" i="1"/>
  <c r="L8" i="1"/>
  <c r="W7" i="1"/>
  <c r="Z7" i="1" s="1"/>
  <c r="S7" i="1"/>
  <c r="L7" i="1"/>
  <c r="W6" i="1"/>
  <c r="S6" i="1"/>
  <c r="L6" i="1"/>
  <c r="Z19" i="2" l="1"/>
  <c r="Z7" i="2"/>
  <c r="T19" i="2"/>
  <c r="X19" i="2" s="1"/>
  <c r="Y19" i="2" s="1"/>
  <c r="T14" i="2"/>
  <c r="X14" i="2" s="1"/>
  <c r="Y14" i="2" s="1"/>
  <c r="T8" i="2"/>
  <c r="X8" i="2" s="1"/>
  <c r="Y8" i="2" s="1"/>
  <c r="T18" i="2"/>
  <c r="X18" i="2" s="1"/>
  <c r="Y18" i="2" s="1"/>
  <c r="T20" i="2"/>
  <c r="X20" i="2" s="1"/>
  <c r="Y20" i="2" s="1"/>
  <c r="T16" i="2"/>
  <c r="X16" i="2" s="1"/>
  <c r="Y16" i="2" s="1"/>
  <c r="T11" i="2"/>
  <c r="X11" i="2" s="1"/>
  <c r="Y11" i="2" s="1"/>
  <c r="T9" i="2"/>
  <c r="X9" i="2" s="1"/>
  <c r="Y9" i="2" s="1"/>
  <c r="T7" i="2"/>
  <c r="X7" i="2" s="1"/>
  <c r="Y7" i="2" s="1"/>
  <c r="T12" i="2"/>
  <c r="X12" i="2" s="1"/>
  <c r="Y12" i="2" s="1"/>
  <c r="L23" i="2"/>
  <c r="T15" i="2"/>
  <c r="X15" i="2" s="1"/>
  <c r="Y15" i="2" s="1"/>
  <c r="T21" i="2"/>
  <c r="X21" i="2" s="1"/>
  <c r="Y21" i="2" s="1"/>
  <c r="T17" i="2"/>
  <c r="X17" i="2" s="1"/>
  <c r="Y17" i="2" s="1"/>
  <c r="S23" i="2"/>
  <c r="T10" i="2"/>
  <c r="X10" i="2" s="1"/>
  <c r="Y10" i="2" s="1"/>
  <c r="T13" i="2"/>
  <c r="X13" i="2" s="1"/>
  <c r="Y13" i="2" s="1"/>
  <c r="T26" i="1"/>
  <c r="X26" i="1" s="1"/>
  <c r="Y26" i="1" s="1"/>
  <c r="T27" i="1"/>
  <c r="X27" i="1" s="1"/>
  <c r="Y27" i="1" s="1"/>
  <c r="T31" i="1"/>
  <c r="X31" i="1" s="1"/>
  <c r="Y31" i="1" s="1"/>
  <c r="T9" i="1"/>
  <c r="X9" i="1" s="1"/>
  <c r="Y9" i="1" s="1"/>
  <c r="W33" i="1"/>
  <c r="T8" i="1"/>
  <c r="X8" i="1" s="1"/>
  <c r="Y8" i="1" s="1"/>
  <c r="T12" i="1"/>
  <c r="X12" i="1" s="1"/>
  <c r="Y12" i="1" s="1"/>
  <c r="T20" i="1"/>
  <c r="X20" i="1" s="1"/>
  <c r="Y20" i="1" s="1"/>
  <c r="T24" i="1"/>
  <c r="X24" i="1" s="1"/>
  <c r="Y24" i="1" s="1"/>
  <c r="T14" i="1"/>
  <c r="X14" i="1" s="1"/>
  <c r="Y14" i="1" s="1"/>
  <c r="T15" i="1"/>
  <c r="X15" i="1" s="1"/>
  <c r="Y15" i="1" s="1"/>
  <c r="T16" i="1"/>
  <c r="X16" i="1" s="1"/>
  <c r="Y16" i="1" s="1"/>
  <c r="T21" i="1"/>
  <c r="X21" i="1" s="1"/>
  <c r="Y21" i="1" s="1"/>
  <c r="T10" i="1"/>
  <c r="X10" i="1" s="1"/>
  <c r="Y10" i="1" s="1"/>
  <c r="T11" i="1"/>
  <c r="X11" i="1" s="1"/>
  <c r="Y11" i="1" s="1"/>
  <c r="T25" i="1"/>
  <c r="X25" i="1" s="1"/>
  <c r="Y25" i="1" s="1"/>
  <c r="S33" i="1"/>
  <c r="T28" i="1"/>
  <c r="X28" i="1" s="1"/>
  <c r="Y28" i="1" s="1"/>
  <c r="T29" i="1"/>
  <c r="X29" i="1" s="1"/>
  <c r="Y29" i="1" s="1"/>
  <c r="T18" i="1"/>
  <c r="X18" i="1" s="1"/>
  <c r="Y18" i="1" s="1"/>
  <c r="T19" i="1"/>
  <c r="X19" i="1" s="1"/>
  <c r="Y19" i="1" s="1"/>
  <c r="T17" i="1"/>
  <c r="X17" i="1" s="1"/>
  <c r="Y17" i="1" s="1"/>
  <c r="T30" i="1"/>
  <c r="X30" i="1" s="1"/>
  <c r="Y30" i="1" s="1"/>
  <c r="L33" i="1"/>
  <c r="T7" i="1"/>
  <c r="X7" i="1" s="1"/>
  <c r="Y7" i="1" s="1"/>
  <c r="T13" i="1"/>
  <c r="X13" i="1" s="1"/>
  <c r="Y13" i="1" s="1"/>
  <c r="T22" i="1"/>
  <c r="X22" i="1" s="1"/>
  <c r="Y22" i="1" s="1"/>
  <c r="T23" i="1"/>
  <c r="X23" i="1" s="1"/>
  <c r="Y23" i="1" s="1"/>
  <c r="T6" i="1"/>
  <c r="W23" i="2"/>
  <c r="T6" i="2"/>
  <c r="Z29" i="1" l="1"/>
  <c r="Z12" i="1"/>
  <c r="Z16" i="2"/>
  <c r="Z21" i="2"/>
  <c r="Z18" i="2"/>
  <c r="Z11" i="2"/>
  <c r="Z10" i="2"/>
  <c r="Z16" i="1"/>
  <c r="Z33" i="1"/>
  <c r="Z11" i="1"/>
  <c r="Z17" i="2"/>
  <c r="Z9" i="2"/>
  <c r="Z14" i="2"/>
  <c r="Z13" i="2"/>
  <c r="T23" i="2"/>
  <c r="X6" i="2"/>
  <c r="Z6" i="2" s="1"/>
  <c r="Z23" i="2" s="1"/>
  <c r="X6" i="1"/>
  <c r="Z6" i="1" s="1"/>
  <c r="T33" i="1"/>
  <c r="Y6" i="1" l="1"/>
  <c r="X33" i="1"/>
  <c r="X23" i="2"/>
  <c r="Y6" i="2"/>
</calcChain>
</file>

<file path=xl/sharedStrings.xml><?xml version="1.0" encoding="utf-8"?>
<sst xmlns="http://schemas.openxmlformats.org/spreadsheetml/2006/main" count="170" uniqueCount="123">
  <si>
    <t>Makine ve Tasarım Teknolojisi Alanı — Makine Bakım Onarım Dalı</t>
  </si>
  <si>
    <t>İŞLETMELERDE BECERİ EĞİTİMİ YIL SONU BECERİ SINAVI DEĞERLENDİRME ÇİZELGESİ — 2025-2026</t>
  </si>
  <si>
    <t>Öğrenci
No</t>
  </si>
  <si>
    <t>Adı</t>
  </si>
  <si>
    <t>Soyadı</t>
  </si>
  <si>
    <t>KOD
D/M</t>
  </si>
  <si>
    <t>◀  1. DÖNEM İŞLETME NOTLARI  ▶</t>
  </si>
  <si>
    <t>◀  2. DÖNEM İŞLETME NOTLARI  ▶</t>
  </si>
  <si>
    <t>GENEL
DÖNEM
ORT.
(L+S)/2</t>
  </si>
  <si>
    <t>İş Dosyası
Puanı
(100 üzerinden
girişi)</t>
  </si>
  <si>
    <t>Sınav
Puanı
(100 üzerinden
girişi)</t>
  </si>
  <si>
    <t>BECERİ
SINAV
PUANI
(U×%20)+(V×%80)</t>
  </si>
  <si>
    <t>YIL
SONU
(Sayı)</t>
  </si>
  <si>
    <t>YIL
SONU
(Yazı)</t>
  </si>
  <si>
    <t>SONUÇ</t>
  </si>
  <si>
    <t>Temrin
1</t>
  </si>
  <si>
    <t>Temrin
2</t>
  </si>
  <si>
    <t>İş/Hzm
1</t>
  </si>
  <si>
    <t>İş/Hzm
2</t>
  </si>
  <si>
    <t>Proje</t>
  </si>
  <si>
    <t>Deney</t>
  </si>
  <si>
    <t>DÖNEM
ORT.1</t>
  </si>
  <si>
    <t>DÖNEM
ORT.2</t>
  </si>
  <si>
    <t>EMRECAN</t>
  </si>
  <si>
    <t>KAYA</t>
  </si>
  <si>
    <t>MUHAMMET FURKAN</t>
  </si>
  <si>
    <t>ÇOBAN</t>
  </si>
  <si>
    <t>NAZLIM MERT</t>
  </si>
  <si>
    <t>ABAY</t>
  </si>
  <si>
    <t>ONUR</t>
  </si>
  <si>
    <t>EROL</t>
  </si>
  <si>
    <t>MUSTAFA</t>
  </si>
  <si>
    <t>KÖŞKER</t>
  </si>
  <si>
    <t>EMİRHAN</t>
  </si>
  <si>
    <t>SAMET</t>
  </si>
  <si>
    <t>KAPLAN</t>
  </si>
  <si>
    <t>KAAN</t>
  </si>
  <si>
    <t>AÇICIER</t>
  </si>
  <si>
    <t>DEVRİM</t>
  </si>
  <si>
    <t>SAL</t>
  </si>
  <si>
    <t>ANIL</t>
  </si>
  <si>
    <t>ERİM</t>
  </si>
  <si>
    <t>TURAN</t>
  </si>
  <si>
    <t>BEDİRHAN</t>
  </si>
  <si>
    <t>CEYHAN</t>
  </si>
  <si>
    <t>OĞUZHAN</t>
  </si>
  <si>
    <t>ÇAKIR</t>
  </si>
  <si>
    <t>ARDA</t>
  </si>
  <si>
    <t>ÖZCAN</t>
  </si>
  <si>
    <t>BATUHAN</t>
  </si>
  <si>
    <t>USTA</t>
  </si>
  <si>
    <t>CAFER</t>
  </si>
  <si>
    <t>ÇELİK</t>
  </si>
  <si>
    <t>İSMAİL MERT</t>
  </si>
  <si>
    <t>GELİR</t>
  </si>
  <si>
    <t>KADİR EFE</t>
  </si>
  <si>
    <t>KURMALI</t>
  </si>
  <si>
    <t>MEHMET</t>
  </si>
  <si>
    <t>MUTLU</t>
  </si>
  <si>
    <t>MERTHAN</t>
  </si>
  <si>
    <t>YILDIRIM</t>
  </si>
  <si>
    <t>MUHAMMET</t>
  </si>
  <si>
    <t>KAYSIZIN</t>
  </si>
  <si>
    <t>ŞEVKİCAN</t>
  </si>
  <si>
    <t>ŞEN</t>
  </si>
  <si>
    <t>BERAT</t>
  </si>
  <si>
    <t>MUYAN</t>
  </si>
  <si>
    <t>MURAT EREN</t>
  </si>
  <si>
    <t>YİĞİT</t>
  </si>
  <si>
    <t>SELİM</t>
  </si>
  <si>
    <t>SEMİH</t>
  </si>
  <si>
    <t>DEMİRCİ</t>
  </si>
  <si>
    <t>SINIF ORTALAMASI</t>
  </si>
  <si>
    <t>Komisyon Üyesi</t>
  </si>
  <si>
    <t>Koordinatör Müdür Yardımcısı</t>
  </si>
  <si>
    <t>Okul Müdürü</t>
  </si>
  <si>
    <t>Seyit Ömer ŞEKER
Alan Öğretmeni</t>
  </si>
  <si>
    <t>Esra BODUR</t>
  </si>
  <si>
    <t>Ahmet AÇAR</t>
  </si>
  <si>
    <t>ÖMER</t>
  </si>
  <si>
    <t>ARDIÇ</t>
  </si>
  <si>
    <t>BARIŞ</t>
  </si>
  <si>
    <t>GÜR</t>
  </si>
  <si>
    <t>HÜSEYİN</t>
  </si>
  <si>
    <t>BİÇER</t>
  </si>
  <si>
    <t>AKSOY</t>
  </si>
  <si>
    <t>BURAK</t>
  </si>
  <si>
    <t>ASKAY</t>
  </si>
  <si>
    <t>KARAARSLAN</t>
  </si>
  <si>
    <t>ENES</t>
  </si>
  <si>
    <t>ARSLANCAN</t>
  </si>
  <si>
    <t>HAYATİCAN</t>
  </si>
  <si>
    <t>SEMİZ</t>
  </si>
  <si>
    <t>HÜZEYFE</t>
  </si>
  <si>
    <t>ATICI</t>
  </si>
  <si>
    <t>İSMAİL</t>
  </si>
  <si>
    <t>DOĞAN</t>
  </si>
  <si>
    <t>RECEP EREN</t>
  </si>
  <si>
    <t>AKAR</t>
  </si>
  <si>
    <t>ALPER</t>
  </si>
  <si>
    <t>UYGUN</t>
  </si>
  <si>
    <t>BİROL UFUK</t>
  </si>
  <si>
    <t>CENGİZ</t>
  </si>
  <si>
    <t>BÜNYAMİN EFE</t>
  </si>
  <si>
    <t>AKBAŞ</t>
  </si>
  <si>
    <t>İSMAİLCAN</t>
  </si>
  <si>
    <t>MEHMET CAN</t>
  </si>
  <si>
    <t>DAYAN</t>
  </si>
  <si>
    <t>Komisyon Başkanı</t>
  </si>
  <si>
    <t>Ali Osman KOÇ
Makine Tek. Alan Şefi</t>
  </si>
  <si>
    <t>Arzu KIRICI
CAD / CAM Atölye Şefi</t>
  </si>
  <si>
    <t>Koordinatör Mdr. Yrd.</t>
  </si>
  <si>
    <t>Komisyon Başkanı
    Okul Müdürü</t>
  </si>
  <si>
    <t xml:space="preserve">    Ahmet AÇAR</t>
  </si>
  <si>
    <t>Sıra
No</t>
  </si>
  <si>
    <t>Soma Mesleki ve Teknik Anadolu Lisesi</t>
  </si>
  <si>
    <t xml:space="preserve">                             Şerif YETİM
                            İmalat İşlemleri Atölye Şefi</t>
  </si>
  <si>
    <t xml:space="preserve">                                  Komisyon Üyesi</t>
  </si>
  <si>
    <t xml:space="preserve">   Esra BODUR</t>
  </si>
  <si>
    <t>Gökhan ARSLAN
İmalat Yöntemleri Atölye Şefi</t>
  </si>
  <si>
    <t>D</t>
  </si>
  <si>
    <t xml:space="preserve"> 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</si>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</sst>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Times New Roman"/>
    </font>
    <font>
      <b/>
      <sz val="8"/>
      <name val="Times New Roman"/>
    </font>
    <font>
      <b/>
      <sz val="10"/>
      <name val="Times New Roman"/>
    </font>
    <font>
      <sz val="8"/>
      <name val="Times New Roman"/>
    </font>
    <font>
      <sz val="9"/>
      <name val="Times New Roman"/>
    </font>
    <font>
      <b/>
      <sz val="9"/>
      <name val="Times New Roman"/>
      <family val="1"/>
      <charset val="162"/>
    </font>
    <font>
      <b/>
      <sz val="15"/>
      <name val="Times New Roman"/>
      <family val="1"/>
      <charset val="162"/>
    </font>
    <font>
      <sz val="15"/>
      <name val="Calibri"/>
      <family val="2"/>
      <scheme val="minor"/>
    </font>
    <font>
      <b/>
      <sz val="12"/>
      <name val="Times New Roman"/>
      <family val="1"/>
      <charset val="162"/>
    </font>
    <font>
      <sz val="12"/>
      <color theme="1"/>
      <name val="Calibri"/>
      <family val="2"/>
      <scheme val="minor"/>
    </font>
    <font>
      <sz val="9"/>
      <name val="Times New Roman"/>
      <family val="1"/>
      <charset val="162"/>
    </font>
    <font>
      <b/>
      <sz val="8"/>
      <name val="Times New Roman"/>
      <family val="1"/>
      <charset val="162"/>
    </font>
    <font>
      <sz val="12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5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0" fillId="0" borderId="0" xfId="0" applyBorder="1"/>
    <xf numFmtId="0" fontId="14" fillId="2" borderId="0" xfId="0" applyFont="1" applyFill="1" applyBorder="1" applyAlignment="1"/>
    <xf numFmtId="0" fontId="14" fillId="2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0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2" borderId="0" xfId="0" applyFont="1" applyFill="1"/>
    <xf numFmtId="0" fontId="16" fillId="2" borderId="0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7D5A00"/>
        <name val="Times New Roman"/>
      </font>
      <fill>
        <patternFill patternType="solid">
          <fgColor rgb="FFFFF2CC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7D6608"/>
        <name val="Times New Roman"/>
      </font>
      <fill>
        <patternFill patternType="solid">
          <fgColor rgb="FFFFF2CC"/>
        </patternFill>
      </fill>
    </dxf>
    <dxf>
      <font>
        <b/>
        <color rgb="FF4A235A"/>
        <name val="Times New Roman"/>
      </font>
      <fill>
        <patternFill patternType="solid">
          <fgColor rgb="FFE8DAEF"/>
        </patternFill>
      </fill>
    </dxf>
    <dxf>
      <font>
        <b/>
        <color rgb="FF9C0006"/>
        <name val="Times New Roman"/>
      </font>
      <fill>
        <patternFill patternType="solid">
          <fgColor rgb="FFFCE4D6"/>
        </patternFill>
      </fill>
    </dxf>
    <dxf>
      <font>
        <b/>
        <color rgb="FF375623"/>
        <name val="Times New Roman"/>
      </font>
      <fill>
        <patternFill patternType="solid">
          <fgColor rgb="FFE2EFDA"/>
        </patternFill>
      </fill>
    </dxf>
  </dxfs>
  <tableStyles count="0" defaultTableStyle="TableStyleMedium9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8"/>
  <sheetViews>
    <sheetView showGridLines="0" topLeftCell="A21" zoomScaleNormal="100" workbookViewId="0">
      <selection activeCell="Y14" sqref="Y14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6" ht="36.75" customHeight="1" x14ac:dyDescent="0.25">
      <c r="A1" s="21" t="s">
        <v>115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7.75" customHeight="1" x14ac:dyDescent="0.25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38.25" customHeight="1" x14ac:dyDescent="0.3">
      <c r="A3" s="21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36.75" customHeight="1" x14ac:dyDescent="0.25">
      <c r="A4" s="23" t="s">
        <v>114</v>
      </c>
      <c r="B4" s="17" t="s">
        <v>2</v>
      </c>
      <c r="C4" s="17" t="s">
        <v>3</v>
      </c>
      <c r="D4" s="17" t="s">
        <v>4</v>
      </c>
      <c r="E4" s="25" t="s">
        <v>5</v>
      </c>
      <c r="F4" s="26" t="s">
        <v>6</v>
      </c>
      <c r="G4" s="18"/>
      <c r="H4" s="18"/>
      <c r="I4" s="18"/>
      <c r="J4" s="18"/>
      <c r="K4" s="18"/>
      <c r="L4" s="18"/>
      <c r="M4" s="26" t="s">
        <v>7</v>
      </c>
      <c r="N4" s="18"/>
      <c r="O4" s="18"/>
      <c r="P4" s="18"/>
      <c r="Q4" s="18"/>
      <c r="R4" s="18"/>
      <c r="S4" s="18"/>
      <c r="T4" s="17" t="s">
        <v>8</v>
      </c>
      <c r="U4" s="17" t="s">
        <v>9</v>
      </c>
      <c r="V4" s="17" t="s">
        <v>10</v>
      </c>
      <c r="W4" s="17" t="s">
        <v>11</v>
      </c>
      <c r="X4" s="17" t="s">
        <v>12</v>
      </c>
      <c r="Y4" s="17" t="s">
        <v>13</v>
      </c>
      <c r="Z4" s="17" t="s">
        <v>14</v>
      </c>
    </row>
    <row r="5" spans="1:26" ht="37.5" customHeight="1" x14ac:dyDescent="0.25">
      <c r="A5" s="18"/>
      <c r="B5" s="18"/>
      <c r="C5" s="18"/>
      <c r="D5" s="18"/>
      <c r="E5" s="18"/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3" t="s">
        <v>21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3" t="s">
        <v>22</v>
      </c>
      <c r="T5" s="18"/>
      <c r="U5" s="18"/>
      <c r="V5" s="18"/>
      <c r="W5" s="18"/>
      <c r="X5" s="18"/>
      <c r="Y5" s="18"/>
      <c r="Z5" s="18"/>
    </row>
    <row r="6" spans="1:26" ht="18" customHeight="1" x14ac:dyDescent="0.25">
      <c r="A6" s="4">
        <v>1</v>
      </c>
      <c r="B6" s="4">
        <v>43</v>
      </c>
      <c r="C6" s="5" t="s">
        <v>23</v>
      </c>
      <c r="D6" s="5" t="s">
        <v>24</v>
      </c>
      <c r="E6" s="6"/>
      <c r="F6" s="4">
        <v>90</v>
      </c>
      <c r="G6" s="4">
        <v>90</v>
      </c>
      <c r="H6" s="4">
        <v>90</v>
      </c>
      <c r="I6" s="4">
        <v>90</v>
      </c>
      <c r="J6" s="4">
        <v>90</v>
      </c>
      <c r="K6" s="4">
        <v>90</v>
      </c>
      <c r="L6" s="6">
        <f t="shared" ref="L6:L31" si="0">IFERROR(IF(OR(E6="D",E6="M"),"—",AVERAGE(F6:K6)),"")</f>
        <v>90</v>
      </c>
      <c r="M6" s="4">
        <v>95</v>
      </c>
      <c r="N6" s="4">
        <v>95</v>
      </c>
      <c r="O6" s="4">
        <v>95</v>
      </c>
      <c r="P6" s="4">
        <v>95</v>
      </c>
      <c r="Q6" s="4">
        <v>95</v>
      </c>
      <c r="R6" s="4">
        <v>95</v>
      </c>
      <c r="S6" s="6">
        <f t="shared" ref="S6:S31" si="1">IFERROR(IF(OR(E6="D",E6="M"),"—",AVERAGE(M6:R6)),"")</f>
        <v>95</v>
      </c>
      <c r="T6" s="6">
        <f t="shared" ref="T6:T31" si="2">IFERROR(IF(OR(E6="D",E6="M"),"—",AVERAGE(L6,S6)),"")</f>
        <v>92.5</v>
      </c>
      <c r="U6" s="4">
        <v>85</v>
      </c>
      <c r="V6" s="4">
        <v>58</v>
      </c>
      <c r="W6" s="6">
        <f t="shared" ref="W6:W31" si="3">IFERROR(IF(OR(E6="D",E6="M"),"—",ROUND((U6*0.2)+(V6*0.8),2)),"")</f>
        <v>63.4</v>
      </c>
      <c r="X6" s="6">
        <f t="shared" ref="X6:X31" si="4">IFERROR(IF(OR(E6="D",E6="M"),"—",ROUND(AVERAGE(T6,W6),2)),"")</f>
        <v>77.95</v>
      </c>
      <c r="Y6" s="6" t="str">
        <f t="shared" ref="Y6:Y31" si="5">IFERROR(IF(OR(E6="D",E6="M"),"—",IF(X6="","—",IF(X6&gt;=85,"PEKİYİ",IF(X6&gt;=70,"İYİ",IF(X6&gt;=55,"ORTA",IF(X6&gt;=45,"GEÇER","BAŞARISIZ")))))),"")</f>
        <v>İYİ</v>
      </c>
      <c r="Z6" s="6" t="str">
        <f t="shared" ref="Z6:Z31" si="6">IFERROR(IF(E6="D","🚫 DEVAMSIZLIK",IF(E6="M","⚠️ MUAF",IF(W6="","—",IF(W6&lt;50,"🔴 BAŞARISIZ",IF(W6&gt;=70,"🟢 BAŞARILI",IF(X6&gt;=50,"🟢 BAŞARILI","🔴 BAŞARISIZ")))))),"")</f>
        <v>🟢 BAŞARILI</v>
      </c>
    </row>
    <row r="7" spans="1:26" ht="18" customHeight="1" x14ac:dyDescent="0.25">
      <c r="A7" s="4">
        <v>2</v>
      </c>
      <c r="B7" s="4">
        <v>332</v>
      </c>
      <c r="C7" s="5" t="s">
        <v>25</v>
      </c>
      <c r="D7" s="5" t="s">
        <v>26</v>
      </c>
      <c r="E7" s="6"/>
      <c r="F7" s="4">
        <v>97</v>
      </c>
      <c r="G7" s="4">
        <v>97</v>
      </c>
      <c r="H7" s="4">
        <v>97</v>
      </c>
      <c r="I7" s="4">
        <v>97</v>
      </c>
      <c r="J7" s="4">
        <v>97</v>
      </c>
      <c r="K7" s="4">
        <v>97</v>
      </c>
      <c r="L7" s="6">
        <f t="shared" si="0"/>
        <v>97</v>
      </c>
      <c r="M7" s="4">
        <v>60</v>
      </c>
      <c r="N7" s="4">
        <v>80</v>
      </c>
      <c r="O7" s="4">
        <v>80</v>
      </c>
      <c r="P7" s="4">
        <v>75</v>
      </c>
      <c r="Q7" s="4">
        <v>70</v>
      </c>
      <c r="R7" s="4">
        <v>90</v>
      </c>
      <c r="S7" s="6">
        <f t="shared" si="1"/>
        <v>75.833333333333329</v>
      </c>
      <c r="T7" s="6">
        <f t="shared" si="2"/>
        <v>86.416666666666657</v>
      </c>
      <c r="U7" s="4">
        <v>70</v>
      </c>
      <c r="V7" s="4">
        <v>86</v>
      </c>
      <c r="W7" s="6">
        <f t="shared" si="3"/>
        <v>82.8</v>
      </c>
      <c r="X7" s="6">
        <f t="shared" si="4"/>
        <v>84.61</v>
      </c>
      <c r="Y7" s="6" t="str">
        <f t="shared" si="5"/>
        <v>İYİ</v>
      </c>
      <c r="Z7" s="6" t="str">
        <f t="shared" si="6"/>
        <v>🟢 BAŞARILI</v>
      </c>
    </row>
    <row r="8" spans="1:26" ht="18" customHeight="1" x14ac:dyDescent="0.25">
      <c r="A8" s="4">
        <v>3</v>
      </c>
      <c r="B8" s="4">
        <v>414</v>
      </c>
      <c r="C8" s="5" t="s">
        <v>27</v>
      </c>
      <c r="D8" s="5" t="s">
        <v>28</v>
      </c>
      <c r="E8" s="6"/>
      <c r="F8" s="4">
        <v>95</v>
      </c>
      <c r="G8" s="4">
        <v>96</v>
      </c>
      <c r="H8" s="4">
        <v>96</v>
      </c>
      <c r="I8" s="4">
        <v>97</v>
      </c>
      <c r="J8" s="4">
        <v>95</v>
      </c>
      <c r="K8" s="4">
        <v>98</v>
      </c>
      <c r="L8" s="6">
        <f t="shared" si="0"/>
        <v>96.166666666666671</v>
      </c>
      <c r="M8" s="4">
        <v>96</v>
      </c>
      <c r="N8" s="4">
        <v>97</v>
      </c>
      <c r="O8" s="4">
        <v>98</v>
      </c>
      <c r="P8" s="4">
        <v>98</v>
      </c>
      <c r="Q8" s="4">
        <v>97</v>
      </c>
      <c r="R8" s="4">
        <v>97</v>
      </c>
      <c r="S8" s="6">
        <f t="shared" si="1"/>
        <v>97.166666666666671</v>
      </c>
      <c r="T8" s="6">
        <f t="shared" si="2"/>
        <v>96.666666666666671</v>
      </c>
      <c r="U8" s="4">
        <v>80</v>
      </c>
      <c r="V8" s="4">
        <v>88</v>
      </c>
      <c r="W8" s="6">
        <f t="shared" si="3"/>
        <v>86.4</v>
      </c>
      <c r="X8" s="6">
        <f t="shared" si="4"/>
        <v>91.53</v>
      </c>
      <c r="Y8" s="6" t="str">
        <f t="shared" si="5"/>
        <v>PEKİYİ</v>
      </c>
      <c r="Z8" s="6" t="str">
        <f t="shared" si="6"/>
        <v>🟢 BAŞARILI</v>
      </c>
    </row>
    <row r="9" spans="1:26" ht="18" customHeight="1" x14ac:dyDescent="0.25">
      <c r="A9" s="4">
        <v>4</v>
      </c>
      <c r="B9" s="4">
        <v>452</v>
      </c>
      <c r="C9" s="5" t="s">
        <v>29</v>
      </c>
      <c r="D9" s="5" t="s">
        <v>30</v>
      </c>
      <c r="E9" s="6"/>
      <c r="F9" s="4">
        <v>96</v>
      </c>
      <c r="G9" s="4">
        <v>97</v>
      </c>
      <c r="H9" s="4">
        <v>97</v>
      </c>
      <c r="I9" s="4">
        <v>98</v>
      </c>
      <c r="J9" s="4">
        <v>96</v>
      </c>
      <c r="K9" s="4">
        <v>97</v>
      </c>
      <c r="L9" s="6">
        <f t="shared" si="0"/>
        <v>96.833333333333329</v>
      </c>
      <c r="M9" s="4">
        <v>97</v>
      </c>
      <c r="N9" s="4">
        <v>97</v>
      </c>
      <c r="O9" s="4">
        <v>98</v>
      </c>
      <c r="P9" s="4">
        <v>98</v>
      </c>
      <c r="Q9" s="4">
        <v>98</v>
      </c>
      <c r="R9" s="4">
        <v>97</v>
      </c>
      <c r="S9" s="6">
        <f t="shared" si="1"/>
        <v>97.5</v>
      </c>
      <c r="T9" s="6">
        <f t="shared" si="2"/>
        <v>97.166666666666657</v>
      </c>
      <c r="U9" s="4">
        <v>85</v>
      </c>
      <c r="V9" s="4">
        <v>82</v>
      </c>
      <c r="W9" s="6">
        <f t="shared" si="3"/>
        <v>82.6</v>
      </c>
      <c r="X9" s="6">
        <f t="shared" si="4"/>
        <v>89.88</v>
      </c>
      <c r="Y9" s="6" t="str">
        <f t="shared" si="5"/>
        <v>PEKİYİ</v>
      </c>
      <c r="Z9" s="6" t="str">
        <f t="shared" si="6"/>
        <v>🟢 BAŞARILI</v>
      </c>
    </row>
    <row r="10" spans="1:26" ht="18" customHeight="1" x14ac:dyDescent="0.25">
      <c r="A10" s="4">
        <v>5</v>
      </c>
      <c r="B10" s="4">
        <v>463</v>
      </c>
      <c r="C10" s="5" t="s">
        <v>31</v>
      </c>
      <c r="D10" s="5" t="s">
        <v>32</v>
      </c>
      <c r="E10" s="6"/>
      <c r="F10" s="4">
        <v>90</v>
      </c>
      <c r="G10" s="4">
        <v>90</v>
      </c>
      <c r="H10" s="4">
        <v>90</v>
      </c>
      <c r="I10" s="4">
        <v>90</v>
      </c>
      <c r="J10" s="4">
        <v>90</v>
      </c>
      <c r="K10" s="4">
        <v>90</v>
      </c>
      <c r="L10" s="6">
        <f t="shared" si="0"/>
        <v>90</v>
      </c>
      <c r="M10" s="4">
        <v>95</v>
      </c>
      <c r="N10" s="4">
        <v>95</v>
      </c>
      <c r="O10" s="4">
        <v>95</v>
      </c>
      <c r="P10" s="4">
        <v>95</v>
      </c>
      <c r="Q10" s="4">
        <v>95</v>
      </c>
      <c r="R10" s="4">
        <v>95</v>
      </c>
      <c r="S10" s="6">
        <f t="shared" si="1"/>
        <v>95</v>
      </c>
      <c r="T10" s="6">
        <f t="shared" si="2"/>
        <v>92.5</v>
      </c>
      <c r="U10" s="4">
        <v>90</v>
      </c>
      <c r="V10" s="4">
        <v>82</v>
      </c>
      <c r="W10" s="6">
        <f t="shared" si="3"/>
        <v>83.6</v>
      </c>
      <c r="X10" s="6">
        <f t="shared" si="4"/>
        <v>88.05</v>
      </c>
      <c r="Y10" s="6" t="str">
        <f t="shared" si="5"/>
        <v>PEKİYİ</v>
      </c>
      <c r="Z10" s="6" t="str">
        <f t="shared" si="6"/>
        <v>🟢 BAŞARILI</v>
      </c>
    </row>
    <row r="11" spans="1:26" ht="18" customHeight="1" x14ac:dyDescent="0.25">
      <c r="A11" s="4">
        <v>6</v>
      </c>
      <c r="B11" s="4">
        <v>528</v>
      </c>
      <c r="C11" s="5" t="s">
        <v>33</v>
      </c>
      <c r="D11" s="5" t="s">
        <v>30</v>
      </c>
      <c r="E11" s="6"/>
      <c r="F11" s="4">
        <v>100</v>
      </c>
      <c r="G11" s="4">
        <v>100</v>
      </c>
      <c r="H11" s="4">
        <v>100</v>
      </c>
      <c r="I11" s="4">
        <v>100</v>
      </c>
      <c r="J11" s="4">
        <v>100</v>
      </c>
      <c r="K11" s="4">
        <v>100</v>
      </c>
      <c r="L11" s="6">
        <f t="shared" si="0"/>
        <v>100</v>
      </c>
      <c r="M11" s="4">
        <v>100</v>
      </c>
      <c r="N11" s="4">
        <v>100</v>
      </c>
      <c r="O11" s="4">
        <v>100</v>
      </c>
      <c r="P11" s="4">
        <v>100</v>
      </c>
      <c r="Q11" s="4">
        <v>100</v>
      </c>
      <c r="R11" s="4">
        <v>100</v>
      </c>
      <c r="S11" s="6">
        <f t="shared" si="1"/>
        <v>100</v>
      </c>
      <c r="T11" s="6">
        <f t="shared" si="2"/>
        <v>100</v>
      </c>
      <c r="U11" s="4">
        <v>55</v>
      </c>
      <c r="V11" s="4">
        <v>80</v>
      </c>
      <c r="W11" s="6">
        <f t="shared" si="3"/>
        <v>75</v>
      </c>
      <c r="X11" s="6">
        <f t="shared" si="4"/>
        <v>87.5</v>
      </c>
      <c r="Y11" s="6" t="str">
        <f t="shared" si="5"/>
        <v>PEKİYİ</v>
      </c>
      <c r="Z11" s="6" t="str">
        <f t="shared" si="6"/>
        <v>🟢 BAŞARILI</v>
      </c>
    </row>
    <row r="12" spans="1:26" ht="18" customHeight="1" x14ac:dyDescent="0.25">
      <c r="A12" s="4">
        <v>7</v>
      </c>
      <c r="B12" s="4">
        <v>530</v>
      </c>
      <c r="C12" s="5" t="s">
        <v>34</v>
      </c>
      <c r="D12" s="5" t="s">
        <v>35</v>
      </c>
      <c r="E12" s="6"/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6">
        <f t="shared" si="0"/>
        <v>100</v>
      </c>
      <c r="M12" s="4">
        <v>100</v>
      </c>
      <c r="N12" s="4">
        <v>100</v>
      </c>
      <c r="O12" s="4">
        <v>100</v>
      </c>
      <c r="P12" s="4">
        <v>100</v>
      </c>
      <c r="Q12" s="4">
        <v>100</v>
      </c>
      <c r="R12" s="4">
        <v>100</v>
      </c>
      <c r="S12" s="6">
        <f t="shared" si="1"/>
        <v>100</v>
      </c>
      <c r="T12" s="6">
        <f t="shared" si="2"/>
        <v>100</v>
      </c>
      <c r="U12" s="4">
        <v>80</v>
      </c>
      <c r="V12" s="4">
        <v>60</v>
      </c>
      <c r="W12" s="6">
        <f t="shared" si="3"/>
        <v>64</v>
      </c>
      <c r="X12" s="6">
        <f t="shared" si="4"/>
        <v>82</v>
      </c>
      <c r="Y12" s="6" t="str">
        <f t="shared" si="5"/>
        <v>İYİ</v>
      </c>
      <c r="Z12" s="6" t="str">
        <f t="shared" si="6"/>
        <v>🟢 BAŞARILI</v>
      </c>
    </row>
    <row r="13" spans="1:26" ht="18" customHeight="1" x14ac:dyDescent="0.25">
      <c r="A13" s="4">
        <v>8</v>
      </c>
      <c r="B13" s="4">
        <v>549</v>
      </c>
      <c r="C13" s="5" t="s">
        <v>36</v>
      </c>
      <c r="D13" s="5" t="s">
        <v>37</v>
      </c>
      <c r="E13" s="6"/>
      <c r="F13" s="4">
        <v>95</v>
      </c>
      <c r="G13" s="4">
        <v>95</v>
      </c>
      <c r="H13" s="4">
        <v>95</v>
      </c>
      <c r="I13" s="4">
        <v>95</v>
      </c>
      <c r="J13" s="4">
        <v>95</v>
      </c>
      <c r="K13" s="4">
        <v>95</v>
      </c>
      <c r="L13" s="6">
        <f t="shared" si="0"/>
        <v>95</v>
      </c>
      <c r="M13" s="4">
        <v>100</v>
      </c>
      <c r="N13" s="4">
        <v>100</v>
      </c>
      <c r="O13" s="4">
        <v>100</v>
      </c>
      <c r="P13" s="4">
        <v>100</v>
      </c>
      <c r="Q13" s="4">
        <v>100</v>
      </c>
      <c r="R13" s="4">
        <v>100</v>
      </c>
      <c r="S13" s="6">
        <f t="shared" si="1"/>
        <v>100</v>
      </c>
      <c r="T13" s="6">
        <f t="shared" si="2"/>
        <v>97.5</v>
      </c>
      <c r="U13" s="4">
        <v>95</v>
      </c>
      <c r="V13" s="4">
        <v>80</v>
      </c>
      <c r="W13" s="6">
        <f t="shared" si="3"/>
        <v>83</v>
      </c>
      <c r="X13" s="6">
        <f t="shared" si="4"/>
        <v>90.25</v>
      </c>
      <c r="Y13" s="6" t="str">
        <f t="shared" si="5"/>
        <v>PEKİYİ</v>
      </c>
      <c r="Z13" s="6" t="str">
        <f t="shared" si="6"/>
        <v>🟢 BAŞARILI</v>
      </c>
    </row>
    <row r="14" spans="1:26" ht="18" customHeight="1" x14ac:dyDescent="0.25">
      <c r="A14" s="4">
        <v>9</v>
      </c>
      <c r="B14" s="4">
        <v>563</v>
      </c>
      <c r="C14" s="5" t="s">
        <v>38</v>
      </c>
      <c r="D14" s="5" t="s">
        <v>39</v>
      </c>
      <c r="E14" s="6"/>
      <c r="F14" s="4">
        <v>70</v>
      </c>
      <c r="G14" s="4">
        <v>70</v>
      </c>
      <c r="H14" s="4">
        <v>70</v>
      </c>
      <c r="I14" s="4">
        <v>70</v>
      </c>
      <c r="J14" s="4">
        <v>70</v>
      </c>
      <c r="K14" s="4">
        <v>70</v>
      </c>
      <c r="L14" s="6">
        <f t="shared" si="0"/>
        <v>70</v>
      </c>
      <c r="M14" s="4">
        <v>70</v>
      </c>
      <c r="N14" s="4">
        <v>70</v>
      </c>
      <c r="O14" s="4">
        <v>70</v>
      </c>
      <c r="P14" s="4">
        <v>70</v>
      </c>
      <c r="Q14" s="4">
        <v>70</v>
      </c>
      <c r="R14" s="4">
        <v>70</v>
      </c>
      <c r="S14" s="6">
        <f t="shared" si="1"/>
        <v>70</v>
      </c>
      <c r="T14" s="6">
        <f t="shared" si="2"/>
        <v>70</v>
      </c>
      <c r="U14" s="4">
        <v>0</v>
      </c>
      <c r="V14" s="4">
        <v>54</v>
      </c>
      <c r="W14" s="6">
        <f t="shared" si="3"/>
        <v>43.2</v>
      </c>
      <c r="X14" s="6">
        <f t="shared" si="4"/>
        <v>56.6</v>
      </c>
      <c r="Y14" s="6" t="str">
        <f t="shared" si="5"/>
        <v>ORTA</v>
      </c>
      <c r="Z14" s="6" t="str">
        <f t="shared" si="6"/>
        <v>🔴 BAŞARISIZ</v>
      </c>
    </row>
    <row r="15" spans="1:26" ht="18" customHeight="1" x14ac:dyDescent="0.25">
      <c r="A15" s="4">
        <v>10</v>
      </c>
      <c r="B15" s="4">
        <v>570</v>
      </c>
      <c r="C15" s="5" t="s">
        <v>40</v>
      </c>
      <c r="D15" s="5" t="s">
        <v>29</v>
      </c>
      <c r="E15" s="6"/>
      <c r="F15" s="4">
        <v>96</v>
      </c>
      <c r="G15" s="4">
        <v>97</v>
      </c>
      <c r="H15" s="4">
        <v>96</v>
      </c>
      <c r="I15" s="4">
        <v>96</v>
      </c>
      <c r="J15" s="4">
        <v>96</v>
      </c>
      <c r="K15" s="4">
        <v>97</v>
      </c>
      <c r="L15" s="6">
        <f t="shared" si="0"/>
        <v>96.333333333333329</v>
      </c>
      <c r="M15" s="4">
        <v>96</v>
      </c>
      <c r="N15" s="4">
        <v>96</v>
      </c>
      <c r="O15" s="4">
        <v>95</v>
      </c>
      <c r="P15" s="4">
        <v>95</v>
      </c>
      <c r="Q15" s="4">
        <v>96</v>
      </c>
      <c r="R15" s="4">
        <v>96</v>
      </c>
      <c r="S15" s="6">
        <f t="shared" si="1"/>
        <v>95.666666666666671</v>
      </c>
      <c r="T15" s="6">
        <f t="shared" si="2"/>
        <v>96</v>
      </c>
      <c r="U15" s="4">
        <v>100</v>
      </c>
      <c r="V15" s="4">
        <v>84</v>
      </c>
      <c r="W15" s="6">
        <f t="shared" si="3"/>
        <v>87.2</v>
      </c>
      <c r="X15" s="6">
        <f t="shared" si="4"/>
        <v>91.6</v>
      </c>
      <c r="Y15" s="6" t="str">
        <f t="shared" si="5"/>
        <v>PEKİYİ</v>
      </c>
      <c r="Z15" s="6" t="str">
        <f t="shared" si="6"/>
        <v>🟢 BAŞARILI</v>
      </c>
    </row>
    <row r="16" spans="1:26" ht="18" customHeight="1" x14ac:dyDescent="0.25">
      <c r="A16" s="4">
        <v>11</v>
      </c>
      <c r="B16" s="4">
        <v>577</v>
      </c>
      <c r="C16" s="5" t="s">
        <v>41</v>
      </c>
      <c r="D16" s="5" t="s">
        <v>42</v>
      </c>
      <c r="E16" s="6"/>
      <c r="F16" s="4">
        <v>90</v>
      </c>
      <c r="G16" s="4">
        <v>90</v>
      </c>
      <c r="H16" s="4">
        <v>90</v>
      </c>
      <c r="I16" s="4">
        <v>90</v>
      </c>
      <c r="J16" s="4">
        <v>90</v>
      </c>
      <c r="K16" s="4">
        <v>90</v>
      </c>
      <c r="L16" s="6">
        <f t="shared" si="0"/>
        <v>90</v>
      </c>
      <c r="M16" s="4">
        <v>90</v>
      </c>
      <c r="N16" s="4">
        <v>90</v>
      </c>
      <c r="O16" s="4">
        <v>90</v>
      </c>
      <c r="P16" s="4">
        <v>90</v>
      </c>
      <c r="Q16" s="4">
        <v>90</v>
      </c>
      <c r="R16" s="4">
        <v>90</v>
      </c>
      <c r="S16" s="6">
        <f t="shared" si="1"/>
        <v>90</v>
      </c>
      <c r="T16" s="6">
        <f t="shared" si="2"/>
        <v>90</v>
      </c>
      <c r="U16" s="4">
        <v>45</v>
      </c>
      <c r="V16" s="4">
        <v>82</v>
      </c>
      <c r="W16" s="6">
        <f t="shared" si="3"/>
        <v>74.599999999999994</v>
      </c>
      <c r="X16" s="6">
        <f t="shared" si="4"/>
        <v>82.3</v>
      </c>
      <c r="Y16" s="6" t="str">
        <f t="shared" si="5"/>
        <v>İYİ</v>
      </c>
      <c r="Z16" s="6" t="str">
        <f t="shared" si="6"/>
        <v>🟢 BAŞARILI</v>
      </c>
    </row>
    <row r="17" spans="1:26" ht="18" customHeight="1" x14ac:dyDescent="0.25">
      <c r="A17" s="4">
        <v>12</v>
      </c>
      <c r="B17" s="4">
        <v>640</v>
      </c>
      <c r="C17" s="5" t="s">
        <v>43</v>
      </c>
      <c r="D17" s="5" t="s">
        <v>44</v>
      </c>
      <c r="E17" s="6"/>
      <c r="F17" s="4">
        <v>99</v>
      </c>
      <c r="G17" s="4">
        <v>100</v>
      </c>
      <c r="H17" s="4">
        <v>100</v>
      </c>
      <c r="I17" s="4">
        <v>100</v>
      </c>
      <c r="J17" s="4">
        <v>99</v>
      </c>
      <c r="K17" s="4">
        <v>100</v>
      </c>
      <c r="L17" s="6">
        <f t="shared" si="0"/>
        <v>99.666666666666671</v>
      </c>
      <c r="M17" s="4">
        <v>99</v>
      </c>
      <c r="N17" s="4">
        <v>100</v>
      </c>
      <c r="O17" s="4">
        <v>99</v>
      </c>
      <c r="P17" s="4">
        <v>100</v>
      </c>
      <c r="Q17" s="4">
        <v>100</v>
      </c>
      <c r="R17" s="4">
        <v>100</v>
      </c>
      <c r="S17" s="6">
        <f t="shared" si="1"/>
        <v>99.666666666666671</v>
      </c>
      <c r="T17" s="6">
        <f t="shared" si="2"/>
        <v>99.666666666666671</v>
      </c>
      <c r="U17" s="4">
        <v>85</v>
      </c>
      <c r="V17" s="4">
        <v>86</v>
      </c>
      <c r="W17" s="6">
        <f t="shared" si="3"/>
        <v>85.8</v>
      </c>
      <c r="X17" s="6">
        <f t="shared" si="4"/>
        <v>92.73</v>
      </c>
      <c r="Y17" s="6" t="str">
        <f t="shared" si="5"/>
        <v>PEKİYİ</v>
      </c>
      <c r="Z17" s="6" t="str">
        <f t="shared" si="6"/>
        <v>🟢 BAŞARILI</v>
      </c>
    </row>
    <row r="18" spans="1:26" ht="18" customHeight="1" x14ac:dyDescent="0.25">
      <c r="A18" s="4">
        <v>13</v>
      </c>
      <c r="B18" s="4">
        <v>646</v>
      </c>
      <c r="C18" s="5" t="s">
        <v>45</v>
      </c>
      <c r="D18" s="5" t="s">
        <v>46</v>
      </c>
      <c r="E18" s="6"/>
      <c r="F18" s="4">
        <v>70</v>
      </c>
      <c r="G18" s="4">
        <v>70</v>
      </c>
      <c r="H18" s="4">
        <v>70</v>
      </c>
      <c r="I18" s="4">
        <v>70</v>
      </c>
      <c r="J18" s="4">
        <v>70</v>
      </c>
      <c r="K18" s="4">
        <v>70</v>
      </c>
      <c r="L18" s="6">
        <f t="shared" si="0"/>
        <v>70</v>
      </c>
      <c r="M18" s="4">
        <v>80</v>
      </c>
      <c r="N18" s="4">
        <v>80</v>
      </c>
      <c r="O18" s="4">
        <v>80</v>
      </c>
      <c r="P18" s="4">
        <v>80</v>
      </c>
      <c r="Q18" s="4">
        <v>80</v>
      </c>
      <c r="R18" s="4">
        <v>80</v>
      </c>
      <c r="S18" s="6">
        <f t="shared" si="1"/>
        <v>80</v>
      </c>
      <c r="T18" s="6">
        <f t="shared" si="2"/>
        <v>75</v>
      </c>
      <c r="U18" s="4">
        <v>30</v>
      </c>
      <c r="V18" s="4">
        <v>82</v>
      </c>
      <c r="W18" s="6">
        <f t="shared" si="3"/>
        <v>71.599999999999994</v>
      </c>
      <c r="X18" s="6">
        <f t="shared" si="4"/>
        <v>73.3</v>
      </c>
      <c r="Y18" s="6" t="str">
        <f t="shared" si="5"/>
        <v>İYİ</v>
      </c>
      <c r="Z18" s="6" t="str">
        <f t="shared" si="6"/>
        <v>🟢 BAŞARILI</v>
      </c>
    </row>
    <row r="19" spans="1:26" ht="18" customHeight="1" x14ac:dyDescent="0.25">
      <c r="A19" s="4">
        <v>14</v>
      </c>
      <c r="B19" s="4">
        <v>22079</v>
      </c>
      <c r="C19" s="5" t="s">
        <v>47</v>
      </c>
      <c r="D19" s="5" t="s">
        <v>48</v>
      </c>
      <c r="E19" s="6"/>
      <c r="F19" s="4">
        <v>99</v>
      </c>
      <c r="G19" s="4">
        <v>99</v>
      </c>
      <c r="H19" s="4">
        <v>99</v>
      </c>
      <c r="I19" s="4">
        <v>100</v>
      </c>
      <c r="J19" s="4">
        <v>99</v>
      </c>
      <c r="K19" s="4">
        <v>100</v>
      </c>
      <c r="L19" s="6">
        <f t="shared" si="0"/>
        <v>99.333333333333329</v>
      </c>
      <c r="M19" s="4">
        <v>99</v>
      </c>
      <c r="N19" s="4">
        <v>100</v>
      </c>
      <c r="O19" s="4">
        <v>99</v>
      </c>
      <c r="P19" s="4">
        <v>100</v>
      </c>
      <c r="Q19" s="4">
        <v>100</v>
      </c>
      <c r="R19" s="4">
        <v>100</v>
      </c>
      <c r="S19" s="6">
        <f t="shared" si="1"/>
        <v>99.666666666666671</v>
      </c>
      <c r="T19" s="6">
        <f t="shared" si="2"/>
        <v>99.5</v>
      </c>
      <c r="U19" s="4">
        <v>85</v>
      </c>
      <c r="V19" s="4">
        <v>90</v>
      </c>
      <c r="W19" s="6">
        <f t="shared" si="3"/>
        <v>89</v>
      </c>
      <c r="X19" s="6">
        <f t="shared" si="4"/>
        <v>94.25</v>
      </c>
      <c r="Y19" s="6" t="str">
        <f t="shared" si="5"/>
        <v>PEKİYİ</v>
      </c>
      <c r="Z19" s="6" t="str">
        <f t="shared" si="6"/>
        <v>🟢 BAŞARILI</v>
      </c>
    </row>
    <row r="20" spans="1:26" ht="18" customHeight="1" x14ac:dyDescent="0.25">
      <c r="A20" s="4">
        <v>15</v>
      </c>
      <c r="B20" s="4">
        <v>22081</v>
      </c>
      <c r="C20" s="5" t="s">
        <v>49</v>
      </c>
      <c r="D20" s="5" t="s">
        <v>50</v>
      </c>
      <c r="E20" s="6"/>
      <c r="F20" s="4">
        <v>100</v>
      </c>
      <c r="G20" s="4">
        <v>100</v>
      </c>
      <c r="H20" s="4">
        <v>100</v>
      </c>
      <c r="I20" s="4">
        <v>100</v>
      </c>
      <c r="J20" s="4">
        <v>100</v>
      </c>
      <c r="K20" s="4">
        <v>100</v>
      </c>
      <c r="L20" s="6">
        <f t="shared" si="0"/>
        <v>100</v>
      </c>
      <c r="M20" s="4">
        <v>100</v>
      </c>
      <c r="N20" s="4">
        <v>100</v>
      </c>
      <c r="O20" s="4">
        <v>100</v>
      </c>
      <c r="P20" s="4">
        <v>100</v>
      </c>
      <c r="Q20" s="4">
        <v>100</v>
      </c>
      <c r="R20" s="4">
        <v>100</v>
      </c>
      <c r="S20" s="6">
        <f t="shared" si="1"/>
        <v>100</v>
      </c>
      <c r="T20" s="6">
        <f t="shared" si="2"/>
        <v>100</v>
      </c>
      <c r="U20" s="4">
        <v>85</v>
      </c>
      <c r="V20" s="4">
        <v>74</v>
      </c>
      <c r="W20" s="6">
        <f t="shared" si="3"/>
        <v>76.2</v>
      </c>
      <c r="X20" s="6">
        <f t="shared" si="4"/>
        <v>88.1</v>
      </c>
      <c r="Y20" s="6" t="str">
        <f t="shared" si="5"/>
        <v>PEKİYİ</v>
      </c>
      <c r="Z20" s="6" t="str">
        <f t="shared" si="6"/>
        <v>🟢 BAŞARILI</v>
      </c>
    </row>
    <row r="21" spans="1:26" ht="18" customHeight="1" x14ac:dyDescent="0.25">
      <c r="A21" s="4">
        <v>16</v>
      </c>
      <c r="B21" s="4">
        <v>22084</v>
      </c>
      <c r="C21" s="5" t="s">
        <v>51</v>
      </c>
      <c r="D21" s="5" t="s">
        <v>52</v>
      </c>
      <c r="E21" s="6"/>
      <c r="F21" s="4">
        <v>92</v>
      </c>
      <c r="G21" s="4">
        <v>96</v>
      </c>
      <c r="H21" s="4">
        <v>95</v>
      </c>
      <c r="I21" s="4">
        <v>98</v>
      </c>
      <c r="J21" s="4">
        <v>98</v>
      </c>
      <c r="K21" s="4">
        <v>98</v>
      </c>
      <c r="L21" s="6">
        <f t="shared" si="0"/>
        <v>96.166666666666671</v>
      </c>
      <c r="M21" s="4">
        <v>90</v>
      </c>
      <c r="N21" s="4">
        <v>96</v>
      </c>
      <c r="O21" s="4">
        <v>95</v>
      </c>
      <c r="P21" s="4">
        <v>98</v>
      </c>
      <c r="Q21" s="4">
        <v>94</v>
      </c>
      <c r="R21" s="4">
        <v>97</v>
      </c>
      <c r="S21" s="6">
        <f t="shared" si="1"/>
        <v>95</v>
      </c>
      <c r="T21" s="6">
        <f t="shared" si="2"/>
        <v>95.583333333333343</v>
      </c>
      <c r="U21" s="4">
        <v>100</v>
      </c>
      <c r="V21" s="4">
        <v>86</v>
      </c>
      <c r="W21" s="6">
        <f t="shared" si="3"/>
        <v>88.8</v>
      </c>
      <c r="X21" s="6">
        <f t="shared" si="4"/>
        <v>92.19</v>
      </c>
      <c r="Y21" s="6" t="str">
        <f t="shared" si="5"/>
        <v>PEKİYİ</v>
      </c>
      <c r="Z21" s="6" t="str">
        <f t="shared" si="6"/>
        <v>🟢 BAŞARILI</v>
      </c>
    </row>
    <row r="22" spans="1:26" ht="18" customHeight="1" x14ac:dyDescent="0.25">
      <c r="A22" s="4">
        <v>17</v>
      </c>
      <c r="B22" s="4">
        <v>22093</v>
      </c>
      <c r="C22" s="5" t="s">
        <v>53</v>
      </c>
      <c r="D22" s="5" t="s">
        <v>54</v>
      </c>
      <c r="E22" s="6"/>
      <c r="F22" s="4">
        <v>90</v>
      </c>
      <c r="G22" s="4">
        <v>90</v>
      </c>
      <c r="H22" s="4">
        <v>90</v>
      </c>
      <c r="I22" s="4">
        <v>90</v>
      </c>
      <c r="J22" s="4">
        <v>90</v>
      </c>
      <c r="K22" s="4">
        <v>90</v>
      </c>
      <c r="L22" s="6">
        <f t="shared" si="0"/>
        <v>90</v>
      </c>
      <c r="M22" s="4">
        <v>95</v>
      </c>
      <c r="N22" s="4">
        <v>95</v>
      </c>
      <c r="O22" s="4">
        <v>95</v>
      </c>
      <c r="P22" s="4">
        <v>95</v>
      </c>
      <c r="Q22" s="4">
        <v>95</v>
      </c>
      <c r="R22" s="4">
        <v>95</v>
      </c>
      <c r="S22" s="6">
        <f t="shared" si="1"/>
        <v>95</v>
      </c>
      <c r="T22" s="6">
        <f t="shared" si="2"/>
        <v>92.5</v>
      </c>
      <c r="U22" s="4">
        <v>90</v>
      </c>
      <c r="V22" s="4">
        <v>90</v>
      </c>
      <c r="W22" s="6">
        <f t="shared" si="3"/>
        <v>90</v>
      </c>
      <c r="X22" s="6">
        <f t="shared" si="4"/>
        <v>91.25</v>
      </c>
      <c r="Y22" s="6" t="str">
        <f t="shared" si="5"/>
        <v>PEKİYİ</v>
      </c>
      <c r="Z22" s="6" t="str">
        <f t="shared" si="6"/>
        <v>🟢 BAŞARILI</v>
      </c>
    </row>
    <row r="23" spans="1:26" ht="18" customHeight="1" x14ac:dyDescent="0.25">
      <c r="A23" s="4">
        <v>18</v>
      </c>
      <c r="B23" s="4">
        <v>22094</v>
      </c>
      <c r="C23" s="5" t="s">
        <v>55</v>
      </c>
      <c r="D23" s="5" t="s">
        <v>56</v>
      </c>
      <c r="E23" s="6" t="s">
        <v>120</v>
      </c>
      <c r="F23" s="4"/>
      <c r="G23" s="4"/>
      <c r="H23" s="4"/>
      <c r="I23" s="4"/>
      <c r="J23" s="4"/>
      <c r="K23" s="4"/>
      <c r="L23" s="6" t="str">
        <f t="shared" si="0"/>
        <v>—</v>
      </c>
      <c r="M23" s="4"/>
      <c r="N23" s="4"/>
      <c r="O23" s="4"/>
      <c r="P23" s="4"/>
      <c r="Q23" s="4"/>
      <c r="R23" s="4"/>
      <c r="S23" s="6" t="str">
        <f t="shared" si="1"/>
        <v>—</v>
      </c>
      <c r="T23" s="6" t="str">
        <f t="shared" si="2"/>
        <v>—</v>
      </c>
      <c r="U23" s="4"/>
      <c r="V23" s="4" t="s">
        <v>122</v>
      </c>
      <c r="W23" s="6" t="str">
        <f t="shared" si="3"/>
        <v>—</v>
      </c>
      <c r="X23" s="6" t="str">
        <f t="shared" si="4"/>
        <v>—</v>
      </c>
      <c r="Y23" s="6" t="str">
        <f t="shared" si="5"/>
        <v>—</v>
      </c>
      <c r="Z23" s="6" t="str">
        <f t="shared" si="6"/>
        <v>🚫 DEVAMSIZLIK</v>
      </c>
    </row>
    <row r="24" spans="1:26" ht="18" customHeight="1" x14ac:dyDescent="0.25">
      <c r="A24" s="4">
        <v>19</v>
      </c>
      <c r="B24" s="4">
        <v>22096</v>
      </c>
      <c r="C24" s="5" t="s">
        <v>57</v>
      </c>
      <c r="D24" s="5" t="s">
        <v>58</v>
      </c>
      <c r="E24" s="6"/>
      <c r="F24" s="4">
        <v>95</v>
      </c>
      <c r="G24" s="4">
        <v>92</v>
      </c>
      <c r="H24" s="4">
        <v>98</v>
      </c>
      <c r="I24" s="4">
        <v>95</v>
      </c>
      <c r="J24" s="4">
        <v>85</v>
      </c>
      <c r="K24" s="4">
        <v>87</v>
      </c>
      <c r="L24" s="6">
        <f t="shared" si="0"/>
        <v>92</v>
      </c>
      <c r="M24" s="4">
        <v>98</v>
      </c>
      <c r="N24" s="4">
        <v>92</v>
      </c>
      <c r="O24" s="4">
        <v>98</v>
      </c>
      <c r="P24" s="4">
        <v>95</v>
      </c>
      <c r="Q24" s="4">
        <v>85</v>
      </c>
      <c r="R24" s="4">
        <v>87</v>
      </c>
      <c r="S24" s="6">
        <f t="shared" si="1"/>
        <v>92.5</v>
      </c>
      <c r="T24" s="6">
        <f t="shared" si="2"/>
        <v>92.25</v>
      </c>
      <c r="U24" s="4">
        <v>85</v>
      </c>
      <c r="V24" s="4">
        <v>72</v>
      </c>
      <c r="W24" s="6">
        <f t="shared" si="3"/>
        <v>74.599999999999994</v>
      </c>
      <c r="X24" s="6">
        <f t="shared" si="4"/>
        <v>83.43</v>
      </c>
      <c r="Y24" s="6" t="str">
        <f t="shared" si="5"/>
        <v>İYİ</v>
      </c>
      <c r="Z24" s="6" t="str">
        <f t="shared" si="6"/>
        <v>🟢 BAŞARILI</v>
      </c>
    </row>
    <row r="25" spans="1:26" ht="18" customHeight="1" x14ac:dyDescent="0.25">
      <c r="A25" s="4">
        <v>20</v>
      </c>
      <c r="B25" s="4">
        <v>22098</v>
      </c>
      <c r="C25" s="5" t="s">
        <v>59</v>
      </c>
      <c r="D25" s="5" t="s">
        <v>60</v>
      </c>
      <c r="E25" s="6"/>
      <c r="F25" s="4">
        <v>99</v>
      </c>
      <c r="G25" s="4">
        <v>97</v>
      </c>
      <c r="H25" s="4">
        <v>98</v>
      </c>
      <c r="I25" s="4">
        <v>98</v>
      </c>
      <c r="J25" s="4">
        <v>100</v>
      </c>
      <c r="K25" s="4">
        <v>100</v>
      </c>
      <c r="L25" s="6">
        <f t="shared" si="0"/>
        <v>98.666666666666671</v>
      </c>
      <c r="M25" s="4">
        <v>100</v>
      </c>
      <c r="N25" s="4">
        <v>97</v>
      </c>
      <c r="O25" s="4">
        <v>100</v>
      </c>
      <c r="P25" s="4">
        <v>98</v>
      </c>
      <c r="Q25" s="4">
        <v>100</v>
      </c>
      <c r="R25" s="4">
        <v>100</v>
      </c>
      <c r="S25" s="6">
        <f t="shared" si="1"/>
        <v>99.166666666666671</v>
      </c>
      <c r="T25" s="6">
        <f t="shared" si="2"/>
        <v>98.916666666666671</v>
      </c>
      <c r="U25" s="4">
        <v>80</v>
      </c>
      <c r="V25" s="4">
        <v>82</v>
      </c>
      <c r="W25" s="6">
        <f t="shared" si="3"/>
        <v>81.599999999999994</v>
      </c>
      <c r="X25" s="6">
        <f t="shared" si="4"/>
        <v>90.26</v>
      </c>
      <c r="Y25" s="6" t="str">
        <f t="shared" si="5"/>
        <v>PEKİYİ</v>
      </c>
      <c r="Z25" s="6" t="str">
        <f t="shared" si="6"/>
        <v>🟢 BAŞARILI</v>
      </c>
    </row>
    <row r="26" spans="1:26" ht="18" customHeight="1" x14ac:dyDescent="0.25">
      <c r="A26" s="4">
        <v>21</v>
      </c>
      <c r="B26" s="4">
        <v>22100</v>
      </c>
      <c r="C26" s="5" t="s">
        <v>61</v>
      </c>
      <c r="D26" s="5" t="s">
        <v>62</v>
      </c>
      <c r="E26" s="6"/>
      <c r="F26" s="4">
        <v>87</v>
      </c>
      <c r="G26" s="4">
        <v>91</v>
      </c>
      <c r="H26" s="4">
        <v>95</v>
      </c>
      <c r="I26" s="4">
        <v>91</v>
      </c>
      <c r="J26" s="4">
        <v>85</v>
      </c>
      <c r="K26" s="4">
        <v>98</v>
      </c>
      <c r="L26" s="6">
        <f t="shared" si="0"/>
        <v>91.166666666666671</v>
      </c>
      <c r="M26" s="4">
        <v>85</v>
      </c>
      <c r="N26" s="4">
        <v>91</v>
      </c>
      <c r="O26" s="4">
        <v>95</v>
      </c>
      <c r="P26" s="4">
        <v>95</v>
      </c>
      <c r="Q26" s="4">
        <v>85</v>
      </c>
      <c r="R26" s="4">
        <v>98</v>
      </c>
      <c r="S26" s="6">
        <f t="shared" si="1"/>
        <v>91.5</v>
      </c>
      <c r="T26" s="6">
        <f t="shared" si="2"/>
        <v>91.333333333333343</v>
      </c>
      <c r="U26" s="4">
        <v>90</v>
      </c>
      <c r="V26" s="4">
        <v>94</v>
      </c>
      <c r="W26" s="6">
        <f t="shared" si="3"/>
        <v>93.2</v>
      </c>
      <c r="X26" s="6">
        <f t="shared" si="4"/>
        <v>92.27</v>
      </c>
      <c r="Y26" s="6" t="str">
        <f t="shared" si="5"/>
        <v>PEKİYİ</v>
      </c>
      <c r="Z26" s="6" t="str">
        <f t="shared" si="6"/>
        <v>🟢 BAŞARILI</v>
      </c>
    </row>
    <row r="27" spans="1:26" ht="18" customHeight="1" x14ac:dyDescent="0.25">
      <c r="A27" s="4">
        <v>22</v>
      </c>
      <c r="B27" s="4">
        <v>22105</v>
      </c>
      <c r="C27" s="5" t="s">
        <v>63</v>
      </c>
      <c r="D27" s="5" t="s">
        <v>64</v>
      </c>
      <c r="E27" s="6"/>
      <c r="F27" s="4">
        <v>95</v>
      </c>
      <c r="G27" s="4">
        <v>95</v>
      </c>
      <c r="H27" s="4">
        <v>95</v>
      </c>
      <c r="I27" s="4">
        <v>95</v>
      </c>
      <c r="J27" s="4">
        <v>95</v>
      </c>
      <c r="K27" s="4">
        <v>95</v>
      </c>
      <c r="L27" s="6">
        <f t="shared" si="0"/>
        <v>95</v>
      </c>
      <c r="M27" s="4">
        <v>100</v>
      </c>
      <c r="N27" s="4">
        <v>100</v>
      </c>
      <c r="O27" s="4">
        <v>100</v>
      </c>
      <c r="P27" s="4">
        <v>100</v>
      </c>
      <c r="Q27" s="4">
        <v>100</v>
      </c>
      <c r="R27" s="4">
        <v>100</v>
      </c>
      <c r="S27" s="6">
        <f t="shared" si="1"/>
        <v>100</v>
      </c>
      <c r="T27" s="6">
        <f t="shared" si="2"/>
        <v>97.5</v>
      </c>
      <c r="U27" s="4">
        <v>90</v>
      </c>
      <c r="V27" s="4">
        <v>72</v>
      </c>
      <c r="W27" s="6">
        <f t="shared" si="3"/>
        <v>75.599999999999994</v>
      </c>
      <c r="X27" s="6">
        <f t="shared" si="4"/>
        <v>86.55</v>
      </c>
      <c r="Y27" s="6" t="str">
        <f t="shared" si="5"/>
        <v>PEKİYİ</v>
      </c>
      <c r="Z27" s="6" t="str">
        <f t="shared" si="6"/>
        <v>🟢 BAŞARILI</v>
      </c>
    </row>
    <row r="28" spans="1:26" ht="18" customHeight="1" x14ac:dyDescent="0.25">
      <c r="A28" s="4">
        <v>23</v>
      </c>
      <c r="B28" s="4">
        <v>22112</v>
      </c>
      <c r="C28" s="5" t="s">
        <v>65</v>
      </c>
      <c r="D28" s="5" t="s">
        <v>66</v>
      </c>
      <c r="E28" s="6"/>
      <c r="F28" s="4">
        <v>90</v>
      </c>
      <c r="G28" s="4">
        <v>93</v>
      </c>
      <c r="H28" s="4">
        <v>92</v>
      </c>
      <c r="I28" s="4">
        <v>94</v>
      </c>
      <c r="J28" s="4">
        <v>90</v>
      </c>
      <c r="K28" s="4">
        <v>95</v>
      </c>
      <c r="L28" s="6">
        <f t="shared" si="0"/>
        <v>92.333333333333329</v>
      </c>
      <c r="M28" s="4">
        <v>90</v>
      </c>
      <c r="N28" s="4">
        <v>96</v>
      </c>
      <c r="O28" s="4">
        <v>95</v>
      </c>
      <c r="P28" s="4">
        <v>98</v>
      </c>
      <c r="Q28" s="4">
        <v>94</v>
      </c>
      <c r="R28" s="4">
        <v>96</v>
      </c>
      <c r="S28" s="6">
        <f t="shared" si="1"/>
        <v>94.833333333333329</v>
      </c>
      <c r="T28" s="6">
        <f t="shared" si="2"/>
        <v>93.583333333333329</v>
      </c>
      <c r="U28" s="4">
        <v>100</v>
      </c>
      <c r="V28" s="4">
        <v>86</v>
      </c>
      <c r="W28" s="6">
        <f t="shared" si="3"/>
        <v>88.8</v>
      </c>
      <c r="X28" s="6">
        <f t="shared" si="4"/>
        <v>91.19</v>
      </c>
      <c r="Y28" s="6" t="str">
        <f t="shared" si="5"/>
        <v>PEKİYİ</v>
      </c>
      <c r="Z28" s="6" t="str">
        <f t="shared" si="6"/>
        <v>🟢 BAŞARILI</v>
      </c>
    </row>
    <row r="29" spans="1:26" ht="18" customHeight="1" x14ac:dyDescent="0.25">
      <c r="A29" s="4">
        <v>24</v>
      </c>
      <c r="B29" s="4">
        <v>22121</v>
      </c>
      <c r="C29" s="5" t="s">
        <v>67</v>
      </c>
      <c r="D29" s="5" t="s">
        <v>68</v>
      </c>
      <c r="E29" s="6"/>
      <c r="F29" s="4">
        <v>95</v>
      </c>
      <c r="G29" s="4">
        <v>95</v>
      </c>
      <c r="H29" s="4">
        <v>95</v>
      </c>
      <c r="I29" s="4">
        <v>95</v>
      </c>
      <c r="J29" s="4">
        <v>95</v>
      </c>
      <c r="K29" s="4">
        <v>95</v>
      </c>
      <c r="L29" s="6">
        <f t="shared" si="0"/>
        <v>95</v>
      </c>
      <c r="M29" s="4">
        <v>100</v>
      </c>
      <c r="N29" s="4">
        <v>100</v>
      </c>
      <c r="O29" s="4">
        <v>100</v>
      </c>
      <c r="P29" s="4">
        <v>100</v>
      </c>
      <c r="Q29" s="4">
        <v>100</v>
      </c>
      <c r="R29" s="4">
        <v>100</v>
      </c>
      <c r="S29" s="6">
        <f t="shared" si="1"/>
        <v>100</v>
      </c>
      <c r="T29" s="6">
        <f t="shared" si="2"/>
        <v>97.5</v>
      </c>
      <c r="U29" s="4">
        <v>90</v>
      </c>
      <c r="V29" s="4">
        <v>62</v>
      </c>
      <c r="W29" s="6">
        <f t="shared" si="3"/>
        <v>67.599999999999994</v>
      </c>
      <c r="X29" s="6">
        <f t="shared" si="4"/>
        <v>82.55</v>
      </c>
      <c r="Y29" s="6" t="str">
        <f t="shared" si="5"/>
        <v>İYİ</v>
      </c>
      <c r="Z29" s="6" t="str">
        <f t="shared" si="6"/>
        <v>🟢 BAŞARILI</v>
      </c>
    </row>
    <row r="30" spans="1:26" ht="18" customHeight="1" x14ac:dyDescent="0.25">
      <c r="A30" s="4">
        <v>25</v>
      </c>
      <c r="B30" s="4">
        <v>22125</v>
      </c>
      <c r="C30" s="5" t="s">
        <v>69</v>
      </c>
      <c r="D30" s="5" t="s">
        <v>46</v>
      </c>
      <c r="E30" s="6"/>
      <c r="F30" s="4">
        <v>90</v>
      </c>
      <c r="G30" s="4">
        <v>90</v>
      </c>
      <c r="H30" s="4">
        <v>90</v>
      </c>
      <c r="I30" s="4">
        <v>90</v>
      </c>
      <c r="J30" s="4">
        <v>90</v>
      </c>
      <c r="K30" s="4">
        <v>90</v>
      </c>
      <c r="L30" s="6">
        <f t="shared" si="0"/>
        <v>90</v>
      </c>
      <c r="M30" s="4">
        <v>75</v>
      </c>
      <c r="N30" s="4">
        <v>75</v>
      </c>
      <c r="O30" s="4">
        <v>75</v>
      </c>
      <c r="P30" s="4">
        <v>75</v>
      </c>
      <c r="Q30" s="4">
        <v>75</v>
      </c>
      <c r="R30" s="4">
        <v>75</v>
      </c>
      <c r="S30" s="6">
        <f t="shared" si="1"/>
        <v>75</v>
      </c>
      <c r="T30" s="6">
        <f t="shared" si="2"/>
        <v>82.5</v>
      </c>
      <c r="U30" s="4">
        <v>50</v>
      </c>
      <c r="V30" s="4">
        <v>84</v>
      </c>
      <c r="W30" s="6">
        <f t="shared" si="3"/>
        <v>77.2</v>
      </c>
      <c r="X30" s="6">
        <f t="shared" si="4"/>
        <v>79.849999999999994</v>
      </c>
      <c r="Y30" s="6" t="str">
        <f t="shared" si="5"/>
        <v>İYİ</v>
      </c>
      <c r="Z30" s="6" t="str">
        <f t="shared" si="6"/>
        <v>🟢 BAŞARILI</v>
      </c>
    </row>
    <row r="31" spans="1:26" ht="18" customHeight="1" x14ac:dyDescent="0.25">
      <c r="A31" s="4">
        <v>26</v>
      </c>
      <c r="B31" s="4">
        <v>22126</v>
      </c>
      <c r="C31" s="5" t="s">
        <v>70</v>
      </c>
      <c r="D31" s="5" t="s">
        <v>71</v>
      </c>
      <c r="E31" s="6"/>
      <c r="F31" s="4">
        <v>100</v>
      </c>
      <c r="G31" s="4">
        <v>100</v>
      </c>
      <c r="H31" s="4">
        <v>100</v>
      </c>
      <c r="I31" s="4">
        <v>100</v>
      </c>
      <c r="J31" s="4">
        <v>100</v>
      </c>
      <c r="K31" s="4">
        <v>100</v>
      </c>
      <c r="L31" s="6">
        <f t="shared" si="0"/>
        <v>100</v>
      </c>
      <c r="M31" s="4">
        <v>100</v>
      </c>
      <c r="N31" s="4">
        <v>100</v>
      </c>
      <c r="O31" s="4">
        <v>100</v>
      </c>
      <c r="P31" s="4">
        <v>100</v>
      </c>
      <c r="Q31" s="4">
        <v>100</v>
      </c>
      <c r="R31" s="4">
        <v>100</v>
      </c>
      <c r="S31" s="6">
        <f t="shared" si="1"/>
        <v>100</v>
      </c>
      <c r="T31" s="6">
        <f t="shared" si="2"/>
        <v>100</v>
      </c>
      <c r="U31" s="4">
        <v>42.5</v>
      </c>
      <c r="V31" s="4">
        <v>90</v>
      </c>
      <c r="W31" s="6">
        <f t="shared" si="3"/>
        <v>80.5</v>
      </c>
      <c r="X31" s="6">
        <f t="shared" si="4"/>
        <v>90.25</v>
      </c>
      <c r="Y31" s="6" t="str">
        <f t="shared" si="5"/>
        <v>PEKİYİ</v>
      </c>
      <c r="Z31" s="6" t="str">
        <f t="shared" si="6"/>
        <v>🟢 BAŞARILI</v>
      </c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27" ht="18" customHeight="1" x14ac:dyDescent="0.25">
      <c r="A33" s="24" t="s">
        <v>72</v>
      </c>
      <c r="B33" s="18"/>
      <c r="C33" s="18"/>
      <c r="D33" s="18"/>
      <c r="E33" s="18"/>
      <c r="F33" s="6">
        <f>IFERROR(AVERAGEIF(E6:E31,"&lt;&gt;D",F6:F31),"")</f>
        <v>92.8</v>
      </c>
      <c r="G33" s="6">
        <f>IFERROR(AVERAGEIF(E6:E31,"&lt;&gt;D",G6:G31),"")</f>
        <v>93.2</v>
      </c>
      <c r="H33" s="6">
        <f>IFERROR(AVERAGEIF(E6:E31,"&lt;&gt;D",H6:H31),"")</f>
        <v>93.52</v>
      </c>
      <c r="I33" s="6">
        <f>IFERROR(AVERAGEIF(E6:E31,"&lt;&gt;D",I6:I31),"")</f>
        <v>93.56</v>
      </c>
      <c r="J33" s="6">
        <f>IFERROR(AVERAGEIF(E6:E31,"&lt;&gt;D",J6:J31),"")</f>
        <v>92.6</v>
      </c>
      <c r="K33" s="6">
        <f>IFERROR(AVERAGEIF(E6:E31,"&lt;&gt;D",K6:K31),"")</f>
        <v>93.68</v>
      </c>
      <c r="L33" s="6">
        <f>IFERROR(AVERAGEIF(E6:E31,"&lt;&gt;D",L6:L31),"")</f>
        <v>93.226666666666674</v>
      </c>
      <c r="M33" s="6">
        <f>IFERROR(AVERAGEIF(E6:E31,"&lt;&gt;D",M6:M31),"")</f>
        <v>92.4</v>
      </c>
      <c r="N33" s="6">
        <f>IFERROR(AVERAGEIF(E6:E31,"&lt;&gt;D",N6:N31),"")</f>
        <v>93.68</v>
      </c>
      <c r="O33" s="6">
        <f>IFERROR(AVERAGEIF(E6:E31,"&lt;&gt;D",O6:O31),"")</f>
        <v>94.08</v>
      </c>
      <c r="P33" s="6">
        <f>IFERROR(AVERAGEIF(E6:E31,"&lt;&gt;D",P6:P31),"")</f>
        <v>94</v>
      </c>
      <c r="Q33" s="6">
        <f>IFERROR(AVERAGEIF(E6:E31,"&lt;&gt;D",Q6:Q31),"")</f>
        <v>92.76</v>
      </c>
      <c r="R33" s="6">
        <f>IFERROR(AVERAGEIF(E6:E31,"&lt;&gt;D",R6:R31),"")</f>
        <v>94.32</v>
      </c>
      <c r="S33" s="6">
        <f>IFERROR(AVERAGEIF(E6:E31,"&lt;&gt;D",S6:S31),"")</f>
        <v>93.54</v>
      </c>
      <c r="T33" s="6">
        <f>IFERROR(AVERAGEIF(E6:E31,"&lt;&gt;D",T6:T31),"")</f>
        <v>93.38333333333334</v>
      </c>
      <c r="U33" s="6">
        <f>IFERROR(AVERAGEIF(E6:E31,"&lt;&gt;D",U6:U31),"")</f>
        <v>75.5</v>
      </c>
      <c r="V33" s="6">
        <f>IFERROR(AVERAGEIF(E6:E31,"&lt;&gt;D",V6:V31),"")</f>
        <v>79.44</v>
      </c>
      <c r="W33" s="6">
        <f>IFERROR(AVERAGEIF(E6:E31,"&lt;&gt;D",W6:W31),"")</f>
        <v>78.651999999999987</v>
      </c>
      <c r="X33" s="6">
        <f>IFERROR(AVERAGEIF(E6:E31,"&lt;&gt;D",X6:X31),"")</f>
        <v>86.017600000000002</v>
      </c>
      <c r="Y33" s="4"/>
      <c r="Z33" s="7" t="str">
        <f>"✅ "&amp;COUNTIF(Z6:Z31,"🟢 BAŞARILI")&amp;" Başarılı"&amp;"  ❌ "&amp;COUNTIF(Z6:Z31,"🔴 BAŞARISIZ")&amp;" Başarısız"&amp;"  🚫 "&amp;COUNTIF(Z6:Z31,"🚫 DEVAMSIZLIK")&amp;" Devamsız"</f>
        <v>✅ 24 Başarılı  ❌ 1 Başarısız  🚫 1 Devamsız</v>
      </c>
    </row>
    <row r="34" spans="1:27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7" ht="82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7" ht="27.95" customHeight="1" x14ac:dyDescent="0.25">
      <c r="A36" s="20" t="s">
        <v>73</v>
      </c>
      <c r="B36" s="20"/>
      <c r="C36" s="20"/>
      <c r="D36" s="20"/>
      <c r="E36" s="20"/>
      <c r="F36" s="20" t="s">
        <v>73</v>
      </c>
      <c r="G36" s="20"/>
      <c r="H36" s="20"/>
      <c r="I36" s="20"/>
      <c r="J36" s="20"/>
      <c r="K36" s="20" t="s">
        <v>117</v>
      </c>
      <c r="L36" s="20"/>
      <c r="M36" s="20"/>
      <c r="N36" s="20"/>
      <c r="O36" s="20"/>
      <c r="P36" s="20"/>
      <c r="Q36" s="8"/>
      <c r="R36" s="8"/>
      <c r="S36" s="8"/>
      <c r="T36" s="20" t="s">
        <v>111</v>
      </c>
      <c r="U36" s="20"/>
      <c r="V36" s="20"/>
      <c r="W36" s="8"/>
      <c r="X36" s="8"/>
      <c r="Y36" s="19" t="s">
        <v>112</v>
      </c>
      <c r="Z36" s="19"/>
      <c r="AA36" s="9"/>
    </row>
    <row r="37" spans="1:27" ht="45.75" customHeight="1" x14ac:dyDescent="0.25">
      <c r="A37" s="20" t="s">
        <v>110</v>
      </c>
      <c r="B37" s="20"/>
      <c r="C37" s="20"/>
      <c r="D37" s="20"/>
      <c r="E37" s="20"/>
      <c r="F37" s="20" t="s">
        <v>76</v>
      </c>
      <c r="G37" s="20"/>
      <c r="H37" s="20"/>
      <c r="I37" s="20"/>
      <c r="J37" s="20"/>
      <c r="K37" s="20" t="s">
        <v>116</v>
      </c>
      <c r="L37" s="20"/>
      <c r="M37" s="20"/>
      <c r="N37" s="20"/>
      <c r="O37" s="20"/>
      <c r="P37" s="20"/>
      <c r="Q37" s="8"/>
      <c r="R37" s="8"/>
      <c r="S37" s="8"/>
      <c r="T37" s="20" t="s">
        <v>118</v>
      </c>
      <c r="U37" s="20"/>
      <c r="V37" s="20"/>
      <c r="W37" s="8"/>
      <c r="X37" s="8"/>
      <c r="Y37" s="19" t="s">
        <v>113</v>
      </c>
      <c r="Z37" s="19"/>
      <c r="AA37" s="9"/>
    </row>
    <row r="38" spans="1:27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</sheetData>
  <mergeCells count="28">
    <mergeCell ref="A1:Z1"/>
    <mergeCell ref="A4:A5"/>
    <mergeCell ref="C4:C5"/>
    <mergeCell ref="T4:T5"/>
    <mergeCell ref="A33:E33"/>
    <mergeCell ref="Z4:Z5"/>
    <mergeCell ref="W4:W5"/>
    <mergeCell ref="A2:Z2"/>
    <mergeCell ref="V4:V5"/>
    <mergeCell ref="E4:E5"/>
    <mergeCell ref="X4:X5"/>
    <mergeCell ref="M4:S4"/>
    <mergeCell ref="A3:Z3"/>
    <mergeCell ref="B4:B5"/>
    <mergeCell ref="Y4:Y5"/>
    <mergeCell ref="F4:L4"/>
    <mergeCell ref="D4:D5"/>
    <mergeCell ref="U4:U5"/>
    <mergeCell ref="Y37:Z37"/>
    <mergeCell ref="T36:V36"/>
    <mergeCell ref="T37:V37"/>
    <mergeCell ref="Y36:Z36"/>
    <mergeCell ref="A37:E37"/>
    <mergeCell ref="A36:E36"/>
    <mergeCell ref="F37:J37"/>
    <mergeCell ref="K36:P36"/>
    <mergeCell ref="K37:P37"/>
    <mergeCell ref="F36:J36"/>
  </mergeCells>
  <conditionalFormatting sqref="Z6:Z31">
    <cfRule type="cellIs" dxfId="13" priority="1" operator="equal">
      <formula>"🟢 BAŞARILI"</formula>
    </cfRule>
    <cfRule type="cellIs" dxfId="12" priority="2" operator="equal">
      <formula>"🔴 BAŞARISIZ"</formula>
    </cfRule>
    <cfRule type="cellIs" dxfId="11" priority="3" operator="equal">
      <formula>"🚫 DEVAMSIZLIK"</formula>
    </cfRule>
    <cfRule type="cellIs" dxfId="10" priority="4" operator="equal">
      <formula>"⚠️ MUAF"</formula>
    </cfRule>
  </conditionalFormatting>
  <conditionalFormatting sqref="W6:W31">
    <cfRule type="cellIs" dxfId="9" priority="5" operator="lessThan">
      <formula>50</formula>
    </cfRule>
    <cfRule type="cellIs" dxfId="8" priority="6" operator="greaterThanOrEqual">
      <formula>70</formula>
    </cfRule>
    <cfRule type="expression" dxfId="7" priority="7">
      <formula>AND(W6&gt;=50,W6&lt;70)</formula>
    </cfRule>
  </conditionalFormatting>
  <pageMargins left="0.35" right="0.35" top="0.4" bottom="0.4" header="0.5" footer="0.5"/>
  <pageSetup paperSize="9" scale="5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34"/>
  <sheetViews>
    <sheetView showGridLines="0" tabSelected="1" topLeftCell="C1" zoomScale="115" zoomScaleNormal="115" workbookViewId="0">
      <selection activeCell="Y10" sqref="Y10"/>
    </sheetView>
  </sheetViews>
  <sheetFormatPr defaultRowHeight="15" x14ac:dyDescent="0.25"/>
  <cols>
    <col min="1" max="1" width="4" customWidth="1"/>
    <col min="2" max="2" width="9" customWidth="1"/>
    <col min="3" max="3" width="18" customWidth="1"/>
    <col min="4" max="4" width="16" customWidth="1"/>
    <col min="5" max="5" width="5" customWidth="1"/>
    <col min="6" max="11" width="7" customWidth="1"/>
    <col min="12" max="12" width="9" customWidth="1"/>
    <col min="13" max="18" width="7" customWidth="1"/>
    <col min="19" max="19" width="9" customWidth="1"/>
    <col min="20" max="20" width="10" customWidth="1"/>
    <col min="21" max="22" width="12" customWidth="1"/>
    <col min="23" max="23" width="11" customWidth="1"/>
    <col min="24" max="24" width="9" customWidth="1"/>
    <col min="25" max="25" width="11" customWidth="1"/>
    <col min="26" max="26" width="16" customWidth="1"/>
  </cols>
  <sheetData>
    <row r="1" spans="1:26" ht="36.75" customHeight="1" x14ac:dyDescent="0.25">
      <c r="A1" s="21" t="s">
        <v>115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27.75" customHeight="1" x14ac:dyDescent="0.25">
      <c r="A2" s="21" t="s">
        <v>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38.25" customHeight="1" x14ac:dyDescent="0.3">
      <c r="A3" s="21" t="s">
        <v>1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36.75" customHeight="1" x14ac:dyDescent="0.25">
      <c r="A4" s="23" t="s">
        <v>114</v>
      </c>
      <c r="B4" s="17" t="s">
        <v>2</v>
      </c>
      <c r="C4" s="17" t="s">
        <v>3</v>
      </c>
      <c r="D4" s="17" t="s">
        <v>4</v>
      </c>
      <c r="E4" s="25" t="s">
        <v>5</v>
      </c>
      <c r="F4" s="26" t="s">
        <v>6</v>
      </c>
      <c r="G4" s="18"/>
      <c r="H4" s="18"/>
      <c r="I4" s="18"/>
      <c r="J4" s="18"/>
      <c r="K4" s="18"/>
      <c r="L4" s="18"/>
      <c r="M4" s="26" t="s">
        <v>7</v>
      </c>
      <c r="N4" s="18"/>
      <c r="O4" s="18"/>
      <c r="P4" s="18"/>
      <c r="Q4" s="18"/>
      <c r="R4" s="18"/>
      <c r="S4" s="18"/>
      <c r="T4" s="17" t="s">
        <v>8</v>
      </c>
      <c r="U4" s="17" t="s">
        <v>9</v>
      </c>
      <c r="V4" s="17" t="s">
        <v>10</v>
      </c>
      <c r="W4" s="17" t="s">
        <v>11</v>
      </c>
      <c r="X4" s="17" t="s">
        <v>12</v>
      </c>
      <c r="Y4" s="17" t="s">
        <v>13</v>
      </c>
      <c r="Z4" s="17" t="s">
        <v>14</v>
      </c>
    </row>
    <row r="5" spans="1:26" ht="37.5" customHeight="1" x14ac:dyDescent="0.25">
      <c r="A5" s="18"/>
      <c r="B5" s="18"/>
      <c r="C5" s="18"/>
      <c r="D5" s="18"/>
      <c r="E5" s="18"/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20</v>
      </c>
      <c r="L5" s="3" t="s">
        <v>21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3" t="s">
        <v>22</v>
      </c>
      <c r="T5" s="18"/>
      <c r="U5" s="18"/>
      <c r="V5" s="18"/>
      <c r="W5" s="18"/>
      <c r="X5" s="18"/>
      <c r="Y5" s="18"/>
      <c r="Z5" s="18"/>
    </row>
    <row r="6" spans="1:26" ht="18" customHeight="1" x14ac:dyDescent="0.25">
      <c r="A6" s="10">
        <v>1</v>
      </c>
      <c r="B6" s="10">
        <v>53</v>
      </c>
      <c r="C6" s="11" t="s">
        <v>79</v>
      </c>
      <c r="D6" s="11" t="s">
        <v>80</v>
      </c>
      <c r="E6" s="12"/>
      <c r="F6" s="10">
        <v>85</v>
      </c>
      <c r="G6" s="10">
        <v>90</v>
      </c>
      <c r="H6" s="10">
        <v>95</v>
      </c>
      <c r="I6" s="10">
        <v>90</v>
      </c>
      <c r="J6" s="10">
        <v>90</v>
      </c>
      <c r="K6" s="10">
        <v>95</v>
      </c>
      <c r="L6" s="12">
        <f t="shared" ref="L6:L21" si="0">IFERROR(IF(OR(E6="D",E6="M"),"—",AVERAGE(F6:K6)),"")</f>
        <v>90.833333333333329</v>
      </c>
      <c r="M6" s="10">
        <v>85</v>
      </c>
      <c r="N6" s="10">
        <v>85</v>
      </c>
      <c r="O6" s="10">
        <v>85</v>
      </c>
      <c r="P6" s="10">
        <v>85</v>
      </c>
      <c r="Q6" s="10">
        <v>85</v>
      </c>
      <c r="R6" s="10">
        <v>85</v>
      </c>
      <c r="S6" s="12">
        <f t="shared" ref="S6:S21" si="1">IFERROR(IF(OR(E6="D",E6="M"),"—",AVERAGE(M6:R6)),"")</f>
        <v>85</v>
      </c>
      <c r="T6" s="12">
        <f t="shared" ref="T6:T21" si="2">IFERROR(IF(OR(E6="D",E6="M"),"—",AVERAGE(L6,S6)),"")</f>
        <v>87.916666666666657</v>
      </c>
      <c r="U6" s="10">
        <v>75</v>
      </c>
      <c r="V6" s="10">
        <v>62</v>
      </c>
      <c r="W6" s="12">
        <f t="shared" ref="W6:W21" si="3">IFERROR(IF(OR(E6="D",E6="M"),"—",ROUND((U6*0.2)+(V6*0.8),2)),"")</f>
        <v>64.599999999999994</v>
      </c>
      <c r="X6" s="12">
        <f t="shared" ref="X6:X21" si="4">IFERROR(IF(OR(E6="D",E6="M"),"—",ROUND(AVERAGE(T6,W6),2)),"")</f>
        <v>76.260000000000005</v>
      </c>
      <c r="Y6" s="12" t="str">
        <f t="shared" ref="Y6:Y21" si="5">IFERROR(IF(OR(E6="D",E6="M"),"—",IF(X6="","—",IF(X6&gt;=85,"PEKİYİ",IF(X6&gt;=70,"İYİ",IF(X6&gt;=55,"ORTA",IF(X6&gt;=45,"GEÇER","BAŞARISIZ")))))),"")</f>
        <v>İYİ</v>
      </c>
      <c r="Z6" s="12" t="str">
        <f t="shared" ref="Z6:Z21" si="6">IFERROR(IF(E6="D","🚫 DEVAMSIZLIK",IF(E6="M","⚠️ MUAF",IF(W6="","—",IF(W6&lt;50,"🔴 BAŞARISIZ",IF(W6&gt;=70,"🟢 BAŞARILI",IF(X6&gt;=50,"🟢 BAŞARILI","🔴 BAŞARISIZ")))))),"")</f>
        <v>🟢 BAŞARILI</v>
      </c>
    </row>
    <row r="7" spans="1:26" ht="18" customHeight="1" x14ac:dyDescent="0.25">
      <c r="A7" s="10">
        <v>2</v>
      </c>
      <c r="B7" s="10">
        <v>91</v>
      </c>
      <c r="C7" s="11" t="s">
        <v>81</v>
      </c>
      <c r="D7" s="11" t="s">
        <v>82</v>
      </c>
      <c r="E7" s="12"/>
      <c r="F7" s="10">
        <v>96</v>
      </c>
      <c r="G7" s="10">
        <v>90</v>
      </c>
      <c r="H7" s="10">
        <v>95</v>
      </c>
      <c r="I7" s="10">
        <v>95</v>
      </c>
      <c r="J7" s="10">
        <v>95</v>
      </c>
      <c r="K7" s="10">
        <v>90</v>
      </c>
      <c r="L7" s="12">
        <f t="shared" si="0"/>
        <v>93.5</v>
      </c>
      <c r="M7" s="10">
        <v>100</v>
      </c>
      <c r="N7" s="10">
        <v>95</v>
      </c>
      <c r="O7" s="10">
        <v>95</v>
      </c>
      <c r="P7" s="10">
        <v>95</v>
      </c>
      <c r="Q7" s="10">
        <v>100</v>
      </c>
      <c r="R7" s="10">
        <v>100</v>
      </c>
      <c r="S7" s="12">
        <f t="shared" si="1"/>
        <v>97.5</v>
      </c>
      <c r="T7" s="12">
        <f t="shared" si="2"/>
        <v>95.5</v>
      </c>
      <c r="U7" s="10">
        <v>90</v>
      </c>
      <c r="V7" s="10">
        <v>62</v>
      </c>
      <c r="W7" s="12">
        <f t="shared" si="3"/>
        <v>67.599999999999994</v>
      </c>
      <c r="X7" s="12">
        <f t="shared" si="4"/>
        <v>81.55</v>
      </c>
      <c r="Y7" s="12" t="str">
        <f t="shared" si="5"/>
        <v>İYİ</v>
      </c>
      <c r="Z7" s="12" t="str">
        <f t="shared" si="6"/>
        <v>🟢 BAŞARILI</v>
      </c>
    </row>
    <row r="8" spans="1:26" ht="18" customHeight="1" x14ac:dyDescent="0.25">
      <c r="A8" s="10">
        <v>3</v>
      </c>
      <c r="B8" s="10">
        <v>184</v>
      </c>
      <c r="C8" s="11" t="s">
        <v>83</v>
      </c>
      <c r="D8" s="11" t="s">
        <v>84</v>
      </c>
      <c r="E8" s="12"/>
      <c r="F8" s="10">
        <v>95</v>
      </c>
      <c r="G8" s="10">
        <v>95</v>
      </c>
      <c r="H8" s="10">
        <v>95</v>
      </c>
      <c r="I8" s="10">
        <v>90</v>
      </c>
      <c r="J8" s="10">
        <v>90</v>
      </c>
      <c r="K8" s="10">
        <v>90</v>
      </c>
      <c r="L8" s="12">
        <f t="shared" si="0"/>
        <v>92.5</v>
      </c>
      <c r="M8" s="10">
        <v>90</v>
      </c>
      <c r="N8" s="10">
        <v>90</v>
      </c>
      <c r="O8" s="10">
        <v>90</v>
      </c>
      <c r="P8" s="10">
        <v>90</v>
      </c>
      <c r="Q8" s="10">
        <v>90</v>
      </c>
      <c r="R8" s="10">
        <v>90</v>
      </c>
      <c r="S8" s="12">
        <f t="shared" si="1"/>
        <v>90</v>
      </c>
      <c r="T8" s="12">
        <f t="shared" si="2"/>
        <v>91.25</v>
      </c>
      <c r="U8" s="10">
        <v>95</v>
      </c>
      <c r="V8" s="10">
        <v>70</v>
      </c>
      <c r="W8" s="12">
        <f t="shared" si="3"/>
        <v>75</v>
      </c>
      <c r="X8" s="12">
        <f t="shared" si="4"/>
        <v>83.13</v>
      </c>
      <c r="Y8" s="12" t="str">
        <f t="shared" si="5"/>
        <v>İYİ</v>
      </c>
      <c r="Z8" s="12" t="str">
        <f t="shared" si="6"/>
        <v>🟢 BAŞARILI</v>
      </c>
    </row>
    <row r="9" spans="1:26" ht="18" customHeight="1" x14ac:dyDescent="0.25">
      <c r="A9" s="10">
        <v>4</v>
      </c>
      <c r="B9" s="10">
        <v>269</v>
      </c>
      <c r="C9" s="11" t="s">
        <v>33</v>
      </c>
      <c r="D9" s="11" t="s">
        <v>85</v>
      </c>
      <c r="E9" s="12"/>
      <c r="F9" s="10">
        <v>80</v>
      </c>
      <c r="G9" s="10">
        <v>80</v>
      </c>
      <c r="H9" s="10">
        <v>80</v>
      </c>
      <c r="I9" s="10">
        <v>80</v>
      </c>
      <c r="J9" s="10">
        <v>80</v>
      </c>
      <c r="K9" s="10">
        <v>80</v>
      </c>
      <c r="L9" s="12">
        <f t="shared" si="0"/>
        <v>80</v>
      </c>
      <c r="M9" s="10">
        <v>80</v>
      </c>
      <c r="N9" s="10">
        <v>80</v>
      </c>
      <c r="O9" s="10">
        <v>80</v>
      </c>
      <c r="P9" s="10">
        <v>80</v>
      </c>
      <c r="Q9" s="10">
        <v>80</v>
      </c>
      <c r="R9" s="10">
        <v>80</v>
      </c>
      <c r="S9" s="12">
        <f t="shared" si="1"/>
        <v>80</v>
      </c>
      <c r="T9" s="12">
        <f t="shared" si="2"/>
        <v>80</v>
      </c>
      <c r="U9" s="10">
        <v>95</v>
      </c>
      <c r="V9" s="10">
        <v>66</v>
      </c>
      <c r="W9" s="12">
        <f t="shared" si="3"/>
        <v>71.8</v>
      </c>
      <c r="X9" s="12">
        <f t="shared" si="4"/>
        <v>75.900000000000006</v>
      </c>
      <c r="Y9" s="12" t="str">
        <f t="shared" si="5"/>
        <v>İYİ</v>
      </c>
      <c r="Z9" s="12" t="str">
        <f t="shared" si="6"/>
        <v>🟢 BAŞARILI</v>
      </c>
    </row>
    <row r="10" spans="1:26" ht="18" customHeight="1" x14ac:dyDescent="0.25">
      <c r="A10" s="10">
        <v>5</v>
      </c>
      <c r="B10" s="10">
        <v>22082</v>
      </c>
      <c r="C10" s="11" t="s">
        <v>86</v>
      </c>
      <c r="D10" s="11" t="s">
        <v>87</v>
      </c>
      <c r="E10" s="12"/>
      <c r="F10" s="10">
        <v>95</v>
      </c>
      <c r="G10" s="10">
        <v>95</v>
      </c>
      <c r="H10" s="10">
        <v>100</v>
      </c>
      <c r="I10" s="10">
        <v>95</v>
      </c>
      <c r="J10" s="10">
        <v>100</v>
      </c>
      <c r="K10" s="10">
        <v>91</v>
      </c>
      <c r="L10" s="12">
        <f t="shared" si="0"/>
        <v>96</v>
      </c>
      <c r="M10" s="10">
        <v>95</v>
      </c>
      <c r="N10" s="10">
        <v>100</v>
      </c>
      <c r="O10" s="10">
        <v>100</v>
      </c>
      <c r="P10" s="10">
        <v>100</v>
      </c>
      <c r="Q10" s="10">
        <v>95</v>
      </c>
      <c r="R10" s="10">
        <v>95</v>
      </c>
      <c r="S10" s="12">
        <f t="shared" si="1"/>
        <v>97.5</v>
      </c>
      <c r="T10" s="12">
        <f t="shared" si="2"/>
        <v>96.75</v>
      </c>
      <c r="U10" s="10">
        <v>70</v>
      </c>
      <c r="V10" s="10">
        <v>60</v>
      </c>
      <c r="W10" s="12">
        <f t="shared" si="3"/>
        <v>62</v>
      </c>
      <c r="X10" s="12">
        <f t="shared" si="4"/>
        <v>79.38</v>
      </c>
      <c r="Y10" s="12" t="str">
        <f t="shared" si="5"/>
        <v>İYİ</v>
      </c>
      <c r="Z10" s="12" t="str">
        <f t="shared" si="6"/>
        <v>🟢 BAŞARILI</v>
      </c>
    </row>
    <row r="11" spans="1:26" ht="18" customHeight="1" x14ac:dyDescent="0.25">
      <c r="A11" s="10">
        <v>6</v>
      </c>
      <c r="B11" s="10">
        <v>22086</v>
      </c>
      <c r="C11" s="11" t="s">
        <v>33</v>
      </c>
      <c r="D11" s="11" t="s">
        <v>88</v>
      </c>
      <c r="E11" s="12"/>
      <c r="F11" s="10">
        <v>90</v>
      </c>
      <c r="G11" s="10">
        <v>90</v>
      </c>
      <c r="H11" s="10">
        <v>95</v>
      </c>
      <c r="I11" s="10">
        <v>90</v>
      </c>
      <c r="J11" s="10">
        <v>90</v>
      </c>
      <c r="K11" s="10">
        <v>90</v>
      </c>
      <c r="L11" s="12">
        <f t="shared" si="0"/>
        <v>90.833333333333329</v>
      </c>
      <c r="M11" s="10">
        <v>85</v>
      </c>
      <c r="N11" s="10">
        <v>85</v>
      </c>
      <c r="O11" s="10">
        <v>85</v>
      </c>
      <c r="P11" s="10">
        <v>85</v>
      </c>
      <c r="Q11" s="10">
        <v>85</v>
      </c>
      <c r="R11" s="10">
        <v>85</v>
      </c>
      <c r="S11" s="12">
        <f t="shared" si="1"/>
        <v>85</v>
      </c>
      <c r="T11" s="12">
        <f t="shared" si="2"/>
        <v>87.916666666666657</v>
      </c>
      <c r="U11" s="10">
        <v>95</v>
      </c>
      <c r="V11" s="10">
        <v>60</v>
      </c>
      <c r="W11" s="12">
        <f t="shared" si="3"/>
        <v>67</v>
      </c>
      <c r="X11" s="12">
        <f t="shared" si="4"/>
        <v>77.459999999999994</v>
      </c>
      <c r="Y11" s="12" t="str">
        <f t="shared" si="5"/>
        <v>İYİ</v>
      </c>
      <c r="Z11" s="12" t="str">
        <f t="shared" si="6"/>
        <v>🟢 BAŞARILI</v>
      </c>
    </row>
    <row r="12" spans="1:26" ht="18" customHeight="1" x14ac:dyDescent="0.25">
      <c r="A12" s="10">
        <v>7</v>
      </c>
      <c r="B12" s="10">
        <v>22088</v>
      </c>
      <c r="C12" s="11" t="s">
        <v>89</v>
      </c>
      <c r="D12" s="11" t="s">
        <v>90</v>
      </c>
      <c r="E12" s="12"/>
      <c r="F12" s="10">
        <v>100</v>
      </c>
      <c r="G12" s="10">
        <v>95</v>
      </c>
      <c r="H12" s="10">
        <v>95</v>
      </c>
      <c r="I12" s="10">
        <v>94</v>
      </c>
      <c r="J12" s="10">
        <v>100</v>
      </c>
      <c r="K12" s="10">
        <v>95</v>
      </c>
      <c r="L12" s="12">
        <f t="shared" si="0"/>
        <v>96.5</v>
      </c>
      <c r="M12" s="10">
        <v>100</v>
      </c>
      <c r="N12" s="10">
        <v>100</v>
      </c>
      <c r="O12" s="10">
        <v>95</v>
      </c>
      <c r="P12" s="10">
        <v>95</v>
      </c>
      <c r="Q12" s="10">
        <v>100</v>
      </c>
      <c r="R12" s="10">
        <v>100</v>
      </c>
      <c r="S12" s="12">
        <f t="shared" si="1"/>
        <v>98.333333333333329</v>
      </c>
      <c r="T12" s="12">
        <f t="shared" si="2"/>
        <v>97.416666666666657</v>
      </c>
      <c r="U12" s="10">
        <v>90</v>
      </c>
      <c r="V12" s="10">
        <v>80</v>
      </c>
      <c r="W12" s="12">
        <f t="shared" si="3"/>
        <v>82</v>
      </c>
      <c r="X12" s="12">
        <f t="shared" si="4"/>
        <v>89.71</v>
      </c>
      <c r="Y12" s="12" t="str">
        <f t="shared" si="5"/>
        <v>PEKİYİ</v>
      </c>
      <c r="Z12" s="12" t="str">
        <f t="shared" si="6"/>
        <v>🟢 BAŞARILI</v>
      </c>
    </row>
    <row r="13" spans="1:26" ht="18" customHeight="1" x14ac:dyDescent="0.25">
      <c r="A13" s="10">
        <v>8</v>
      </c>
      <c r="B13" s="10">
        <v>22090</v>
      </c>
      <c r="C13" s="11" t="s">
        <v>91</v>
      </c>
      <c r="D13" s="11" t="s">
        <v>92</v>
      </c>
      <c r="E13" s="12"/>
      <c r="F13" s="10">
        <v>90</v>
      </c>
      <c r="G13" s="10">
        <v>95</v>
      </c>
      <c r="H13" s="10">
        <v>90</v>
      </c>
      <c r="I13" s="10">
        <v>95</v>
      </c>
      <c r="J13" s="10">
        <v>90</v>
      </c>
      <c r="K13" s="10">
        <v>85</v>
      </c>
      <c r="L13" s="12">
        <f t="shared" si="0"/>
        <v>90.833333333333329</v>
      </c>
      <c r="M13" s="10">
        <v>85</v>
      </c>
      <c r="N13" s="10">
        <v>85</v>
      </c>
      <c r="O13" s="10">
        <v>85</v>
      </c>
      <c r="P13" s="10">
        <v>85</v>
      </c>
      <c r="Q13" s="10">
        <v>85</v>
      </c>
      <c r="R13" s="10">
        <v>85</v>
      </c>
      <c r="S13" s="12">
        <f t="shared" si="1"/>
        <v>85</v>
      </c>
      <c r="T13" s="12">
        <f t="shared" si="2"/>
        <v>87.916666666666657</v>
      </c>
      <c r="U13" s="10">
        <v>80</v>
      </c>
      <c r="V13" s="10">
        <v>52</v>
      </c>
      <c r="W13" s="12">
        <f t="shared" si="3"/>
        <v>57.6</v>
      </c>
      <c r="X13" s="12">
        <f t="shared" si="4"/>
        <v>72.760000000000005</v>
      </c>
      <c r="Y13" s="12" t="str">
        <f t="shared" si="5"/>
        <v>İYİ</v>
      </c>
      <c r="Z13" s="12" t="str">
        <f t="shared" si="6"/>
        <v>🟢 BAŞARILI</v>
      </c>
    </row>
    <row r="14" spans="1:26" ht="18" customHeight="1" x14ac:dyDescent="0.25">
      <c r="A14" s="10">
        <v>9</v>
      </c>
      <c r="B14" s="10">
        <v>22091</v>
      </c>
      <c r="C14" s="11" t="s">
        <v>93</v>
      </c>
      <c r="D14" s="11" t="s">
        <v>94</v>
      </c>
      <c r="E14" s="12"/>
      <c r="F14" s="10">
        <v>90</v>
      </c>
      <c r="G14" s="10">
        <v>90</v>
      </c>
      <c r="H14" s="10">
        <v>90</v>
      </c>
      <c r="I14" s="10">
        <v>90</v>
      </c>
      <c r="J14" s="10">
        <v>90</v>
      </c>
      <c r="K14" s="10">
        <v>90</v>
      </c>
      <c r="L14" s="12">
        <f t="shared" si="0"/>
        <v>90</v>
      </c>
      <c r="M14" s="10">
        <v>80</v>
      </c>
      <c r="N14" s="10">
        <v>80</v>
      </c>
      <c r="O14" s="10">
        <v>80</v>
      </c>
      <c r="P14" s="10">
        <v>80</v>
      </c>
      <c r="Q14" s="10">
        <v>80</v>
      </c>
      <c r="R14" s="10">
        <v>80</v>
      </c>
      <c r="S14" s="12">
        <f t="shared" si="1"/>
        <v>80</v>
      </c>
      <c r="T14" s="12">
        <f t="shared" si="2"/>
        <v>85</v>
      </c>
      <c r="U14" s="10">
        <v>55</v>
      </c>
      <c r="V14" s="10">
        <v>68</v>
      </c>
      <c r="W14" s="12">
        <f t="shared" si="3"/>
        <v>65.400000000000006</v>
      </c>
      <c r="X14" s="12">
        <f t="shared" si="4"/>
        <v>75.2</v>
      </c>
      <c r="Y14" s="12" t="str">
        <f t="shared" si="5"/>
        <v>İYİ</v>
      </c>
      <c r="Z14" s="12" t="str">
        <f t="shared" si="6"/>
        <v>🟢 BAŞARILI</v>
      </c>
    </row>
    <row r="15" spans="1:26" ht="18" customHeight="1" x14ac:dyDescent="0.25">
      <c r="A15" s="10">
        <v>10</v>
      </c>
      <c r="B15" s="10">
        <v>22092</v>
      </c>
      <c r="C15" s="11" t="s">
        <v>95</v>
      </c>
      <c r="D15" s="11" t="s">
        <v>96</v>
      </c>
      <c r="E15" s="12"/>
      <c r="F15" s="10">
        <v>100</v>
      </c>
      <c r="G15" s="10">
        <v>95</v>
      </c>
      <c r="H15" s="10">
        <v>100</v>
      </c>
      <c r="I15" s="10">
        <v>100</v>
      </c>
      <c r="J15" s="10">
        <v>94</v>
      </c>
      <c r="K15" s="10">
        <v>90</v>
      </c>
      <c r="L15" s="12">
        <f t="shared" si="0"/>
        <v>96.5</v>
      </c>
      <c r="M15" s="10">
        <v>100</v>
      </c>
      <c r="N15" s="10">
        <v>100</v>
      </c>
      <c r="O15" s="10">
        <v>100</v>
      </c>
      <c r="P15" s="10">
        <v>100</v>
      </c>
      <c r="Q15" s="10">
        <v>95</v>
      </c>
      <c r="R15" s="10">
        <v>95</v>
      </c>
      <c r="S15" s="12">
        <f t="shared" si="1"/>
        <v>98.333333333333329</v>
      </c>
      <c r="T15" s="12">
        <f t="shared" si="2"/>
        <v>97.416666666666657</v>
      </c>
      <c r="U15" s="10">
        <v>75</v>
      </c>
      <c r="V15" s="10">
        <v>78</v>
      </c>
      <c r="W15" s="12">
        <f t="shared" si="3"/>
        <v>77.400000000000006</v>
      </c>
      <c r="X15" s="12">
        <f t="shared" si="4"/>
        <v>87.41</v>
      </c>
      <c r="Y15" s="12" t="str">
        <f t="shared" si="5"/>
        <v>PEKİYİ</v>
      </c>
      <c r="Z15" s="12" t="str">
        <f t="shared" si="6"/>
        <v>🟢 BAŞARILI</v>
      </c>
    </row>
    <row r="16" spans="1:26" ht="18" customHeight="1" x14ac:dyDescent="0.25">
      <c r="A16" s="10">
        <v>11</v>
      </c>
      <c r="B16" s="10">
        <v>22103</v>
      </c>
      <c r="C16" s="11" t="s">
        <v>97</v>
      </c>
      <c r="D16" s="11" t="s">
        <v>98</v>
      </c>
      <c r="E16" s="12"/>
      <c r="F16" s="10">
        <v>90</v>
      </c>
      <c r="G16" s="10">
        <v>95</v>
      </c>
      <c r="H16" s="10">
        <v>90</v>
      </c>
      <c r="I16" s="10">
        <v>90</v>
      </c>
      <c r="J16" s="10">
        <v>90</v>
      </c>
      <c r="K16" s="10">
        <v>90</v>
      </c>
      <c r="L16" s="12">
        <f t="shared" si="0"/>
        <v>90.833333333333329</v>
      </c>
      <c r="M16" s="10">
        <v>90</v>
      </c>
      <c r="N16" s="10">
        <v>90</v>
      </c>
      <c r="O16" s="10">
        <v>90</v>
      </c>
      <c r="P16" s="10">
        <v>90</v>
      </c>
      <c r="Q16" s="10">
        <v>90</v>
      </c>
      <c r="R16" s="10">
        <v>90</v>
      </c>
      <c r="S16" s="12">
        <f t="shared" si="1"/>
        <v>90</v>
      </c>
      <c r="T16" s="12">
        <f t="shared" si="2"/>
        <v>90.416666666666657</v>
      </c>
      <c r="U16" s="10">
        <v>85</v>
      </c>
      <c r="V16" s="10">
        <v>62</v>
      </c>
      <c r="W16" s="12">
        <f t="shared" si="3"/>
        <v>66.599999999999994</v>
      </c>
      <c r="X16" s="12">
        <f t="shared" si="4"/>
        <v>78.510000000000005</v>
      </c>
      <c r="Y16" s="12" t="str">
        <f t="shared" si="5"/>
        <v>İYİ</v>
      </c>
      <c r="Z16" s="12" t="str">
        <f t="shared" si="6"/>
        <v>🟢 BAŞARILI</v>
      </c>
    </row>
    <row r="17" spans="1:27" ht="18" customHeight="1" x14ac:dyDescent="0.25">
      <c r="A17" s="10">
        <v>12</v>
      </c>
      <c r="B17" s="10">
        <v>22108</v>
      </c>
      <c r="C17" s="11" t="s">
        <v>99</v>
      </c>
      <c r="D17" s="11" t="s">
        <v>100</v>
      </c>
      <c r="E17" s="12"/>
      <c r="F17" s="10">
        <v>90</v>
      </c>
      <c r="G17" s="10">
        <v>90</v>
      </c>
      <c r="H17" s="10">
        <v>90</v>
      </c>
      <c r="I17" s="10">
        <v>95</v>
      </c>
      <c r="J17" s="10">
        <v>90</v>
      </c>
      <c r="K17" s="10">
        <v>90</v>
      </c>
      <c r="L17" s="12">
        <f t="shared" si="0"/>
        <v>90.833333333333329</v>
      </c>
      <c r="M17" s="10">
        <v>85</v>
      </c>
      <c r="N17" s="10">
        <v>85</v>
      </c>
      <c r="O17" s="10">
        <v>85</v>
      </c>
      <c r="P17" s="10">
        <v>85</v>
      </c>
      <c r="Q17" s="10">
        <v>85</v>
      </c>
      <c r="R17" s="10">
        <v>85</v>
      </c>
      <c r="S17" s="12">
        <f t="shared" si="1"/>
        <v>85</v>
      </c>
      <c r="T17" s="12">
        <f t="shared" si="2"/>
        <v>87.916666666666657</v>
      </c>
      <c r="U17" s="10">
        <v>100</v>
      </c>
      <c r="V17" s="10">
        <v>70</v>
      </c>
      <c r="W17" s="12">
        <f t="shared" si="3"/>
        <v>76</v>
      </c>
      <c r="X17" s="12">
        <f t="shared" si="4"/>
        <v>81.96</v>
      </c>
      <c r="Y17" s="12" t="str">
        <f t="shared" si="5"/>
        <v>İYİ</v>
      </c>
      <c r="Z17" s="12" t="str">
        <f t="shared" si="6"/>
        <v>🟢 BAŞARILI</v>
      </c>
    </row>
    <row r="18" spans="1:27" ht="18" customHeight="1" x14ac:dyDescent="0.25">
      <c r="A18" s="10">
        <v>13</v>
      </c>
      <c r="B18" s="10">
        <v>22113</v>
      </c>
      <c r="C18" s="11" t="s">
        <v>101</v>
      </c>
      <c r="D18" s="11" t="s">
        <v>102</v>
      </c>
      <c r="E18" s="12"/>
      <c r="F18" s="10">
        <v>90</v>
      </c>
      <c r="G18" s="10">
        <v>90</v>
      </c>
      <c r="H18" s="10">
        <v>90</v>
      </c>
      <c r="I18" s="10">
        <v>90</v>
      </c>
      <c r="J18" s="10">
        <v>90</v>
      </c>
      <c r="K18" s="10">
        <v>90</v>
      </c>
      <c r="L18" s="12">
        <f t="shared" si="0"/>
        <v>90</v>
      </c>
      <c r="M18" s="10">
        <v>100</v>
      </c>
      <c r="N18" s="10">
        <v>100</v>
      </c>
      <c r="O18" s="10">
        <v>100</v>
      </c>
      <c r="P18" s="10">
        <v>100</v>
      </c>
      <c r="Q18" s="10">
        <v>100</v>
      </c>
      <c r="R18" s="10">
        <v>100</v>
      </c>
      <c r="S18" s="12">
        <f t="shared" si="1"/>
        <v>100</v>
      </c>
      <c r="T18" s="12">
        <f t="shared" si="2"/>
        <v>95</v>
      </c>
      <c r="U18" s="10">
        <v>90</v>
      </c>
      <c r="V18" s="10">
        <v>60</v>
      </c>
      <c r="W18" s="12">
        <f t="shared" si="3"/>
        <v>66</v>
      </c>
      <c r="X18" s="12">
        <f t="shared" si="4"/>
        <v>80.5</v>
      </c>
      <c r="Y18" s="12" t="str">
        <f t="shared" si="5"/>
        <v>İYİ</v>
      </c>
      <c r="Z18" s="12" t="str">
        <f t="shared" si="6"/>
        <v>🟢 BAŞARILI</v>
      </c>
    </row>
    <row r="19" spans="1:27" ht="18" customHeight="1" x14ac:dyDescent="0.25">
      <c r="A19" s="10">
        <v>14</v>
      </c>
      <c r="B19" s="10">
        <v>22114</v>
      </c>
      <c r="C19" s="11" t="s">
        <v>103</v>
      </c>
      <c r="D19" s="11" t="s">
        <v>104</v>
      </c>
      <c r="E19" s="12"/>
      <c r="F19" s="10">
        <v>95</v>
      </c>
      <c r="G19" s="10">
        <v>100</v>
      </c>
      <c r="H19" s="10">
        <v>100</v>
      </c>
      <c r="I19" s="10">
        <v>100</v>
      </c>
      <c r="J19" s="10">
        <v>90</v>
      </c>
      <c r="K19" s="10">
        <v>93</v>
      </c>
      <c r="L19" s="12">
        <f t="shared" si="0"/>
        <v>96.333333333333329</v>
      </c>
      <c r="M19" s="10">
        <v>95</v>
      </c>
      <c r="N19" s="10">
        <v>100</v>
      </c>
      <c r="O19" s="10">
        <v>100</v>
      </c>
      <c r="P19" s="10">
        <v>100</v>
      </c>
      <c r="Q19" s="10">
        <v>95</v>
      </c>
      <c r="R19" s="10">
        <v>95</v>
      </c>
      <c r="S19" s="12">
        <f t="shared" si="1"/>
        <v>97.5</v>
      </c>
      <c r="T19" s="12">
        <f t="shared" si="2"/>
        <v>96.916666666666657</v>
      </c>
      <c r="U19" s="10">
        <v>80</v>
      </c>
      <c r="V19" s="10">
        <v>62</v>
      </c>
      <c r="W19" s="12">
        <f t="shared" si="3"/>
        <v>65.599999999999994</v>
      </c>
      <c r="X19" s="12">
        <f t="shared" si="4"/>
        <v>81.260000000000005</v>
      </c>
      <c r="Y19" s="12" t="str">
        <f t="shared" si="5"/>
        <v>İYİ</v>
      </c>
      <c r="Z19" s="12" t="str">
        <f t="shared" si="6"/>
        <v>🟢 BAŞARILI</v>
      </c>
    </row>
    <row r="20" spans="1:27" ht="18" customHeight="1" x14ac:dyDescent="0.25">
      <c r="A20" s="10">
        <v>15</v>
      </c>
      <c r="B20" s="10">
        <v>22118</v>
      </c>
      <c r="C20" s="11" t="s">
        <v>105</v>
      </c>
      <c r="D20" s="11" t="s">
        <v>58</v>
      </c>
      <c r="E20" s="12"/>
      <c r="F20" s="10">
        <v>90</v>
      </c>
      <c r="G20" s="10">
        <v>90</v>
      </c>
      <c r="H20" s="10">
        <v>90</v>
      </c>
      <c r="I20" s="10">
        <v>90</v>
      </c>
      <c r="J20" s="10">
        <v>90</v>
      </c>
      <c r="K20" s="10">
        <v>90</v>
      </c>
      <c r="L20" s="12">
        <f t="shared" si="0"/>
        <v>90</v>
      </c>
      <c r="M20" s="10">
        <v>100</v>
      </c>
      <c r="N20" s="10">
        <v>100</v>
      </c>
      <c r="O20" s="10">
        <v>100</v>
      </c>
      <c r="P20" s="10">
        <v>100</v>
      </c>
      <c r="Q20" s="10">
        <v>100</v>
      </c>
      <c r="R20" s="10">
        <v>100</v>
      </c>
      <c r="S20" s="12">
        <f t="shared" si="1"/>
        <v>100</v>
      </c>
      <c r="T20" s="12">
        <f t="shared" si="2"/>
        <v>95</v>
      </c>
      <c r="U20" s="10">
        <v>85</v>
      </c>
      <c r="V20" s="10">
        <v>72</v>
      </c>
      <c r="W20" s="12">
        <f t="shared" si="3"/>
        <v>74.599999999999994</v>
      </c>
      <c r="X20" s="12">
        <f t="shared" si="4"/>
        <v>84.8</v>
      </c>
      <c r="Y20" s="12" t="str">
        <f t="shared" si="5"/>
        <v>İYİ</v>
      </c>
      <c r="Z20" s="12" t="str">
        <f t="shared" si="6"/>
        <v>🟢 BAŞARILI</v>
      </c>
    </row>
    <row r="21" spans="1:27" ht="18" customHeight="1" x14ac:dyDescent="0.25">
      <c r="A21" s="10">
        <v>16</v>
      </c>
      <c r="B21" s="10">
        <v>22119</v>
      </c>
      <c r="C21" s="11" t="s">
        <v>106</v>
      </c>
      <c r="D21" s="11" t="s">
        <v>107</v>
      </c>
      <c r="E21" s="12"/>
      <c r="F21" s="10">
        <v>95</v>
      </c>
      <c r="G21" s="10">
        <v>95</v>
      </c>
      <c r="H21" s="10">
        <v>95</v>
      </c>
      <c r="I21" s="10">
        <v>100</v>
      </c>
      <c r="J21" s="10">
        <v>90</v>
      </c>
      <c r="K21" s="10">
        <v>95</v>
      </c>
      <c r="L21" s="12">
        <f t="shared" si="0"/>
        <v>95</v>
      </c>
      <c r="M21" s="10">
        <v>100</v>
      </c>
      <c r="N21" s="10">
        <v>95</v>
      </c>
      <c r="O21" s="10">
        <v>100</v>
      </c>
      <c r="P21" s="10">
        <v>100</v>
      </c>
      <c r="Q21" s="10">
        <v>95</v>
      </c>
      <c r="R21" s="10" t="s">
        <v>121</v>
      </c>
      <c r="S21" s="12">
        <f t="shared" si="1"/>
        <v>98</v>
      </c>
      <c r="T21" s="12">
        <f t="shared" si="2"/>
        <v>96.5</v>
      </c>
      <c r="U21" s="10">
        <v>75</v>
      </c>
      <c r="V21" s="10">
        <v>52</v>
      </c>
      <c r="W21" s="12">
        <f t="shared" si="3"/>
        <v>56.6</v>
      </c>
      <c r="X21" s="12">
        <f t="shared" si="4"/>
        <v>76.55</v>
      </c>
      <c r="Y21" s="12" t="str">
        <f t="shared" si="5"/>
        <v>İYİ</v>
      </c>
      <c r="Z21" s="12" t="str">
        <f t="shared" si="6"/>
        <v>🟢 BAŞARILI</v>
      </c>
    </row>
    <row r="22" spans="1:27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7" ht="18" customHeight="1" x14ac:dyDescent="0.25">
      <c r="A23" s="30" t="s">
        <v>72</v>
      </c>
      <c r="B23" s="18"/>
      <c r="C23" s="18"/>
      <c r="D23" s="18"/>
      <c r="E23" s="18"/>
      <c r="F23" s="12">
        <f>IFERROR(AVERAGEIF(E6:E21,"&lt;&gt;D",F6:F21),"")</f>
        <v>91.9375</v>
      </c>
      <c r="G23" s="12">
        <f>IFERROR(AVERAGEIF(E6:E21,"&lt;&gt;D",G6:G21),"")</f>
        <v>92.1875</v>
      </c>
      <c r="H23" s="12">
        <f>IFERROR(AVERAGEIF(E6:E21,"&lt;&gt;D",H6:H21),"")</f>
        <v>93.125</v>
      </c>
      <c r="I23" s="12">
        <f>IFERROR(AVERAGEIF(E6:E21,"&lt;&gt;D",I6:I21),"")</f>
        <v>92.75</v>
      </c>
      <c r="J23" s="12">
        <f>IFERROR(AVERAGEIF(E6:E21,"&lt;&gt;D",J6:J21),"")</f>
        <v>91.1875</v>
      </c>
      <c r="K23" s="12">
        <f>IFERROR(AVERAGEIF(E6:E21,"&lt;&gt;D",K6:K21),"")</f>
        <v>90.25</v>
      </c>
      <c r="L23" s="12">
        <f>IFERROR(AVERAGEIF(E6:E21,"&lt;&gt;D",L6:L21),"")</f>
        <v>91.90625</v>
      </c>
      <c r="M23" s="12">
        <f>IFERROR(AVERAGEIF(E6:E21,"&lt;&gt;D",M6:M21),"")</f>
        <v>91.875</v>
      </c>
      <c r="N23" s="12">
        <f>IFERROR(AVERAGEIF(E6:E21,"&lt;&gt;D",N6:N21),"")</f>
        <v>91.875</v>
      </c>
      <c r="O23" s="12">
        <f>IFERROR(AVERAGEIF(E6:E21,"&lt;&gt;D",O6:O21),"")</f>
        <v>91.875</v>
      </c>
      <c r="P23" s="12">
        <f>IFERROR(AVERAGEIF(E6:E21,"&lt;&gt;D",P6:P21),"")</f>
        <v>91.875</v>
      </c>
      <c r="Q23" s="12">
        <f>IFERROR(AVERAGEIF(E6:E21,"&lt;&gt;D",Q6:Q21),"")</f>
        <v>91.25</v>
      </c>
      <c r="R23" s="12">
        <f>IFERROR(AVERAGEIF(E6:E21,"&lt;&gt;D",R6:R21),"")</f>
        <v>91</v>
      </c>
      <c r="S23" s="12">
        <f>IFERROR(AVERAGEIF(E6:E21,"&lt;&gt;D",S6:S21),"")</f>
        <v>91.697916666666671</v>
      </c>
      <c r="T23" s="12">
        <f>IFERROR(AVERAGEIF(E6:E21,"&lt;&gt;D",T6:T21),"")</f>
        <v>91.802083333333329</v>
      </c>
      <c r="U23" s="12">
        <f>IFERROR(AVERAGEIF(E6:E21,"&lt;&gt;D",U6:U21),"")</f>
        <v>83.4375</v>
      </c>
      <c r="V23" s="12">
        <f>IFERROR(AVERAGEIF(E6:E21,"&lt;&gt;D",V6:V21),"")</f>
        <v>64.75</v>
      </c>
      <c r="W23" s="12">
        <f>IFERROR(AVERAGEIF(E6:E21,"&lt;&gt;D",W6:W21),"")</f>
        <v>68.487499999999997</v>
      </c>
      <c r="X23" s="12">
        <f>IFERROR(AVERAGEIF(E6:E21,"&lt;&gt;D",X6:X21),"")</f>
        <v>80.146249999999995</v>
      </c>
      <c r="Y23" s="10"/>
      <c r="Z23" s="13" t="str">
        <f>"✅ "&amp;COUNTIF(Z6:Z21,"🟢 BAŞARILI")&amp;" Başarılı"&amp;"  ❌ "&amp;COUNTIF(Z6:Z21,"🔴 BAŞARISIZ")&amp;" Başarısız"&amp;"  🚫 "&amp;COUNTIF(Z6:Z21,"🚫 DEVAMSIZLIK")&amp;" Devamsız"</f>
        <v>✅ 16 Başarılı  ❌ 0 Başarısız  🚫 0 Devamsız</v>
      </c>
    </row>
    <row r="24" spans="1:27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7" ht="102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7" ht="27.95" customHeight="1" x14ac:dyDescent="0.25">
      <c r="A26" s="20" t="s">
        <v>73</v>
      </c>
      <c r="B26" s="20"/>
      <c r="C26" s="20"/>
      <c r="D26" s="20"/>
      <c r="E26" s="20"/>
      <c r="F26" s="20"/>
      <c r="G26" s="20"/>
      <c r="H26" s="20"/>
      <c r="I26" s="20"/>
      <c r="J26" s="20"/>
      <c r="K26" s="15"/>
      <c r="L26" s="20" t="s">
        <v>73</v>
      </c>
      <c r="M26" s="20"/>
      <c r="N26" s="20"/>
      <c r="O26" s="20"/>
      <c r="P26" s="20"/>
      <c r="Q26" s="20"/>
      <c r="R26" s="20"/>
      <c r="S26" s="20" t="s">
        <v>74</v>
      </c>
      <c r="T26" s="20"/>
      <c r="U26" s="20"/>
      <c r="V26" s="20"/>
      <c r="W26" s="20"/>
      <c r="X26" s="20"/>
      <c r="Y26" s="20"/>
      <c r="Z26" s="20"/>
      <c r="AA26" s="14"/>
    </row>
    <row r="27" spans="1:27" ht="32.25" customHeight="1" x14ac:dyDescent="0.25">
      <c r="A27" s="20" t="s">
        <v>119</v>
      </c>
      <c r="B27" s="20"/>
      <c r="C27" s="20"/>
      <c r="D27" s="20"/>
      <c r="E27" s="20"/>
      <c r="F27" s="20"/>
      <c r="G27" s="20"/>
      <c r="H27" s="20"/>
      <c r="I27" s="20"/>
      <c r="J27" s="20"/>
      <c r="K27" s="15"/>
      <c r="L27" s="20" t="s">
        <v>109</v>
      </c>
      <c r="M27" s="20"/>
      <c r="N27" s="20"/>
      <c r="O27" s="20"/>
      <c r="P27" s="20"/>
      <c r="Q27" s="20"/>
      <c r="R27" s="20"/>
      <c r="S27" s="20" t="s">
        <v>77</v>
      </c>
      <c r="T27" s="20"/>
      <c r="U27" s="20"/>
      <c r="V27" s="20"/>
      <c r="W27" s="20"/>
      <c r="X27" s="20"/>
      <c r="Y27" s="20"/>
      <c r="Z27" s="20"/>
      <c r="AA27" s="14"/>
    </row>
    <row r="28" spans="1:27" ht="15.75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4"/>
    </row>
    <row r="29" spans="1:27" ht="15.75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7" ht="123.75" customHeight="1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7" ht="15.7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29" t="s">
        <v>108</v>
      </c>
      <c r="M31" s="29"/>
      <c r="N31" s="29"/>
      <c r="O31" s="29"/>
      <c r="P31" s="29"/>
      <c r="Q31" s="29"/>
      <c r="R31" s="29"/>
      <c r="S31" s="9"/>
      <c r="T31" s="9"/>
      <c r="U31" s="9"/>
      <c r="V31" s="9"/>
      <c r="W31" s="9"/>
      <c r="X31" s="9"/>
      <c r="Y31" s="9"/>
      <c r="Z31" s="9"/>
    </row>
    <row r="32" spans="1:27" ht="15" customHeight="1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20" t="s">
        <v>75</v>
      </c>
      <c r="M32" s="20"/>
      <c r="N32" s="20"/>
      <c r="O32" s="20"/>
      <c r="P32" s="20"/>
      <c r="Q32" s="20"/>
      <c r="R32" s="20"/>
      <c r="S32" s="9"/>
      <c r="T32" s="9"/>
      <c r="U32" s="9"/>
      <c r="V32" s="9"/>
      <c r="W32" s="9"/>
      <c r="X32" s="9"/>
      <c r="Y32" s="9"/>
      <c r="Z32" s="9"/>
    </row>
    <row r="33" spans="1:26" ht="15.7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28" t="s">
        <v>78</v>
      </c>
      <c r="M33" s="28"/>
      <c r="N33" s="28"/>
      <c r="O33" s="28"/>
      <c r="P33" s="28"/>
      <c r="Q33" s="28"/>
      <c r="R33" s="28"/>
      <c r="S33" s="9"/>
      <c r="T33" s="9"/>
      <c r="U33" s="9"/>
      <c r="V33" s="9"/>
      <c r="W33" s="9"/>
      <c r="X33" s="9"/>
      <c r="Y33" s="9"/>
      <c r="Z33" s="9"/>
    </row>
    <row r="34" spans="1:26" ht="15.75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</sheetData>
  <mergeCells count="27">
    <mergeCell ref="L32:R32"/>
    <mergeCell ref="L33:R33"/>
    <mergeCell ref="Y4:Y5"/>
    <mergeCell ref="F4:L4"/>
    <mergeCell ref="V4:V5"/>
    <mergeCell ref="S27:Z27"/>
    <mergeCell ref="S26:Z26"/>
    <mergeCell ref="L26:R26"/>
    <mergeCell ref="L27:R27"/>
    <mergeCell ref="A26:J26"/>
    <mergeCell ref="A27:J27"/>
    <mergeCell ref="L31:R31"/>
    <mergeCell ref="A23:E23"/>
    <mergeCell ref="A1:Z1"/>
    <mergeCell ref="A4:A5"/>
    <mergeCell ref="C4:C5"/>
    <mergeCell ref="T4:T5"/>
    <mergeCell ref="A3:Z3"/>
    <mergeCell ref="A2:Z2"/>
    <mergeCell ref="B4:B5"/>
    <mergeCell ref="Z4:Z5"/>
    <mergeCell ref="E4:E5"/>
    <mergeCell ref="D4:D5"/>
    <mergeCell ref="U4:U5"/>
    <mergeCell ref="W4:W5"/>
    <mergeCell ref="X4:X5"/>
    <mergeCell ref="M4:S4"/>
  </mergeCells>
  <conditionalFormatting sqref="Z6:Z21">
    <cfRule type="cellIs" dxfId="6" priority="1" operator="equal">
      <formula>"🟢 BAŞARILI"</formula>
    </cfRule>
    <cfRule type="cellIs" dxfId="5" priority="2" operator="equal">
      <formula>"🔴 BAŞARISIZ"</formula>
    </cfRule>
    <cfRule type="cellIs" dxfId="4" priority="3" operator="equal">
      <formula>"🚫 DEVAMSIZLIK"</formula>
    </cfRule>
    <cfRule type="cellIs" dxfId="3" priority="4" operator="equal">
      <formula>"⚠️ MUAF"</formula>
    </cfRule>
  </conditionalFormatting>
  <conditionalFormatting sqref="W6:W21">
    <cfRule type="cellIs" dxfId="2" priority="5" operator="lessThan">
      <formula>50</formula>
    </cfRule>
    <cfRule type="cellIs" dxfId="1" priority="6" operator="greaterThanOrEqual">
      <formula>70</formula>
    </cfRule>
    <cfRule type="expression" dxfId="0" priority="7">
      <formula>AND(W6&gt;=50,W6&lt;70)</formula>
    </cfRule>
  </conditionalFormatting>
  <printOptions horizontalCentered="1"/>
  <pageMargins left="0.35433070866141736" right="0.35433070866141736" top="0.39370078740157483" bottom="0.39370078740157483" header="0.51181102362204722" footer="0.51181102362204722"/>
  <pageSetup paperSize="9" scale="5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2</vt:i4>
      </vt:variant>
    </vt:vector>
  </HeadingPairs>
  <TitlesOfParts>
    <vt:vector size="4" baseType="lpstr">
      <vt:lpstr>12-A Bakım Onarım</vt:lpstr>
      <vt:lpstr>12-B Bilg.Makine İmalatı</vt:lpstr>
      <vt:lpstr>'12-A Bakım Onarım'!Yazdırma_Başlıkları</vt:lpstr>
      <vt:lpstr>'12-B Bilg.Makine İmalatı'!Yazdırma_Başlıkları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makina</cp:lastModifiedBy>
  <cp:lastPrinted>2026-06-24T05:51:41Z</cp:lastPrinted>
  <dcterms:created xsi:type="dcterms:W3CDTF">2026-06-03T07:04:29Z</dcterms:created>
  <dcterms:modified xsi:type="dcterms:W3CDTF">2026-06-24T05:52:03Z</dcterms:modified>
</cp:coreProperties>
</file>