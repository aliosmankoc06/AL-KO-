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2025-2026\AMP\"/>
    </mc:Choice>
  </mc:AlternateContent>
  <bookViews>
    <workbookView xWindow="0" yWindow="0" windowWidth="20490" windowHeight="7665"/>
  </bookViews>
  <sheets>
    <sheet name="12-A Bakım Onarım" sheetId="1" r:id="rId1"/>
    <sheet name="12-B Bilg.Makine İmalatı" sheetId="2" r:id="rId2"/>
  </sheets>
  <definedNames>
    <definedName name="_xlnm.Print_Area" localSheetId="0">'12-A Bakım Onarım'!$A$1:$J$47</definedName>
  </definedNames>
  <calcPr calcId="162913"/>
</workbook>
</file>

<file path=xl/calcChain.xml><?xml version="1.0" encoding="utf-8"?>
<calcChain xmlns="http://schemas.openxmlformats.org/spreadsheetml/2006/main">
  <c r="I18" i="1" l="1"/>
  <c r="I11" i="1" l="1"/>
  <c r="I31" i="1"/>
  <c r="I16" i="1" l="1"/>
  <c r="H24" i="2" l="1"/>
  <c r="G24" i="2"/>
  <c r="F24" i="2"/>
  <c r="E24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J24" i="2" s="1"/>
  <c r="H33" i="1"/>
  <c r="G33" i="1"/>
  <c r="F33" i="1"/>
  <c r="E33" i="1"/>
  <c r="I30" i="1"/>
  <c r="I29" i="1"/>
  <c r="I28" i="1"/>
  <c r="I27" i="1"/>
  <c r="I26" i="1"/>
  <c r="I25" i="1"/>
  <c r="I24" i="1"/>
  <c r="I22" i="1"/>
  <c r="I21" i="1"/>
  <c r="I20" i="1"/>
  <c r="I19" i="1"/>
  <c r="I17" i="1"/>
  <c r="I15" i="1"/>
  <c r="I13" i="1"/>
  <c r="I12" i="1"/>
  <c r="I10" i="1"/>
  <c r="I9" i="1"/>
  <c r="I8" i="1"/>
  <c r="I7" i="1"/>
  <c r="I6" i="1"/>
  <c r="J33" i="1" s="1"/>
  <c r="I33" i="1" l="1"/>
  <c r="I24" i="2"/>
</calcChain>
</file>

<file path=xl/sharedStrings.xml><?xml version="1.0" encoding="utf-8"?>
<sst xmlns="http://schemas.openxmlformats.org/spreadsheetml/2006/main" count="148" uniqueCount="113">
  <si>
    <t>Makine ve Tasarım Teknolojisi Alanı — Makine Bakım Onarım Dalı</t>
  </si>
  <si>
    <t>İŞ DOSYASI (STAJ DEFTERİ) DERECELENDİRME ANAHTARI — 2025-2026 Eğitim-Öğretim Yılı</t>
  </si>
  <si>
    <t>Öğrenci No</t>
  </si>
  <si>
    <t>Adı</t>
  </si>
  <si>
    <t>Soyadı</t>
  </si>
  <si>
    <t>Kriter 1
Sayfa Düzeni ve
Temizliği
(Max: 25 Puan)</t>
  </si>
  <si>
    <t>Kriter 2
Teknik Resim ve
Çizim Kuralları
(Max: 25 Puan)</t>
  </si>
  <si>
    <t>Kriter 3
Yapılan İşlerin
Anlatımı
(Max: 25 Puan)</t>
  </si>
  <si>
    <t>Kriter 4
Usta Öğretici
İmzaları
(Max: 25 Puan)</t>
  </si>
  <si>
    <t>TOPLAM
(Max: 100)</t>
  </si>
  <si>
    <t>AÇIKLAMA /
KOMİSYON NOTU</t>
  </si>
  <si>
    <t>0-5: Çok dağınık ve kirli
6-12: Kısmen düzenli
13-19: Büyük ölçüde düzenli
20-24: Düzenli ve temiz
25: Mükemmel düzen</t>
  </si>
  <si>
    <t>0-5: Hiç kural yok
6-12: Kısmen uygun
13-19: Büyük ölçüde uygun
20-24: Kurallara uygun
25: Tam ve eksiksiz</t>
  </si>
  <si>
    <t>0-5: Yok / çok yetersiz
6-12: Kısmen açıklama var
13-19: Yeterli açıklama
20-24: Detaylı anlatım
25: Eksiksiz ve detaylı</t>
  </si>
  <si>
    <t>0-5: İmza çok eksik
6-12: Kısmen imzalı
13-19: Büyük bölümü imzalı
20-24: Neredeyse tamamı
25: Tamamı imzalı</t>
  </si>
  <si>
    <t>EMRECAN</t>
  </si>
  <si>
    <t>KAYA</t>
  </si>
  <si>
    <t>MUHAMMET FURKAN</t>
  </si>
  <si>
    <t>ÇOBAN</t>
  </si>
  <si>
    <t>NAZLIM MERT</t>
  </si>
  <si>
    <t>ABAY</t>
  </si>
  <si>
    <t>ONUR</t>
  </si>
  <si>
    <t>EROL</t>
  </si>
  <si>
    <t>MUSTAFA</t>
  </si>
  <si>
    <t>KÖŞKER</t>
  </si>
  <si>
    <t>EMİRHAN</t>
  </si>
  <si>
    <t>SAMET</t>
  </si>
  <si>
    <t>KAPLAN</t>
  </si>
  <si>
    <t>KAAN</t>
  </si>
  <si>
    <t>AÇICIER</t>
  </si>
  <si>
    <t>DEVRİM</t>
  </si>
  <si>
    <t>SAL</t>
  </si>
  <si>
    <t>ANIL</t>
  </si>
  <si>
    <t>ERİM</t>
  </si>
  <si>
    <t>TURAN</t>
  </si>
  <si>
    <t>BEDİRHAN</t>
  </si>
  <si>
    <t>CEYHAN</t>
  </si>
  <si>
    <t>OĞUZHAN</t>
  </si>
  <si>
    <t>ÇAKIR</t>
  </si>
  <si>
    <t>ARDA</t>
  </si>
  <si>
    <t>ÖZCAN</t>
  </si>
  <si>
    <t>BATUHAN</t>
  </si>
  <si>
    <t>USTA</t>
  </si>
  <si>
    <t>CAFER</t>
  </si>
  <si>
    <t>ÇELİK</t>
  </si>
  <si>
    <t>İSMAİL MERT</t>
  </si>
  <si>
    <t>GELİR</t>
  </si>
  <si>
    <t>KADİR EFE</t>
  </si>
  <si>
    <t>KURMALI</t>
  </si>
  <si>
    <t>MEHMET</t>
  </si>
  <si>
    <t>MUTLU</t>
  </si>
  <si>
    <t>MERTHAN</t>
  </si>
  <si>
    <t>YILDIRIM</t>
  </si>
  <si>
    <t>MUHAMMET</t>
  </si>
  <si>
    <t>KAYSIZIN</t>
  </si>
  <si>
    <t>ŞEVKİCAN</t>
  </si>
  <si>
    <t>ŞEN</t>
  </si>
  <si>
    <t>BERAT</t>
  </si>
  <si>
    <t>MUYAN</t>
  </si>
  <si>
    <t>MURAT EREN</t>
  </si>
  <si>
    <t>YİĞİT</t>
  </si>
  <si>
    <t>SELİM</t>
  </si>
  <si>
    <t>SEMİH</t>
  </si>
  <si>
    <t>DEMİRCİ</t>
  </si>
  <si>
    <t>SINIF ORTALAMASI</t>
  </si>
  <si>
    <t>Komisyon Üyesi</t>
  </si>
  <si>
    <t>Koordinatör Müdür Yardımcısı</t>
  </si>
  <si>
    <t>Esra BODUR</t>
  </si>
  <si>
    <t>ÖMER</t>
  </si>
  <si>
    <t>ARDIÇ</t>
  </si>
  <si>
    <t>BARIŞ</t>
  </si>
  <si>
    <t>GÜR</t>
  </si>
  <si>
    <t>HÜSEYİN</t>
  </si>
  <si>
    <t>BİÇER</t>
  </si>
  <si>
    <t>AKSOY</t>
  </si>
  <si>
    <t>BURAK</t>
  </si>
  <si>
    <t>ASKAY</t>
  </si>
  <si>
    <t>KARAARSLAN</t>
  </si>
  <si>
    <t>ENES</t>
  </si>
  <si>
    <t>ARSLANCAN</t>
  </si>
  <si>
    <t>HAYATİCAN</t>
  </si>
  <si>
    <t>SEMİZ</t>
  </si>
  <si>
    <t>HÜZEYFE</t>
  </si>
  <si>
    <t>ATICI</t>
  </si>
  <si>
    <t>İSMAİL</t>
  </si>
  <si>
    <t>DOĞAN</t>
  </si>
  <si>
    <t>RECEP EREN</t>
  </si>
  <si>
    <t>AKAR</t>
  </si>
  <si>
    <t>ALPER</t>
  </si>
  <si>
    <t>UYGUN</t>
  </si>
  <si>
    <t>BİROL UFUK</t>
  </si>
  <si>
    <t>CENGİZ</t>
  </si>
  <si>
    <t>BÜNYAMİN EFE</t>
  </si>
  <si>
    <t>AKBAŞ</t>
  </si>
  <si>
    <t>İSMAİLCAN</t>
  </si>
  <si>
    <t>MEHMET CAN</t>
  </si>
  <si>
    <t>DAYAN</t>
  </si>
  <si>
    <t>Sıra
No</t>
  </si>
  <si>
    <t>Soma Mesleki ve Teknik Anadolu Lisesi</t>
  </si>
  <si>
    <t>Gökhan ARSLAN
İmalat Yöntemleri Atölye Şefi</t>
  </si>
  <si>
    <t xml:space="preserve">             Esra BODUR</t>
  </si>
  <si>
    <t xml:space="preserve">                           Komisyon Üyesi</t>
  </si>
  <si>
    <t xml:space="preserve">             Komisyon Başkanı
           Okul Müdürü</t>
  </si>
  <si>
    <t xml:space="preserve">           Ahmet AÇAR</t>
  </si>
  <si>
    <t xml:space="preserve">                       Komisyon Üyesi</t>
  </si>
  <si>
    <t xml:space="preserve">                         Şerif YETİM
             İmalat İşlemleri Atölye Şefi</t>
  </si>
  <si>
    <t>Seyit Ömer ŞEKER
    Alan Öğretmeni</t>
  </si>
  <si>
    <t xml:space="preserve">   Komisyon Üyesi</t>
  </si>
  <si>
    <t>Koordinatör Mdr. Yrd.</t>
  </si>
  <si>
    <t xml:space="preserve">        Komisyon Başkanı
           Okul Müdürü</t>
  </si>
  <si>
    <t>Arzu KIRICI
CAD / CAM Atölye Şefi</t>
  </si>
  <si>
    <t xml:space="preserve">                           Ali Osman KOÇ
                        Makine Tek. Alan Şefi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</si>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</sst>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rgb="FF000000"/>
      <name val="Times New Roman"/>
      <family val="1"/>
      <charset val="162"/>
    </font>
    <font>
      <sz val="11"/>
      <name val="Calibri"/>
      <family val="2"/>
      <scheme val="minor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8"/>
      <name val="Times New Roman"/>
      <family val="1"/>
      <charset val="162"/>
    </font>
    <font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4"/>
      <name val="Times New Roman"/>
      <family val="1"/>
      <charset val="162"/>
    </font>
    <font>
      <sz val="14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Calibri"/>
      <family val="2"/>
      <scheme val="minor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/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/>
    <xf numFmtId="0" fontId="15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/>
    <xf numFmtId="0" fontId="6" fillId="0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13" fillId="0" borderId="0" xfId="0" applyFont="1" applyFill="1" applyAlignment="1">
      <alignment horizontal="center" vertical="center"/>
    </xf>
    <xf numFmtId="0" fontId="14" fillId="0" borderId="0" xfId="0" applyFont="1" applyFill="1"/>
    <xf numFmtId="0" fontId="17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showGridLines="0" tabSelected="1" zoomScale="115" zoomScaleNormal="115" workbookViewId="0">
      <selection activeCell="J32" sqref="J32"/>
    </sheetView>
  </sheetViews>
  <sheetFormatPr defaultRowHeight="15" x14ac:dyDescent="0.25"/>
  <cols>
    <col min="1" max="1" width="5" customWidth="1"/>
    <col min="2" max="2" width="16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10" ht="24" customHeight="1" x14ac:dyDescent="0.3">
      <c r="A1" s="23" t="s">
        <v>98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9.75" customHeight="1" x14ac:dyDescent="0.3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39.75" customHeight="1" x14ac:dyDescent="0.3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56.1" customHeight="1" x14ac:dyDescent="0.25">
      <c r="A4" s="20" t="s">
        <v>97</v>
      </c>
      <c r="B4" s="20" t="s">
        <v>2</v>
      </c>
      <c r="C4" s="20" t="s">
        <v>3</v>
      </c>
      <c r="D4" s="20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20" t="s">
        <v>9</v>
      </c>
      <c r="J4" s="20" t="s">
        <v>10</v>
      </c>
    </row>
    <row r="5" spans="1:10" ht="96.75" customHeight="1" x14ac:dyDescent="0.25">
      <c r="A5" s="21"/>
      <c r="B5" s="21"/>
      <c r="C5" s="21"/>
      <c r="D5" s="21"/>
      <c r="E5" s="7" t="s">
        <v>11</v>
      </c>
      <c r="F5" s="7" t="s">
        <v>12</v>
      </c>
      <c r="G5" s="7" t="s">
        <v>13</v>
      </c>
      <c r="H5" s="7" t="s">
        <v>14</v>
      </c>
      <c r="I5" s="21"/>
      <c r="J5" s="21"/>
    </row>
    <row r="6" spans="1:10" ht="20.100000000000001" customHeight="1" x14ac:dyDescent="0.25">
      <c r="A6" s="1">
        <v>1</v>
      </c>
      <c r="B6" s="1">
        <v>43</v>
      </c>
      <c r="C6" s="2" t="s">
        <v>15</v>
      </c>
      <c r="D6" s="2" t="s">
        <v>16</v>
      </c>
      <c r="E6" s="3">
        <v>20</v>
      </c>
      <c r="F6" s="3">
        <v>15</v>
      </c>
      <c r="G6" s="3">
        <v>25</v>
      </c>
      <c r="H6" s="3">
        <v>25</v>
      </c>
      <c r="I6" s="4">
        <f t="shared" ref="I6:I31" si="0">IFERROR(SUM(E6:H6),"")</f>
        <v>85</v>
      </c>
      <c r="J6" s="2"/>
    </row>
    <row r="7" spans="1:10" ht="20.100000000000001" customHeight="1" x14ac:dyDescent="0.25">
      <c r="A7" s="1">
        <v>2</v>
      </c>
      <c r="B7" s="1">
        <v>332</v>
      </c>
      <c r="C7" s="2" t="s">
        <v>17</v>
      </c>
      <c r="D7" s="2" t="s">
        <v>18</v>
      </c>
      <c r="E7" s="3">
        <v>25</v>
      </c>
      <c r="F7" s="3">
        <v>20</v>
      </c>
      <c r="G7" s="3">
        <v>0</v>
      </c>
      <c r="H7" s="3">
        <v>25</v>
      </c>
      <c r="I7" s="4">
        <f t="shared" si="0"/>
        <v>70</v>
      </c>
      <c r="J7" s="2"/>
    </row>
    <row r="8" spans="1:10" ht="20.100000000000001" customHeight="1" x14ac:dyDescent="0.25">
      <c r="A8" s="1">
        <v>3</v>
      </c>
      <c r="B8" s="1">
        <v>414</v>
      </c>
      <c r="C8" s="2" t="s">
        <v>19</v>
      </c>
      <c r="D8" s="2" t="s">
        <v>20</v>
      </c>
      <c r="E8" s="3">
        <v>20</v>
      </c>
      <c r="F8" s="3">
        <v>15</v>
      </c>
      <c r="G8" s="3">
        <v>20</v>
      </c>
      <c r="H8" s="3">
        <v>25</v>
      </c>
      <c r="I8" s="4">
        <f t="shared" si="0"/>
        <v>80</v>
      </c>
      <c r="J8" s="2"/>
    </row>
    <row r="9" spans="1:10" ht="20.100000000000001" customHeight="1" x14ac:dyDescent="0.25">
      <c r="A9" s="1">
        <v>4</v>
      </c>
      <c r="B9" s="1">
        <v>452</v>
      </c>
      <c r="C9" s="2" t="s">
        <v>21</v>
      </c>
      <c r="D9" s="2" t="s">
        <v>22</v>
      </c>
      <c r="E9" s="3">
        <v>20</v>
      </c>
      <c r="F9" s="3">
        <v>15</v>
      </c>
      <c r="G9" s="3">
        <v>25</v>
      </c>
      <c r="H9" s="3">
        <v>25</v>
      </c>
      <c r="I9" s="4">
        <f t="shared" si="0"/>
        <v>85</v>
      </c>
      <c r="J9" s="2"/>
    </row>
    <row r="10" spans="1:10" ht="20.100000000000001" customHeight="1" x14ac:dyDescent="0.25">
      <c r="A10" s="1">
        <v>5</v>
      </c>
      <c r="B10" s="1">
        <v>463</v>
      </c>
      <c r="C10" s="2" t="s">
        <v>23</v>
      </c>
      <c r="D10" s="2" t="s">
        <v>24</v>
      </c>
      <c r="E10" s="3">
        <v>20</v>
      </c>
      <c r="F10" s="3">
        <v>20</v>
      </c>
      <c r="G10" s="3">
        <v>25</v>
      </c>
      <c r="H10" s="3">
        <v>25</v>
      </c>
      <c r="I10" s="4">
        <f t="shared" si="0"/>
        <v>90</v>
      </c>
      <c r="J10" s="2"/>
    </row>
    <row r="11" spans="1:10" ht="20.100000000000001" customHeight="1" x14ac:dyDescent="0.25">
      <c r="A11" s="1">
        <v>6</v>
      </c>
      <c r="B11" s="1">
        <v>528</v>
      </c>
      <c r="C11" s="2" t="s">
        <v>25</v>
      </c>
      <c r="D11" s="2" t="s">
        <v>22</v>
      </c>
      <c r="E11" s="3">
        <v>15</v>
      </c>
      <c r="F11" s="3">
        <v>15</v>
      </c>
      <c r="G11" s="3">
        <v>12.5</v>
      </c>
      <c r="H11" s="3">
        <v>12.5</v>
      </c>
      <c r="I11" s="4">
        <f t="shared" si="0"/>
        <v>55</v>
      </c>
      <c r="J11" s="2"/>
    </row>
    <row r="12" spans="1:10" ht="20.100000000000001" customHeight="1" x14ac:dyDescent="0.25">
      <c r="A12" s="1">
        <v>7</v>
      </c>
      <c r="B12" s="1">
        <v>530</v>
      </c>
      <c r="C12" s="2" t="s">
        <v>26</v>
      </c>
      <c r="D12" s="2" t="s">
        <v>27</v>
      </c>
      <c r="E12" s="3">
        <v>15</v>
      </c>
      <c r="F12" s="3">
        <v>15</v>
      </c>
      <c r="G12" s="3">
        <v>25</v>
      </c>
      <c r="H12" s="3">
        <v>25</v>
      </c>
      <c r="I12" s="4">
        <f t="shared" si="0"/>
        <v>80</v>
      </c>
      <c r="J12" s="2"/>
    </row>
    <row r="13" spans="1:10" ht="20.100000000000001" customHeight="1" x14ac:dyDescent="0.25">
      <c r="A13" s="1">
        <v>8</v>
      </c>
      <c r="B13" s="1">
        <v>549</v>
      </c>
      <c r="C13" s="2" t="s">
        <v>28</v>
      </c>
      <c r="D13" s="2" t="s">
        <v>29</v>
      </c>
      <c r="E13" s="3">
        <v>25</v>
      </c>
      <c r="F13" s="3">
        <v>20</v>
      </c>
      <c r="G13" s="3">
        <v>25</v>
      </c>
      <c r="H13" s="3">
        <v>25</v>
      </c>
      <c r="I13" s="4">
        <f t="shared" si="0"/>
        <v>95</v>
      </c>
      <c r="J13" s="2"/>
    </row>
    <row r="14" spans="1:10" ht="20.100000000000001" customHeight="1" x14ac:dyDescent="0.25">
      <c r="A14" s="1">
        <v>9</v>
      </c>
      <c r="B14" s="1">
        <v>563</v>
      </c>
      <c r="C14" s="2" t="s">
        <v>30</v>
      </c>
      <c r="D14" s="2" t="s">
        <v>31</v>
      </c>
      <c r="E14" s="3" t="s">
        <v>112</v>
      </c>
      <c r="F14" s="3" t="s">
        <v>112</v>
      </c>
      <c r="G14" s="3" t="s">
        <v>112</v>
      </c>
      <c r="H14" s="3" t="s">
        <v>112</v>
      </c>
      <c r="I14" s="4" t="s">
        <v>112</v>
      </c>
      <c r="J14" s="2"/>
    </row>
    <row r="15" spans="1:10" ht="20.100000000000001" customHeight="1" x14ac:dyDescent="0.25">
      <c r="A15" s="1">
        <v>10</v>
      </c>
      <c r="B15" s="1">
        <v>570</v>
      </c>
      <c r="C15" s="2" t="s">
        <v>32</v>
      </c>
      <c r="D15" s="2" t="s">
        <v>21</v>
      </c>
      <c r="E15" s="3">
        <v>25</v>
      </c>
      <c r="F15" s="3">
        <v>25</v>
      </c>
      <c r="G15" s="3">
        <v>25</v>
      </c>
      <c r="H15" s="3">
        <v>25</v>
      </c>
      <c r="I15" s="4">
        <f t="shared" si="0"/>
        <v>100</v>
      </c>
      <c r="J15" s="2"/>
    </row>
    <row r="16" spans="1:10" ht="20.100000000000001" customHeight="1" x14ac:dyDescent="0.25">
      <c r="A16" s="1">
        <v>11</v>
      </c>
      <c r="B16" s="1">
        <v>577</v>
      </c>
      <c r="C16" s="2" t="s">
        <v>33</v>
      </c>
      <c r="D16" s="2" t="s">
        <v>34</v>
      </c>
      <c r="E16" s="3">
        <v>10</v>
      </c>
      <c r="F16" s="3">
        <v>15</v>
      </c>
      <c r="G16" s="3">
        <v>20</v>
      </c>
      <c r="H16" s="3">
        <v>0</v>
      </c>
      <c r="I16" s="4">
        <f t="shared" si="0"/>
        <v>45</v>
      </c>
      <c r="J16" s="2"/>
    </row>
    <row r="17" spans="1:10" ht="20.100000000000001" customHeight="1" x14ac:dyDescent="0.25">
      <c r="A17" s="1">
        <v>12</v>
      </c>
      <c r="B17" s="1">
        <v>640</v>
      </c>
      <c r="C17" s="2" t="s">
        <v>35</v>
      </c>
      <c r="D17" s="2" t="s">
        <v>36</v>
      </c>
      <c r="E17" s="3">
        <v>20</v>
      </c>
      <c r="F17" s="3">
        <v>15</v>
      </c>
      <c r="G17" s="3">
        <v>25</v>
      </c>
      <c r="H17" s="3">
        <v>25</v>
      </c>
      <c r="I17" s="4">
        <f t="shared" si="0"/>
        <v>85</v>
      </c>
      <c r="J17" s="2"/>
    </row>
    <row r="18" spans="1:10" ht="20.100000000000001" customHeight="1" x14ac:dyDescent="0.25">
      <c r="A18" s="1">
        <v>13</v>
      </c>
      <c r="B18" s="1">
        <v>646</v>
      </c>
      <c r="C18" s="2" t="s">
        <v>37</v>
      </c>
      <c r="D18" s="2" t="s">
        <v>38</v>
      </c>
      <c r="E18" s="3">
        <v>10</v>
      </c>
      <c r="F18" s="3">
        <v>10</v>
      </c>
      <c r="G18" s="3">
        <v>10</v>
      </c>
      <c r="H18" s="3">
        <v>0</v>
      </c>
      <c r="I18" s="4">
        <f t="shared" si="0"/>
        <v>30</v>
      </c>
      <c r="J18" s="2"/>
    </row>
    <row r="19" spans="1:10" ht="20.100000000000001" customHeight="1" x14ac:dyDescent="0.25">
      <c r="A19" s="1">
        <v>14</v>
      </c>
      <c r="B19" s="1">
        <v>22079</v>
      </c>
      <c r="C19" s="2" t="s">
        <v>39</v>
      </c>
      <c r="D19" s="2" t="s">
        <v>40</v>
      </c>
      <c r="E19" s="3">
        <v>20</v>
      </c>
      <c r="F19" s="3">
        <v>20</v>
      </c>
      <c r="G19" s="3">
        <v>20</v>
      </c>
      <c r="H19" s="3">
        <v>25</v>
      </c>
      <c r="I19" s="4">
        <f t="shared" si="0"/>
        <v>85</v>
      </c>
      <c r="J19" s="2"/>
    </row>
    <row r="20" spans="1:10" ht="20.100000000000001" customHeight="1" x14ac:dyDescent="0.25">
      <c r="A20" s="1">
        <v>15</v>
      </c>
      <c r="B20" s="1">
        <v>22081</v>
      </c>
      <c r="C20" s="2" t="s">
        <v>41</v>
      </c>
      <c r="D20" s="2" t="s">
        <v>42</v>
      </c>
      <c r="E20" s="3">
        <v>20</v>
      </c>
      <c r="F20" s="3">
        <v>15</v>
      </c>
      <c r="G20" s="3">
        <v>25</v>
      </c>
      <c r="H20" s="3">
        <v>25</v>
      </c>
      <c r="I20" s="4">
        <f t="shared" si="0"/>
        <v>85</v>
      </c>
      <c r="J20" s="2"/>
    </row>
    <row r="21" spans="1:10" ht="20.100000000000001" customHeight="1" x14ac:dyDescent="0.25">
      <c r="A21" s="1">
        <v>16</v>
      </c>
      <c r="B21" s="1">
        <v>22084</v>
      </c>
      <c r="C21" s="2" t="s">
        <v>43</v>
      </c>
      <c r="D21" s="2" t="s">
        <v>44</v>
      </c>
      <c r="E21" s="3">
        <v>25</v>
      </c>
      <c r="F21" s="3">
        <v>25</v>
      </c>
      <c r="G21" s="3">
        <v>25</v>
      </c>
      <c r="H21" s="3">
        <v>25</v>
      </c>
      <c r="I21" s="4">
        <f t="shared" si="0"/>
        <v>100</v>
      </c>
      <c r="J21" s="2"/>
    </row>
    <row r="22" spans="1:10" ht="20.100000000000001" customHeight="1" x14ac:dyDescent="0.25">
      <c r="A22" s="1">
        <v>17</v>
      </c>
      <c r="B22" s="1">
        <v>22093</v>
      </c>
      <c r="C22" s="2" t="s">
        <v>45</v>
      </c>
      <c r="D22" s="2" t="s">
        <v>46</v>
      </c>
      <c r="E22" s="3">
        <v>20</v>
      </c>
      <c r="F22" s="3">
        <v>20</v>
      </c>
      <c r="G22" s="3">
        <v>25</v>
      </c>
      <c r="H22" s="3">
        <v>25</v>
      </c>
      <c r="I22" s="4">
        <f t="shared" si="0"/>
        <v>90</v>
      </c>
      <c r="J22" s="2"/>
    </row>
    <row r="23" spans="1:10" ht="20.100000000000001" customHeight="1" x14ac:dyDescent="0.25">
      <c r="A23" s="1">
        <v>18</v>
      </c>
      <c r="B23" s="1">
        <v>22094</v>
      </c>
      <c r="C23" s="2" t="s">
        <v>47</v>
      </c>
      <c r="D23" s="2" t="s">
        <v>48</v>
      </c>
      <c r="E23" s="3" t="s">
        <v>112</v>
      </c>
      <c r="F23" s="3" t="s">
        <v>112</v>
      </c>
      <c r="G23" s="3" t="s">
        <v>112</v>
      </c>
      <c r="H23" s="3" t="s">
        <v>112</v>
      </c>
      <c r="I23" s="4" t="s">
        <v>112</v>
      </c>
      <c r="J23" s="2"/>
    </row>
    <row r="24" spans="1:10" ht="20.100000000000001" customHeight="1" x14ac:dyDescent="0.25">
      <c r="A24" s="1">
        <v>19</v>
      </c>
      <c r="B24" s="1">
        <v>22096</v>
      </c>
      <c r="C24" s="2" t="s">
        <v>49</v>
      </c>
      <c r="D24" s="2" t="s">
        <v>50</v>
      </c>
      <c r="E24" s="3">
        <v>20</v>
      </c>
      <c r="F24" s="3">
        <v>20</v>
      </c>
      <c r="G24" s="3">
        <v>20</v>
      </c>
      <c r="H24" s="3">
        <v>25</v>
      </c>
      <c r="I24" s="4">
        <f t="shared" si="0"/>
        <v>85</v>
      </c>
      <c r="J24" s="2"/>
    </row>
    <row r="25" spans="1:10" ht="20.100000000000001" customHeight="1" x14ac:dyDescent="0.25">
      <c r="A25" s="1">
        <v>20</v>
      </c>
      <c r="B25" s="1">
        <v>22098</v>
      </c>
      <c r="C25" s="2" t="s">
        <v>51</v>
      </c>
      <c r="D25" s="2" t="s">
        <v>52</v>
      </c>
      <c r="E25" s="3">
        <v>15</v>
      </c>
      <c r="F25" s="3">
        <v>15</v>
      </c>
      <c r="G25" s="3">
        <v>25</v>
      </c>
      <c r="H25" s="3">
        <v>25</v>
      </c>
      <c r="I25" s="4">
        <f t="shared" si="0"/>
        <v>80</v>
      </c>
      <c r="J25" s="2"/>
    </row>
    <row r="26" spans="1:10" ht="20.100000000000001" customHeight="1" x14ac:dyDescent="0.25">
      <c r="A26" s="1">
        <v>21</v>
      </c>
      <c r="B26" s="1">
        <v>22100</v>
      </c>
      <c r="C26" s="2" t="s">
        <v>53</v>
      </c>
      <c r="D26" s="2" t="s">
        <v>54</v>
      </c>
      <c r="E26" s="3">
        <v>20</v>
      </c>
      <c r="F26" s="3">
        <v>20</v>
      </c>
      <c r="G26" s="3">
        <v>25</v>
      </c>
      <c r="H26" s="3">
        <v>25</v>
      </c>
      <c r="I26" s="4">
        <f t="shared" si="0"/>
        <v>90</v>
      </c>
      <c r="J26" s="2"/>
    </row>
    <row r="27" spans="1:10" ht="20.100000000000001" customHeight="1" x14ac:dyDescent="0.25">
      <c r="A27" s="1">
        <v>22</v>
      </c>
      <c r="B27" s="1">
        <v>22105</v>
      </c>
      <c r="C27" s="2" t="s">
        <v>55</v>
      </c>
      <c r="D27" s="2" t="s">
        <v>56</v>
      </c>
      <c r="E27" s="3">
        <v>20</v>
      </c>
      <c r="F27" s="3">
        <v>20</v>
      </c>
      <c r="G27" s="3">
        <v>25</v>
      </c>
      <c r="H27" s="3">
        <v>25</v>
      </c>
      <c r="I27" s="4">
        <f t="shared" si="0"/>
        <v>90</v>
      </c>
      <c r="J27" s="2"/>
    </row>
    <row r="28" spans="1:10" ht="20.100000000000001" customHeight="1" x14ac:dyDescent="0.25">
      <c r="A28" s="1">
        <v>23</v>
      </c>
      <c r="B28" s="1">
        <v>22112</v>
      </c>
      <c r="C28" s="2" t="s">
        <v>57</v>
      </c>
      <c r="D28" s="2" t="s">
        <v>58</v>
      </c>
      <c r="E28" s="3">
        <v>25</v>
      </c>
      <c r="F28" s="3">
        <v>25</v>
      </c>
      <c r="G28" s="3">
        <v>25</v>
      </c>
      <c r="H28" s="3">
        <v>25</v>
      </c>
      <c r="I28" s="4">
        <f t="shared" si="0"/>
        <v>100</v>
      </c>
      <c r="J28" s="2"/>
    </row>
    <row r="29" spans="1:10" ht="20.100000000000001" customHeight="1" x14ac:dyDescent="0.25">
      <c r="A29" s="1">
        <v>24</v>
      </c>
      <c r="B29" s="1">
        <v>22121</v>
      </c>
      <c r="C29" s="2" t="s">
        <v>59</v>
      </c>
      <c r="D29" s="2" t="s">
        <v>60</v>
      </c>
      <c r="E29" s="3">
        <v>20</v>
      </c>
      <c r="F29" s="3">
        <v>20</v>
      </c>
      <c r="G29" s="3">
        <v>25</v>
      </c>
      <c r="H29" s="3">
        <v>25</v>
      </c>
      <c r="I29" s="4">
        <f t="shared" si="0"/>
        <v>90</v>
      </c>
      <c r="J29" s="2"/>
    </row>
    <row r="30" spans="1:10" ht="20.100000000000001" customHeight="1" x14ac:dyDescent="0.25">
      <c r="A30" s="1">
        <v>25</v>
      </c>
      <c r="B30" s="1">
        <v>22125</v>
      </c>
      <c r="C30" s="2" t="s">
        <v>61</v>
      </c>
      <c r="D30" s="2" t="s">
        <v>38</v>
      </c>
      <c r="E30" s="3">
        <v>10</v>
      </c>
      <c r="F30" s="3">
        <v>10</v>
      </c>
      <c r="G30" s="3">
        <v>10</v>
      </c>
      <c r="H30" s="3">
        <v>20</v>
      </c>
      <c r="I30" s="4">
        <f t="shared" si="0"/>
        <v>50</v>
      </c>
      <c r="J30" s="2"/>
    </row>
    <row r="31" spans="1:10" ht="20.100000000000001" customHeight="1" x14ac:dyDescent="0.25">
      <c r="A31" s="1">
        <v>26</v>
      </c>
      <c r="B31" s="1">
        <v>22126</v>
      </c>
      <c r="C31" s="2" t="s">
        <v>62</v>
      </c>
      <c r="D31" s="2" t="s">
        <v>63</v>
      </c>
      <c r="E31" s="3">
        <v>10</v>
      </c>
      <c r="F31" s="3">
        <v>10</v>
      </c>
      <c r="G31" s="3">
        <v>10</v>
      </c>
      <c r="H31" s="3">
        <v>12.5</v>
      </c>
      <c r="I31" s="4">
        <f t="shared" si="0"/>
        <v>42.5</v>
      </c>
      <c r="J31" s="2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8" customHeight="1" x14ac:dyDescent="0.25">
      <c r="A33" s="25" t="s">
        <v>64</v>
      </c>
      <c r="B33" s="26"/>
      <c r="C33" s="26"/>
      <c r="D33" s="26"/>
      <c r="E33" s="8">
        <f>IFERROR(AVERAGE(E6:E31),"")</f>
        <v>18.75</v>
      </c>
      <c r="F33" s="8">
        <f>IFERROR(AVERAGE(F6:F31),"")</f>
        <v>17.5</v>
      </c>
      <c r="G33" s="8">
        <f>IFERROR(AVERAGE(G6:G31),"")</f>
        <v>20.729166666666668</v>
      </c>
      <c r="H33" s="8">
        <f>IFERROR(AVERAGE(H6:H31),"")</f>
        <v>21.666666666666668</v>
      </c>
      <c r="I33" s="8">
        <f>IFERROR(AVERAGE(I6:I31),"")</f>
        <v>78.645833333333329</v>
      </c>
      <c r="J33" s="9" t="str">
        <f>IFERROR("Sınıf Ort: "&amp;ROUND(I6,1)&amp;" / 100","")</f>
        <v>Sınıf Ort: 85 / 100</v>
      </c>
    </row>
    <row r="34" spans="1:10" ht="107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27.75" customHeight="1" x14ac:dyDescent="0.25">
      <c r="A35" s="22" t="s">
        <v>65</v>
      </c>
      <c r="B35" s="22"/>
      <c r="C35" s="22"/>
      <c r="D35" s="22"/>
      <c r="E35" s="18" t="s">
        <v>104</v>
      </c>
      <c r="F35" s="18"/>
      <c r="G35" s="18"/>
      <c r="H35" s="18"/>
      <c r="I35" s="18" t="s">
        <v>107</v>
      </c>
      <c r="J35" s="19"/>
    </row>
    <row r="36" spans="1:10" ht="36.75" customHeight="1" x14ac:dyDescent="0.25">
      <c r="A36" s="22" t="s">
        <v>110</v>
      </c>
      <c r="B36" s="22"/>
      <c r="C36" s="22"/>
      <c r="D36" s="22"/>
      <c r="E36" s="18" t="s">
        <v>105</v>
      </c>
      <c r="F36" s="18"/>
      <c r="G36" s="18"/>
      <c r="H36" s="18"/>
      <c r="I36" s="18" t="s">
        <v>106</v>
      </c>
      <c r="J36" s="19"/>
    </row>
    <row r="37" spans="1:10" ht="123" customHeight="1" x14ac:dyDescent="0.25">
      <c r="A37" s="10"/>
      <c r="B37" s="11"/>
      <c r="C37" s="10"/>
      <c r="D37" s="11"/>
      <c r="E37" s="10"/>
      <c r="F37" s="11"/>
      <c r="G37" s="10"/>
      <c r="H37" s="11"/>
      <c r="I37" s="10"/>
      <c r="J37" s="11"/>
    </row>
    <row r="38" spans="1:10" ht="27.75" customHeight="1" x14ac:dyDescent="0.25">
      <c r="A38" s="22" t="s">
        <v>108</v>
      </c>
      <c r="B38" s="22"/>
      <c r="C38" s="22"/>
      <c r="D38" s="22"/>
      <c r="E38" s="22"/>
      <c r="F38" s="22"/>
      <c r="G38" s="18" t="s">
        <v>109</v>
      </c>
      <c r="H38" s="18"/>
      <c r="I38" s="18"/>
      <c r="J38" s="18"/>
    </row>
    <row r="39" spans="1:10" ht="36.75" customHeight="1" x14ac:dyDescent="0.25">
      <c r="A39" s="22" t="s">
        <v>67</v>
      </c>
      <c r="B39" s="22"/>
      <c r="C39" s="22"/>
      <c r="D39" s="22"/>
      <c r="E39" s="22"/>
      <c r="F39" s="22"/>
      <c r="G39" s="18" t="s">
        <v>103</v>
      </c>
      <c r="H39" s="18"/>
      <c r="I39" s="18"/>
      <c r="J39" s="18"/>
    </row>
  </sheetData>
  <mergeCells count="20">
    <mergeCell ref="A1:J1"/>
    <mergeCell ref="A33:D33"/>
    <mergeCell ref="A4:A5"/>
    <mergeCell ref="C4:C5"/>
    <mergeCell ref="I4:I5"/>
    <mergeCell ref="A3:J3"/>
    <mergeCell ref="A2:J2"/>
    <mergeCell ref="J4:J5"/>
    <mergeCell ref="D4:D5"/>
    <mergeCell ref="I35:J35"/>
    <mergeCell ref="B4:B5"/>
    <mergeCell ref="G38:J38"/>
    <mergeCell ref="G39:J39"/>
    <mergeCell ref="A38:F38"/>
    <mergeCell ref="A39:F39"/>
    <mergeCell ref="I36:J36"/>
    <mergeCell ref="A35:D35"/>
    <mergeCell ref="A36:D36"/>
    <mergeCell ref="E35:H35"/>
    <mergeCell ref="E36:H36"/>
  </mergeCells>
  <conditionalFormatting sqref="I6:I31">
    <cfRule type="cellIs" dxfId="3" priority="1" operator="greaterThanOrEqual">
      <formula>80</formula>
    </cfRule>
    <cfRule type="cellIs" dxfId="2" priority="2" operator="lessThan">
      <formula>50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showGridLines="0" topLeftCell="A13" zoomScale="130" zoomScaleNormal="130" workbookViewId="0">
      <selection activeCell="L7" sqref="L7"/>
    </sheetView>
  </sheetViews>
  <sheetFormatPr defaultRowHeight="15" x14ac:dyDescent="0.25"/>
  <cols>
    <col min="1" max="1" width="7.42578125" customWidth="1"/>
    <col min="2" max="2" width="10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10" ht="50.25" customHeight="1" x14ac:dyDescent="0.25"/>
    <row r="2" spans="1:10" ht="24" customHeight="1" x14ac:dyDescent="0.3">
      <c r="A2" s="23" t="s">
        <v>98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33.75" customHeight="1" x14ac:dyDescent="0.3">
      <c r="A3" s="23" t="s">
        <v>0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34.5" customHeight="1" x14ac:dyDescent="0.3">
      <c r="A4" s="27" t="s">
        <v>1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56.1" customHeight="1" x14ac:dyDescent="0.25">
      <c r="A5" s="20" t="s">
        <v>97</v>
      </c>
      <c r="B5" s="20" t="s">
        <v>2</v>
      </c>
      <c r="C5" s="20" t="s">
        <v>3</v>
      </c>
      <c r="D5" s="20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20" t="s">
        <v>9</v>
      </c>
      <c r="J5" s="20" t="s">
        <v>10</v>
      </c>
    </row>
    <row r="6" spans="1:10" ht="98.25" customHeight="1" x14ac:dyDescent="0.25">
      <c r="A6" s="21"/>
      <c r="B6" s="21"/>
      <c r="C6" s="21"/>
      <c r="D6" s="21"/>
      <c r="E6" s="7" t="s">
        <v>11</v>
      </c>
      <c r="F6" s="7" t="s">
        <v>12</v>
      </c>
      <c r="G6" s="7" t="s">
        <v>13</v>
      </c>
      <c r="H6" s="7" t="s">
        <v>14</v>
      </c>
      <c r="I6" s="21"/>
      <c r="J6" s="21"/>
    </row>
    <row r="7" spans="1:10" ht="20.100000000000001" customHeight="1" x14ac:dyDescent="0.25">
      <c r="A7" s="12">
        <v>1</v>
      </c>
      <c r="B7" s="12">
        <v>53</v>
      </c>
      <c r="C7" s="13" t="s">
        <v>68</v>
      </c>
      <c r="D7" s="13" t="s">
        <v>69</v>
      </c>
      <c r="E7" s="14">
        <v>15</v>
      </c>
      <c r="F7" s="14">
        <v>15</v>
      </c>
      <c r="G7" s="14">
        <v>20</v>
      </c>
      <c r="H7" s="14">
        <v>25</v>
      </c>
      <c r="I7" s="15">
        <f t="shared" ref="I7:I22" si="0">IFERROR(SUM(E7:H7),"")</f>
        <v>75</v>
      </c>
      <c r="J7" s="13"/>
    </row>
    <row r="8" spans="1:10" ht="20.100000000000001" customHeight="1" x14ac:dyDescent="0.25">
      <c r="A8" s="12">
        <v>2</v>
      </c>
      <c r="B8" s="12">
        <v>91</v>
      </c>
      <c r="C8" s="13" t="s">
        <v>70</v>
      </c>
      <c r="D8" s="13" t="s">
        <v>71</v>
      </c>
      <c r="E8" s="14">
        <v>20</v>
      </c>
      <c r="F8" s="14">
        <v>20</v>
      </c>
      <c r="G8" s="14">
        <v>25</v>
      </c>
      <c r="H8" s="14">
        <v>25</v>
      </c>
      <c r="I8" s="15">
        <f t="shared" si="0"/>
        <v>90</v>
      </c>
      <c r="J8" s="13"/>
    </row>
    <row r="9" spans="1:10" ht="20.100000000000001" customHeight="1" x14ac:dyDescent="0.25">
      <c r="A9" s="12">
        <v>3</v>
      </c>
      <c r="B9" s="12">
        <v>184</v>
      </c>
      <c r="C9" s="13" t="s">
        <v>72</v>
      </c>
      <c r="D9" s="13" t="s">
        <v>73</v>
      </c>
      <c r="E9" s="14">
        <v>25</v>
      </c>
      <c r="F9" s="14">
        <v>20</v>
      </c>
      <c r="G9" s="14">
        <v>25</v>
      </c>
      <c r="H9" s="14">
        <v>25</v>
      </c>
      <c r="I9" s="15">
        <f t="shared" si="0"/>
        <v>95</v>
      </c>
      <c r="J9" s="13"/>
    </row>
    <row r="10" spans="1:10" ht="20.100000000000001" customHeight="1" x14ac:dyDescent="0.25">
      <c r="A10" s="12">
        <v>4</v>
      </c>
      <c r="B10" s="12">
        <v>269</v>
      </c>
      <c r="C10" s="13" t="s">
        <v>25</v>
      </c>
      <c r="D10" s="13" t="s">
        <v>74</v>
      </c>
      <c r="E10" s="14">
        <v>25</v>
      </c>
      <c r="F10" s="14">
        <v>20</v>
      </c>
      <c r="G10" s="14">
        <v>25</v>
      </c>
      <c r="H10" s="14">
        <v>25</v>
      </c>
      <c r="I10" s="15">
        <f t="shared" si="0"/>
        <v>95</v>
      </c>
      <c r="J10" s="13"/>
    </row>
    <row r="11" spans="1:10" ht="20.100000000000001" customHeight="1" x14ac:dyDescent="0.25">
      <c r="A11" s="12">
        <v>5</v>
      </c>
      <c r="B11" s="12">
        <v>22082</v>
      </c>
      <c r="C11" s="13" t="s">
        <v>75</v>
      </c>
      <c r="D11" s="13" t="s">
        <v>76</v>
      </c>
      <c r="E11" s="14">
        <v>15</v>
      </c>
      <c r="F11" s="14">
        <v>15</v>
      </c>
      <c r="G11" s="14">
        <v>15</v>
      </c>
      <c r="H11" s="14">
        <v>25</v>
      </c>
      <c r="I11" s="15">
        <f t="shared" si="0"/>
        <v>70</v>
      </c>
      <c r="J11" s="13"/>
    </row>
    <row r="12" spans="1:10" ht="20.100000000000001" customHeight="1" x14ac:dyDescent="0.25">
      <c r="A12" s="12">
        <v>6</v>
      </c>
      <c r="B12" s="12">
        <v>22086</v>
      </c>
      <c r="C12" s="13" t="s">
        <v>25</v>
      </c>
      <c r="D12" s="13" t="s">
        <v>77</v>
      </c>
      <c r="E12" s="14">
        <v>25</v>
      </c>
      <c r="F12" s="14">
        <v>20</v>
      </c>
      <c r="G12" s="14">
        <v>25</v>
      </c>
      <c r="H12" s="14">
        <v>25</v>
      </c>
      <c r="I12" s="15">
        <f t="shared" si="0"/>
        <v>95</v>
      </c>
      <c r="J12" s="13"/>
    </row>
    <row r="13" spans="1:10" ht="20.100000000000001" customHeight="1" x14ac:dyDescent="0.25">
      <c r="A13" s="12">
        <v>7</v>
      </c>
      <c r="B13" s="12">
        <v>22088</v>
      </c>
      <c r="C13" s="13" t="s">
        <v>78</v>
      </c>
      <c r="D13" s="13" t="s">
        <v>79</v>
      </c>
      <c r="E13" s="14">
        <v>20</v>
      </c>
      <c r="F13" s="14">
        <v>20</v>
      </c>
      <c r="G13" s="14">
        <v>25</v>
      </c>
      <c r="H13" s="14">
        <v>25</v>
      </c>
      <c r="I13" s="15">
        <f t="shared" si="0"/>
        <v>90</v>
      </c>
      <c r="J13" s="13"/>
    </row>
    <row r="14" spans="1:10" ht="20.100000000000001" customHeight="1" x14ac:dyDescent="0.25">
      <c r="A14" s="12">
        <v>8</v>
      </c>
      <c r="B14" s="12">
        <v>22090</v>
      </c>
      <c r="C14" s="13" t="s">
        <v>80</v>
      </c>
      <c r="D14" s="13" t="s">
        <v>81</v>
      </c>
      <c r="E14" s="14">
        <v>15</v>
      </c>
      <c r="F14" s="14">
        <v>15</v>
      </c>
      <c r="G14" s="14">
        <v>25</v>
      </c>
      <c r="H14" s="14">
        <v>25</v>
      </c>
      <c r="I14" s="15">
        <f t="shared" si="0"/>
        <v>80</v>
      </c>
      <c r="J14" s="13"/>
    </row>
    <row r="15" spans="1:10" ht="20.100000000000001" customHeight="1" x14ac:dyDescent="0.25">
      <c r="A15" s="12">
        <v>9</v>
      </c>
      <c r="B15" s="12">
        <v>22091</v>
      </c>
      <c r="C15" s="13" t="s">
        <v>82</v>
      </c>
      <c r="D15" s="13" t="s">
        <v>83</v>
      </c>
      <c r="E15" s="14">
        <v>15</v>
      </c>
      <c r="F15" s="14">
        <v>10</v>
      </c>
      <c r="G15" s="14">
        <v>5</v>
      </c>
      <c r="H15" s="14">
        <v>25</v>
      </c>
      <c r="I15" s="15">
        <f t="shared" si="0"/>
        <v>55</v>
      </c>
      <c r="J15" s="13"/>
    </row>
    <row r="16" spans="1:10" ht="20.100000000000001" customHeight="1" x14ac:dyDescent="0.25">
      <c r="A16" s="12">
        <v>10</v>
      </c>
      <c r="B16" s="12">
        <v>22092</v>
      </c>
      <c r="C16" s="13" t="s">
        <v>84</v>
      </c>
      <c r="D16" s="13" t="s">
        <v>85</v>
      </c>
      <c r="E16" s="14">
        <v>15</v>
      </c>
      <c r="F16" s="14">
        <v>15</v>
      </c>
      <c r="G16" s="14">
        <v>20</v>
      </c>
      <c r="H16" s="14">
        <v>25</v>
      </c>
      <c r="I16" s="15">
        <f t="shared" si="0"/>
        <v>75</v>
      </c>
      <c r="J16" s="13"/>
    </row>
    <row r="17" spans="1:10" ht="20.100000000000001" customHeight="1" x14ac:dyDescent="0.25">
      <c r="A17" s="12">
        <v>11</v>
      </c>
      <c r="B17" s="12">
        <v>22103</v>
      </c>
      <c r="C17" s="13" t="s">
        <v>86</v>
      </c>
      <c r="D17" s="13" t="s">
        <v>87</v>
      </c>
      <c r="E17" s="14">
        <v>20</v>
      </c>
      <c r="F17" s="14">
        <v>20</v>
      </c>
      <c r="G17" s="14">
        <v>20</v>
      </c>
      <c r="H17" s="14">
        <v>25</v>
      </c>
      <c r="I17" s="15">
        <f t="shared" si="0"/>
        <v>85</v>
      </c>
      <c r="J17" s="13"/>
    </row>
    <row r="18" spans="1:10" ht="20.100000000000001" customHeight="1" x14ac:dyDescent="0.25">
      <c r="A18" s="12">
        <v>12</v>
      </c>
      <c r="B18" s="12">
        <v>22108</v>
      </c>
      <c r="C18" s="13" t="s">
        <v>88</v>
      </c>
      <c r="D18" s="13" t="s">
        <v>89</v>
      </c>
      <c r="E18" s="14">
        <v>25</v>
      </c>
      <c r="F18" s="14">
        <v>25</v>
      </c>
      <c r="G18" s="14">
        <v>25</v>
      </c>
      <c r="H18" s="14">
        <v>25</v>
      </c>
      <c r="I18" s="15">
        <f t="shared" si="0"/>
        <v>100</v>
      </c>
      <c r="J18" s="13"/>
    </row>
    <row r="19" spans="1:10" ht="20.100000000000001" customHeight="1" x14ac:dyDescent="0.25">
      <c r="A19" s="12">
        <v>13</v>
      </c>
      <c r="B19" s="12">
        <v>22113</v>
      </c>
      <c r="C19" s="13" t="s">
        <v>90</v>
      </c>
      <c r="D19" s="13" t="s">
        <v>91</v>
      </c>
      <c r="E19" s="14">
        <v>20</v>
      </c>
      <c r="F19" s="14">
        <v>20</v>
      </c>
      <c r="G19" s="14">
        <v>25</v>
      </c>
      <c r="H19" s="14">
        <v>25</v>
      </c>
      <c r="I19" s="15">
        <f t="shared" si="0"/>
        <v>90</v>
      </c>
      <c r="J19" s="13"/>
    </row>
    <row r="20" spans="1:10" ht="20.100000000000001" customHeight="1" x14ac:dyDescent="0.25">
      <c r="A20" s="12">
        <v>14</v>
      </c>
      <c r="B20" s="12">
        <v>22114</v>
      </c>
      <c r="C20" s="13" t="s">
        <v>92</v>
      </c>
      <c r="D20" s="13" t="s">
        <v>93</v>
      </c>
      <c r="E20" s="14">
        <v>20</v>
      </c>
      <c r="F20" s="14">
        <v>20</v>
      </c>
      <c r="G20" s="14">
        <v>20</v>
      </c>
      <c r="H20" s="14">
        <v>20</v>
      </c>
      <c r="I20" s="15">
        <f t="shared" si="0"/>
        <v>80</v>
      </c>
      <c r="J20" s="13"/>
    </row>
    <row r="21" spans="1:10" ht="20.100000000000001" customHeight="1" x14ac:dyDescent="0.25">
      <c r="A21" s="12">
        <v>15</v>
      </c>
      <c r="B21" s="12">
        <v>22118</v>
      </c>
      <c r="C21" s="13" t="s">
        <v>94</v>
      </c>
      <c r="D21" s="13" t="s">
        <v>50</v>
      </c>
      <c r="E21" s="14">
        <v>20</v>
      </c>
      <c r="F21" s="14">
        <v>20</v>
      </c>
      <c r="G21" s="14">
        <v>20</v>
      </c>
      <c r="H21" s="14">
        <v>25</v>
      </c>
      <c r="I21" s="15">
        <f t="shared" si="0"/>
        <v>85</v>
      </c>
      <c r="J21" s="13"/>
    </row>
    <row r="22" spans="1:10" ht="20.100000000000001" customHeight="1" x14ac:dyDescent="0.25">
      <c r="A22" s="12">
        <v>16</v>
      </c>
      <c r="B22" s="12">
        <v>22119</v>
      </c>
      <c r="C22" s="13" t="s">
        <v>95</v>
      </c>
      <c r="D22" s="13" t="s">
        <v>96</v>
      </c>
      <c r="E22" s="14">
        <v>15</v>
      </c>
      <c r="F22" s="14">
        <v>10</v>
      </c>
      <c r="G22" s="14">
        <v>25</v>
      </c>
      <c r="H22" s="14">
        <v>25</v>
      </c>
      <c r="I22" s="15">
        <f t="shared" si="0"/>
        <v>75</v>
      </c>
      <c r="J22" s="13"/>
    </row>
    <row r="24" spans="1:10" ht="18" customHeight="1" x14ac:dyDescent="0.25">
      <c r="A24" s="29" t="s">
        <v>64</v>
      </c>
      <c r="B24" s="26"/>
      <c r="C24" s="26"/>
      <c r="D24" s="26"/>
      <c r="E24" s="16">
        <f>IFERROR(AVERAGE(E7:E22),"")</f>
        <v>19.375</v>
      </c>
      <c r="F24" s="16">
        <f>IFERROR(AVERAGE(F7:F22),"")</f>
        <v>17.8125</v>
      </c>
      <c r="G24" s="16">
        <f>IFERROR(AVERAGE(G7:G22),"")</f>
        <v>21.5625</v>
      </c>
      <c r="H24" s="16">
        <f>IFERROR(AVERAGE(H7:H22),"")</f>
        <v>24.6875</v>
      </c>
      <c r="I24" s="16">
        <f>IFERROR(AVERAGE(I7:I22),"")</f>
        <v>83.4375</v>
      </c>
      <c r="J24" s="17" t="str">
        <f>IFERROR("Sınıf Ort: "&amp;ROUND(I7,1)&amp;" / 100","")</f>
        <v>Sınıf Ort: 75 / 100</v>
      </c>
    </row>
    <row r="28" spans="1:10" ht="118.5" customHeight="1" x14ac:dyDescent="0.25"/>
    <row r="29" spans="1:10" ht="27.75" customHeight="1" x14ac:dyDescent="0.25">
      <c r="A29" s="22" t="s">
        <v>65</v>
      </c>
      <c r="B29" s="22"/>
      <c r="C29" s="22"/>
      <c r="D29" s="22"/>
      <c r="E29" s="18" t="s">
        <v>101</v>
      </c>
      <c r="F29" s="18"/>
      <c r="G29" s="18"/>
      <c r="H29" s="18"/>
      <c r="I29" s="18" t="s">
        <v>66</v>
      </c>
      <c r="J29" s="18"/>
    </row>
    <row r="30" spans="1:10" ht="36.75" customHeight="1" x14ac:dyDescent="0.25">
      <c r="A30" s="22" t="s">
        <v>99</v>
      </c>
      <c r="B30" s="22"/>
      <c r="C30" s="22"/>
      <c r="D30" s="22"/>
      <c r="E30" s="18" t="s">
        <v>111</v>
      </c>
      <c r="F30" s="18"/>
      <c r="G30" s="18"/>
      <c r="H30" s="18"/>
      <c r="I30" s="18" t="s">
        <v>100</v>
      </c>
      <c r="J30" s="18"/>
    </row>
    <row r="31" spans="1:10" ht="96.75" customHeight="1" x14ac:dyDescent="0.25">
      <c r="A31" s="10"/>
      <c r="B31" s="11"/>
      <c r="C31" s="10"/>
      <c r="D31" s="11"/>
      <c r="E31" s="10"/>
      <c r="F31" s="11"/>
      <c r="G31" s="10"/>
      <c r="H31" s="11"/>
      <c r="I31" s="10"/>
      <c r="J31" s="11"/>
    </row>
    <row r="32" spans="1:10" ht="40.5" customHeight="1" x14ac:dyDescent="0.25">
      <c r="A32" s="22" t="s">
        <v>102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36.75" customHeight="1" x14ac:dyDescent="0.25">
      <c r="A33" s="22" t="s">
        <v>103</v>
      </c>
      <c r="B33" s="22"/>
      <c r="C33" s="22"/>
      <c r="D33" s="22"/>
      <c r="E33" s="22"/>
      <c r="F33" s="22"/>
      <c r="G33" s="22"/>
      <c r="H33" s="22"/>
      <c r="I33" s="22"/>
      <c r="J33" s="22"/>
    </row>
  </sheetData>
  <mergeCells count="18">
    <mergeCell ref="A2:J2"/>
    <mergeCell ref="A5:A6"/>
    <mergeCell ref="I5:I6"/>
    <mergeCell ref="B5:B6"/>
    <mergeCell ref="C5:C6"/>
    <mergeCell ref="A3:J3"/>
    <mergeCell ref="J5:J6"/>
    <mergeCell ref="A30:D30"/>
    <mergeCell ref="E30:H30"/>
    <mergeCell ref="I30:J30"/>
    <mergeCell ref="A32:J32"/>
    <mergeCell ref="A33:J33"/>
    <mergeCell ref="A29:D29"/>
    <mergeCell ref="E29:H29"/>
    <mergeCell ref="I29:J29"/>
    <mergeCell ref="D5:D6"/>
    <mergeCell ref="A4:J4"/>
    <mergeCell ref="A24:D24"/>
  </mergeCells>
  <conditionalFormatting sqref="I7:I22">
    <cfRule type="cellIs" dxfId="1" priority="1" operator="greaterThanOrEqual">
      <formula>80</formula>
    </cfRule>
    <cfRule type="cellIs" dxfId="0" priority="2" operator="lessThan">
      <formula>50</formula>
    </cfRule>
  </conditionalFormatting>
  <printOptions horizontalCentered="1"/>
  <pageMargins left="0.23622047244094491" right="0.23622047244094491" top="0.23622047244094491" bottom="0.23622047244094491" header="0.11811023622047245" footer="0.11811023622047245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12-A Bakım Onarım</vt:lpstr>
      <vt:lpstr>12-B Bilg.Makine İmalatı</vt:lpstr>
      <vt:lpstr>'12-A Bakım Onarım'!Yazdırma_Alanı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2026-06-18T11:43:11Z</cp:lastPrinted>
  <dcterms:created xsi:type="dcterms:W3CDTF">2026-06-03T07:05:51Z</dcterms:created>
  <dcterms:modified xsi:type="dcterms:W3CDTF">2026-06-22T07:17:51Z</dcterms:modified>
</cp:coreProperties>
</file>