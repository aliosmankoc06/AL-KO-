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eceri sınav evrakları\"/>
    </mc:Choice>
  </mc:AlternateContent>
  <bookViews>
    <workbookView xWindow="0" yWindow="0" windowWidth="20490" windowHeight="7665" activeTab="1"/>
  </bookViews>
  <sheets>
    <sheet name="Makine Bakım Onarım" sheetId="1" r:id="rId1"/>
    <sheet name=" Bilgisayarlı Makine İmalatı" sheetId="2" r:id="rId2"/>
  </sheets>
  <definedNames>
    <definedName name="_xlnm.Print_Titles" localSheetId="1">' Bilgisayarlı Makine İmalatı'!$1:$6</definedName>
    <definedName name="_xlnm.Print_Titles" localSheetId="0">'Makine Bakım Onarım'!$1:$5</definedName>
  </definedNames>
  <calcPr calcId="162913"/>
</workbook>
</file>

<file path=xl/calcChain.xml><?xml version="1.0" encoding="utf-8"?>
<calcChain xmlns="http://schemas.openxmlformats.org/spreadsheetml/2006/main">
  <c r="V13" i="2" l="1"/>
  <c r="U13" i="2"/>
  <c r="R13" i="2"/>
  <c r="Q13" i="2"/>
  <c r="P13" i="2"/>
  <c r="O13" i="2"/>
  <c r="N13" i="2"/>
  <c r="M13" i="2"/>
  <c r="K13" i="2"/>
  <c r="J13" i="2"/>
  <c r="I13" i="2"/>
  <c r="H13" i="2"/>
  <c r="G13" i="2"/>
  <c r="F13" i="2"/>
  <c r="S11" i="2"/>
  <c r="L11" i="2"/>
  <c r="S10" i="2"/>
  <c r="L10" i="2"/>
  <c r="S9" i="2"/>
  <c r="L9" i="2"/>
  <c r="T9" i="2" s="1"/>
  <c r="W8" i="2"/>
  <c r="Z8" i="2" s="1"/>
  <c r="S8" i="2"/>
  <c r="L8" i="2"/>
  <c r="W7" i="2"/>
  <c r="Z7" i="2" s="1"/>
  <c r="S7" i="2"/>
  <c r="L7" i="2"/>
  <c r="V17" i="1"/>
  <c r="U17" i="1"/>
  <c r="R17" i="1"/>
  <c r="Q17" i="1"/>
  <c r="P17" i="1"/>
  <c r="O17" i="1"/>
  <c r="N17" i="1"/>
  <c r="M17" i="1"/>
  <c r="K17" i="1"/>
  <c r="J17" i="1"/>
  <c r="I17" i="1"/>
  <c r="H17" i="1"/>
  <c r="G17" i="1"/>
  <c r="F17" i="1"/>
  <c r="W15" i="1"/>
  <c r="Z15" i="1" s="1"/>
  <c r="S15" i="1"/>
  <c r="L15" i="1"/>
  <c r="W14" i="1"/>
  <c r="Z14" i="1" s="1"/>
  <c r="S14" i="1"/>
  <c r="L14" i="1"/>
  <c r="W13" i="1"/>
  <c r="Z13" i="1" s="1"/>
  <c r="S13" i="1"/>
  <c r="L13" i="1"/>
  <c r="W12" i="1"/>
  <c r="Z12" i="1" s="1"/>
  <c r="S12" i="1"/>
  <c r="L12" i="1"/>
  <c r="W11" i="1"/>
  <c r="Z11" i="1" s="1"/>
  <c r="S11" i="1"/>
  <c r="L11" i="1"/>
  <c r="W10" i="1"/>
  <c r="Z10" i="1" s="1"/>
  <c r="S10" i="1"/>
  <c r="L10" i="1"/>
  <c r="W9" i="1"/>
  <c r="Z9" i="1" s="1"/>
  <c r="S9" i="1"/>
  <c r="L9" i="1"/>
  <c r="W8" i="1"/>
  <c r="Z8" i="1" s="1"/>
  <c r="S8" i="1"/>
  <c r="L8" i="1"/>
  <c r="W7" i="1"/>
  <c r="Z7" i="1" s="1"/>
  <c r="S7" i="1"/>
  <c r="L7" i="1"/>
  <c r="W6" i="1"/>
  <c r="S6" i="1"/>
  <c r="L6" i="1"/>
  <c r="T10" i="2" l="1"/>
  <c r="T8" i="2"/>
  <c r="L13" i="2"/>
  <c r="X8" i="2"/>
  <c r="Y8" i="2" s="1"/>
  <c r="Z13" i="2"/>
  <c r="S13" i="2"/>
  <c r="T11" i="2"/>
  <c r="T9" i="1"/>
  <c r="X9" i="1" s="1"/>
  <c r="Y9" i="1" s="1"/>
  <c r="W17" i="1"/>
  <c r="T8" i="1"/>
  <c r="X8" i="1" s="1"/>
  <c r="Y8" i="1" s="1"/>
  <c r="T12" i="1"/>
  <c r="X12" i="1" s="1"/>
  <c r="Y12" i="1" s="1"/>
  <c r="T14" i="1"/>
  <c r="X14" i="1" s="1"/>
  <c r="Y14" i="1" s="1"/>
  <c r="T15" i="1"/>
  <c r="X15" i="1" s="1"/>
  <c r="Y15" i="1" s="1"/>
  <c r="T10" i="1"/>
  <c r="X10" i="1" s="1"/>
  <c r="Y10" i="1" s="1"/>
  <c r="T11" i="1"/>
  <c r="X11" i="1" s="1"/>
  <c r="Y11" i="1" s="1"/>
  <c r="S17" i="1"/>
  <c r="Z6" i="1"/>
  <c r="Z17" i="1" s="1"/>
  <c r="L17" i="1"/>
  <c r="T7" i="1"/>
  <c r="X7" i="1" s="1"/>
  <c r="Y7" i="1" s="1"/>
  <c r="T13" i="1"/>
  <c r="X13" i="1" s="1"/>
  <c r="Y13" i="1" s="1"/>
  <c r="T6" i="1"/>
  <c r="W13" i="2"/>
  <c r="T7" i="2"/>
  <c r="T13" i="2" l="1"/>
  <c r="X7" i="2"/>
  <c r="X6" i="1"/>
  <c r="T17" i="1"/>
  <c r="Y6" i="1" l="1"/>
  <c r="X17" i="1"/>
  <c r="X13" i="2"/>
  <c r="Y7" i="2"/>
</calcChain>
</file>

<file path=xl/sharedStrings.xml><?xml version="1.0" encoding="utf-8"?>
<sst xmlns="http://schemas.openxmlformats.org/spreadsheetml/2006/main" count="99" uniqueCount="54">
  <si>
    <t>Makine ve Tasarım Teknolojisi Alanı — Makine Bakım Onarım Dalı</t>
  </si>
  <si>
    <t>Öğrenci
No</t>
  </si>
  <si>
    <t>Adı</t>
  </si>
  <si>
    <t>Soyadı</t>
  </si>
  <si>
    <t>KOD
D/M</t>
  </si>
  <si>
    <t>◀  1. DÖNEM İŞLETME NOTLARI  ▶</t>
  </si>
  <si>
    <t>◀  2. DÖNEM İŞLETME NOTLARI  ▶</t>
  </si>
  <si>
    <t>GENEL
DÖNEM
ORT.
(L+S)/2</t>
  </si>
  <si>
    <t>İş Dosyası
Puanı
(100 üzerinden
girişi)</t>
  </si>
  <si>
    <t>Sınav
Puanı
(100 üzerinden
girişi)</t>
  </si>
  <si>
    <t>BECERİ
SINAV
PUANI
(U×%20)+(V×%80)</t>
  </si>
  <si>
    <t>YIL
SONU
(Sayı)</t>
  </si>
  <si>
    <t>YIL
SONU
(Yazı)</t>
  </si>
  <si>
    <t>SONUÇ</t>
  </si>
  <si>
    <t>Temrin
1</t>
  </si>
  <si>
    <t>Temrin
2</t>
  </si>
  <si>
    <t>İş/Hzm
1</t>
  </si>
  <si>
    <t>İş/Hzm
2</t>
  </si>
  <si>
    <t>Proje</t>
  </si>
  <si>
    <t>Deney</t>
  </si>
  <si>
    <t>DÖNEM
ORT.1</t>
  </si>
  <si>
    <t>DÖNEM
ORT.2</t>
  </si>
  <si>
    <t>SINIF ORTALAMASI</t>
  </si>
  <si>
    <t>Okul Müdürü</t>
  </si>
  <si>
    <t>Ahmet AÇAR</t>
  </si>
  <si>
    <t>AKBAŞ</t>
  </si>
  <si>
    <t>Ali Osman KOÇ
Makine Tek. Alan Şefi</t>
  </si>
  <si>
    <t>Sıra
No</t>
  </si>
  <si>
    <t>Soma Mesleki ve Teknik Anadolu Lisesi</t>
  </si>
  <si>
    <t>Gökhan ARSLAN
İmalat Yöntemleri Atölye Şefi</t>
  </si>
  <si>
    <t>Seyit Ömer ŞEKER
Makine Tek. Alan Öğrt.</t>
  </si>
  <si>
    <t>Arzu Kırıcı
CAD / CAM Atölye Şefi</t>
  </si>
  <si>
    <t>Şerif Yetim
İmalat İşlemleri Atölye Şefi</t>
  </si>
  <si>
    <t>Koordinatör Müdür Yardımcısı
Esra BODUR</t>
  </si>
  <si>
    <t>Berke</t>
  </si>
  <si>
    <t>ÖZTÜRK</t>
  </si>
  <si>
    <t xml:space="preserve">Arda </t>
  </si>
  <si>
    <t>AÇIKGÖZ</t>
  </si>
  <si>
    <t xml:space="preserve">İsmail </t>
  </si>
  <si>
    <t>ASLAN</t>
  </si>
  <si>
    <t xml:space="preserve">Umut Buğra </t>
  </si>
  <si>
    <t>YANIK</t>
  </si>
  <si>
    <t>Doğukan Necati</t>
  </si>
  <si>
    <t>TAŞPINAR</t>
  </si>
  <si>
    <t>Salih</t>
  </si>
  <si>
    <t>ÖZYER</t>
  </si>
  <si>
    <t xml:space="preserve">Ahmet Kenan </t>
  </si>
  <si>
    <t>YILDIZ</t>
  </si>
  <si>
    <t>Arda</t>
  </si>
  <si>
    <t>ÖZŞEN</t>
  </si>
  <si>
    <t xml:space="preserve">Talha Kadir </t>
  </si>
  <si>
    <t>D</t>
  </si>
  <si>
    <t>MESEM USTALIK BECERİ SINAVI DEĞERLENDİRME ÇİZELGESİ — 2025-2026</t>
  </si>
  <si>
    <t>Makine ve Tasarım Teknolojisi Alanı — Bilgisayarlı Makine İmalatı Dalı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</si>
</sst>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Times New Roman"/>
    </font>
    <font>
      <b/>
      <sz val="8"/>
      <name val="Times New Roman"/>
    </font>
    <font>
      <b/>
      <sz val="10"/>
      <name val="Times New Roman"/>
    </font>
    <font>
      <sz val="8"/>
      <name val="Times New Roman"/>
    </font>
    <font>
      <sz val="9"/>
      <name val="Times New Roman"/>
    </font>
    <font>
      <b/>
      <sz val="9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2"/>
      <name val="Times New Roman"/>
      <family val="1"/>
      <charset val="162"/>
    </font>
    <font>
      <sz val="12"/>
      <color theme="1"/>
      <name val="Calibri"/>
      <family val="2"/>
      <scheme val="minor"/>
    </font>
    <font>
      <sz val="9"/>
      <name val="Times New Roman"/>
      <family val="1"/>
      <charset val="162"/>
    </font>
    <font>
      <b/>
      <sz val="8"/>
      <name val="Times New Roman"/>
      <family val="1"/>
      <charset val="162"/>
    </font>
    <font>
      <sz val="12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0" xfId="0" applyBorder="1"/>
    <xf numFmtId="0" fontId="14" fillId="2" borderId="0" xfId="0" applyFont="1" applyFill="1" applyBorder="1" applyAlignment="1"/>
    <xf numFmtId="0" fontId="14" fillId="2" borderId="0" xfId="0" applyFont="1" applyFill="1" applyBorder="1"/>
    <xf numFmtId="0" fontId="8" fillId="2" borderId="0" xfId="0" applyFont="1" applyFill="1" applyAlignment="1">
      <alignment horizontal="center" vertical="center"/>
    </xf>
    <xf numFmtId="0" fontId="9" fillId="2" borderId="0" xfId="0" applyFont="1" applyFill="1"/>
    <xf numFmtId="0" fontId="15" fillId="0" borderId="0" xfId="0" applyFont="1" applyAlignment="1">
      <alignment horizontal="center"/>
    </xf>
    <xf numFmtId="0" fontId="10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1"/>
  <sheetViews>
    <sheetView showGridLines="0" zoomScale="85" zoomScaleNormal="85" workbookViewId="0">
      <selection activeCell="L10" sqref="L10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6" ht="36.75" customHeight="1" x14ac:dyDescent="0.25">
      <c r="A1" s="21" t="s">
        <v>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7.75" customHeight="1" x14ac:dyDescent="0.25">
      <c r="A2" s="21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38.25" customHeight="1" x14ac:dyDescent="0.3">
      <c r="A3" s="21" t="s">
        <v>52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36.75" customHeight="1" x14ac:dyDescent="0.25">
      <c r="A4" s="23" t="s">
        <v>27</v>
      </c>
      <c r="B4" s="25" t="s">
        <v>1</v>
      </c>
      <c r="C4" s="25" t="s">
        <v>2</v>
      </c>
      <c r="D4" s="25" t="s">
        <v>3</v>
      </c>
      <c r="E4" s="27" t="s">
        <v>4</v>
      </c>
      <c r="F4" s="28" t="s">
        <v>5</v>
      </c>
      <c r="G4" s="24"/>
      <c r="H4" s="24"/>
      <c r="I4" s="24"/>
      <c r="J4" s="24"/>
      <c r="K4" s="24"/>
      <c r="L4" s="24"/>
      <c r="M4" s="28" t="s">
        <v>6</v>
      </c>
      <c r="N4" s="24"/>
      <c r="O4" s="24"/>
      <c r="P4" s="24"/>
      <c r="Q4" s="24"/>
      <c r="R4" s="24"/>
      <c r="S4" s="24"/>
      <c r="T4" s="25" t="s">
        <v>7</v>
      </c>
      <c r="U4" s="25" t="s">
        <v>8</v>
      </c>
      <c r="V4" s="25" t="s">
        <v>9</v>
      </c>
      <c r="W4" s="25" t="s">
        <v>10</v>
      </c>
      <c r="X4" s="25" t="s">
        <v>11</v>
      </c>
      <c r="Y4" s="25" t="s">
        <v>12</v>
      </c>
      <c r="Z4" s="25" t="s">
        <v>13</v>
      </c>
    </row>
    <row r="5" spans="1:26" ht="37.5" customHeight="1" x14ac:dyDescent="0.25">
      <c r="A5" s="24"/>
      <c r="B5" s="24"/>
      <c r="C5" s="24"/>
      <c r="D5" s="24"/>
      <c r="E5" s="24"/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3" t="s">
        <v>20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3" t="s">
        <v>21</v>
      </c>
      <c r="T5" s="24"/>
      <c r="U5" s="24"/>
      <c r="V5" s="24"/>
      <c r="W5" s="24"/>
      <c r="X5" s="24"/>
      <c r="Y5" s="24"/>
      <c r="Z5" s="24"/>
    </row>
    <row r="6" spans="1:26" ht="18" customHeight="1" x14ac:dyDescent="0.25">
      <c r="A6" s="4">
        <v>1</v>
      </c>
      <c r="B6" s="4">
        <v>794</v>
      </c>
      <c r="C6" s="5" t="s">
        <v>38</v>
      </c>
      <c r="D6" s="5" t="s">
        <v>39</v>
      </c>
      <c r="E6" s="6"/>
      <c r="F6" s="4"/>
      <c r="G6" s="4"/>
      <c r="H6" s="4"/>
      <c r="I6" s="4"/>
      <c r="J6" s="4"/>
      <c r="K6" s="4"/>
      <c r="L6" s="6" t="str">
        <f t="shared" ref="L6:L15" si="0">IFERROR(IF(OR(E6="D",E6="M"),"—",AVERAGE(F6:K6)),"")</f>
        <v/>
      </c>
      <c r="M6" s="4"/>
      <c r="N6" s="4"/>
      <c r="O6" s="4"/>
      <c r="P6" s="4"/>
      <c r="Q6" s="4"/>
      <c r="R6" s="4"/>
      <c r="S6" s="6" t="str">
        <f t="shared" ref="S6:S15" si="1">IFERROR(IF(OR(E6="D",E6="M"),"—",AVERAGE(M6:R6)),"")</f>
        <v/>
      </c>
      <c r="T6" s="6" t="str">
        <f t="shared" ref="T6:T15" si="2">IFERROR(IF(OR(E6="D",E6="M"),"—",AVERAGE(L6,S6)),"")</f>
        <v/>
      </c>
      <c r="U6" s="4"/>
      <c r="V6" s="4"/>
      <c r="W6" s="6">
        <f t="shared" ref="W6:W15" si="3">IFERROR(IF(OR(E6="D",E6="M"),"—",ROUND((U6*0.2)+(V6*0.8),2)),"")</f>
        <v>0</v>
      </c>
      <c r="X6" s="6">
        <f t="shared" ref="X6:X15" si="4">IFERROR(IF(OR(E6="D",E6="M"),"—",ROUND(AVERAGE(T6,W6),2)),"")</f>
        <v>0</v>
      </c>
      <c r="Y6" s="6" t="str">
        <f t="shared" ref="Y6:Y15" si="5">IFERROR(IF(OR(E6="D",E6="M"),"—",IF(X6="","—",IF(X6&gt;=85,"PEKİYİ",IF(X6&gt;=70,"İYİ",IF(X6&gt;=55,"ORTA",IF(X6&gt;=45,"GEÇER","BAŞARISIZ")))))),"")</f>
        <v>BAŞARISIZ</v>
      </c>
      <c r="Z6" s="6" t="str">
        <f t="shared" ref="Z6:Z15" si="6">IFERROR(IF(E6="D","🚫 DEVAMSIZLIK",IF(E6="M","⚠️ MUAF",IF(W6="","—",IF(W6&lt;50,"🔴 BAŞARISIZ",IF(W6&gt;=70,"🟢 BAŞARILI",IF(X6&gt;=50,"🟢 BAŞARILI","🔴 BAŞARISIZ")))))),"")</f>
        <v>🔴 BAŞARISIZ</v>
      </c>
    </row>
    <row r="7" spans="1:26" ht="18" customHeight="1" x14ac:dyDescent="0.25">
      <c r="A7" s="4">
        <v>2</v>
      </c>
      <c r="B7" s="4">
        <v>11478</v>
      </c>
      <c r="C7" s="5" t="s">
        <v>40</v>
      </c>
      <c r="D7" s="5" t="s">
        <v>41</v>
      </c>
      <c r="E7" s="6"/>
      <c r="F7" s="4"/>
      <c r="G7" s="4"/>
      <c r="H7" s="4"/>
      <c r="I7" s="4"/>
      <c r="J7" s="4"/>
      <c r="K7" s="4"/>
      <c r="L7" s="6" t="str">
        <f t="shared" si="0"/>
        <v/>
      </c>
      <c r="M7" s="4"/>
      <c r="N7" s="4"/>
      <c r="O7" s="4"/>
      <c r="P7" s="4"/>
      <c r="Q7" s="4"/>
      <c r="R7" s="4"/>
      <c r="S7" s="6" t="str">
        <f t="shared" si="1"/>
        <v/>
      </c>
      <c r="T7" s="6" t="str">
        <f t="shared" si="2"/>
        <v/>
      </c>
      <c r="U7" s="4"/>
      <c r="V7" s="4"/>
      <c r="W7" s="6">
        <f t="shared" si="3"/>
        <v>0</v>
      </c>
      <c r="X7" s="6">
        <f t="shared" si="4"/>
        <v>0</v>
      </c>
      <c r="Y7" s="6" t="str">
        <f t="shared" si="5"/>
        <v>BAŞARISIZ</v>
      </c>
      <c r="Z7" s="6" t="str">
        <f t="shared" si="6"/>
        <v>🔴 BAŞARISIZ</v>
      </c>
    </row>
    <row r="8" spans="1:26" ht="18" customHeight="1" x14ac:dyDescent="0.25">
      <c r="A8" s="4">
        <v>3</v>
      </c>
      <c r="B8" s="4">
        <v>83</v>
      </c>
      <c r="C8" s="5" t="s">
        <v>42</v>
      </c>
      <c r="D8" s="5" t="s">
        <v>43</v>
      </c>
      <c r="E8" s="6"/>
      <c r="F8" s="4"/>
      <c r="G8" s="4"/>
      <c r="H8" s="4"/>
      <c r="I8" s="4"/>
      <c r="J8" s="4"/>
      <c r="K8" s="4"/>
      <c r="L8" s="6" t="str">
        <f t="shared" si="0"/>
        <v/>
      </c>
      <c r="M8" s="4"/>
      <c r="N8" s="4"/>
      <c r="O8" s="4"/>
      <c r="P8" s="4"/>
      <c r="Q8" s="4"/>
      <c r="R8" s="4"/>
      <c r="S8" s="6" t="str">
        <f t="shared" si="1"/>
        <v/>
      </c>
      <c r="T8" s="6" t="str">
        <f t="shared" si="2"/>
        <v/>
      </c>
      <c r="U8" s="4"/>
      <c r="V8" s="4"/>
      <c r="W8" s="6">
        <f t="shared" si="3"/>
        <v>0</v>
      </c>
      <c r="X8" s="6">
        <f t="shared" si="4"/>
        <v>0</v>
      </c>
      <c r="Y8" s="6" t="str">
        <f t="shared" si="5"/>
        <v>BAŞARISIZ</v>
      </c>
      <c r="Z8" s="6" t="str">
        <f t="shared" si="6"/>
        <v>🔴 BAŞARISIZ</v>
      </c>
    </row>
    <row r="9" spans="1:26" ht="18" customHeight="1" x14ac:dyDescent="0.25">
      <c r="A9" s="4">
        <v>4</v>
      </c>
      <c r="B9" s="4">
        <v>12</v>
      </c>
      <c r="C9" s="5" t="s">
        <v>44</v>
      </c>
      <c r="D9" s="5" t="s">
        <v>45</v>
      </c>
      <c r="E9" s="6"/>
      <c r="F9" s="4"/>
      <c r="G9" s="4"/>
      <c r="H9" s="4"/>
      <c r="I9" s="4"/>
      <c r="J9" s="4"/>
      <c r="K9" s="4"/>
      <c r="L9" s="6" t="str">
        <f t="shared" si="0"/>
        <v/>
      </c>
      <c r="M9" s="4"/>
      <c r="N9" s="4"/>
      <c r="O9" s="4"/>
      <c r="P9" s="4"/>
      <c r="Q9" s="4"/>
      <c r="R9" s="4"/>
      <c r="S9" s="6" t="str">
        <f t="shared" si="1"/>
        <v/>
      </c>
      <c r="T9" s="6" t="str">
        <f t="shared" si="2"/>
        <v/>
      </c>
      <c r="U9" s="4"/>
      <c r="V9" s="4"/>
      <c r="W9" s="6">
        <f t="shared" si="3"/>
        <v>0</v>
      </c>
      <c r="X9" s="6">
        <f t="shared" si="4"/>
        <v>0</v>
      </c>
      <c r="Y9" s="6" t="str">
        <f t="shared" si="5"/>
        <v>BAŞARISIZ</v>
      </c>
      <c r="Z9" s="6" t="str">
        <f t="shared" si="6"/>
        <v>🔴 BAŞARISIZ</v>
      </c>
    </row>
    <row r="10" spans="1:26" ht="18" customHeight="1" x14ac:dyDescent="0.25">
      <c r="A10" s="4">
        <v>5</v>
      </c>
      <c r="B10" s="4">
        <v>555</v>
      </c>
      <c r="C10" s="5" t="s">
        <v>46</v>
      </c>
      <c r="D10" s="5" t="s">
        <v>47</v>
      </c>
      <c r="E10" s="6"/>
      <c r="F10" s="4"/>
      <c r="G10" s="4"/>
      <c r="H10" s="4"/>
      <c r="I10" s="4"/>
      <c r="J10" s="4"/>
      <c r="K10" s="4"/>
      <c r="L10" s="6" t="str">
        <f t="shared" si="0"/>
        <v/>
      </c>
      <c r="M10" s="4"/>
      <c r="N10" s="4"/>
      <c r="O10" s="4"/>
      <c r="P10" s="4"/>
      <c r="Q10" s="4"/>
      <c r="R10" s="4"/>
      <c r="S10" s="6" t="str">
        <f t="shared" si="1"/>
        <v/>
      </c>
      <c r="T10" s="6" t="str">
        <f t="shared" si="2"/>
        <v/>
      </c>
      <c r="U10" s="4"/>
      <c r="V10" s="4"/>
      <c r="W10" s="6">
        <f t="shared" si="3"/>
        <v>0</v>
      </c>
      <c r="X10" s="6">
        <f t="shared" si="4"/>
        <v>0</v>
      </c>
      <c r="Y10" s="6" t="str">
        <f t="shared" si="5"/>
        <v>BAŞARISIZ</v>
      </c>
      <c r="Z10" s="6" t="str">
        <f t="shared" si="6"/>
        <v>🔴 BAŞARISIZ</v>
      </c>
    </row>
    <row r="11" spans="1:26" ht="18" customHeight="1" x14ac:dyDescent="0.25">
      <c r="A11" s="4">
        <v>6</v>
      </c>
      <c r="B11" s="4">
        <v>163</v>
      </c>
      <c r="C11" s="5" t="s">
        <v>48</v>
      </c>
      <c r="D11" s="5" t="s">
        <v>49</v>
      </c>
      <c r="E11" s="6"/>
      <c r="F11" s="4"/>
      <c r="G11" s="4"/>
      <c r="H11" s="4"/>
      <c r="I11" s="4"/>
      <c r="J11" s="4"/>
      <c r="K11" s="4"/>
      <c r="L11" s="6" t="str">
        <f t="shared" si="0"/>
        <v/>
      </c>
      <c r="M11" s="4"/>
      <c r="N11" s="4"/>
      <c r="O11" s="4"/>
      <c r="P11" s="4"/>
      <c r="Q11" s="4"/>
      <c r="R11" s="4"/>
      <c r="S11" s="6" t="str">
        <f t="shared" si="1"/>
        <v/>
      </c>
      <c r="T11" s="6" t="str">
        <f t="shared" si="2"/>
        <v/>
      </c>
      <c r="U11" s="4"/>
      <c r="V11" s="4"/>
      <c r="W11" s="6">
        <f t="shared" si="3"/>
        <v>0</v>
      </c>
      <c r="X11" s="6">
        <f t="shared" si="4"/>
        <v>0</v>
      </c>
      <c r="Y11" s="6" t="str">
        <f t="shared" si="5"/>
        <v>BAŞARISIZ</v>
      </c>
      <c r="Z11" s="6" t="str">
        <f t="shared" si="6"/>
        <v>🔴 BAŞARISIZ</v>
      </c>
    </row>
    <row r="12" spans="1:26" ht="18" customHeight="1" x14ac:dyDescent="0.25">
      <c r="A12" s="4">
        <v>7</v>
      </c>
      <c r="B12" s="4">
        <v>89</v>
      </c>
      <c r="C12" s="5" t="s">
        <v>50</v>
      </c>
      <c r="D12" s="5" t="s">
        <v>25</v>
      </c>
      <c r="E12" s="6" t="s">
        <v>51</v>
      </c>
      <c r="F12" s="4"/>
      <c r="G12" s="4"/>
      <c r="H12" s="4"/>
      <c r="I12" s="4"/>
      <c r="J12" s="4"/>
      <c r="K12" s="4"/>
      <c r="L12" s="6" t="str">
        <f t="shared" si="0"/>
        <v>—</v>
      </c>
      <c r="M12" s="4"/>
      <c r="N12" s="4"/>
      <c r="O12" s="4"/>
      <c r="P12" s="4"/>
      <c r="Q12" s="4"/>
      <c r="R12" s="4"/>
      <c r="S12" s="6" t="str">
        <f t="shared" si="1"/>
        <v>—</v>
      </c>
      <c r="T12" s="6" t="str">
        <f t="shared" si="2"/>
        <v>—</v>
      </c>
      <c r="U12" s="4"/>
      <c r="V12" s="4"/>
      <c r="W12" s="6" t="str">
        <f t="shared" si="3"/>
        <v>—</v>
      </c>
      <c r="X12" s="6" t="str">
        <f t="shared" si="4"/>
        <v>—</v>
      </c>
      <c r="Y12" s="6" t="str">
        <f t="shared" si="5"/>
        <v>—</v>
      </c>
      <c r="Z12" s="6" t="str">
        <f t="shared" si="6"/>
        <v>🚫 DEVAMSIZLIK</v>
      </c>
    </row>
    <row r="13" spans="1:26" ht="18" customHeight="1" x14ac:dyDescent="0.25">
      <c r="A13" s="4">
        <v>8</v>
      </c>
      <c r="B13" s="4"/>
      <c r="C13" s="5"/>
      <c r="D13" s="5"/>
      <c r="E13" s="6"/>
      <c r="F13" s="4"/>
      <c r="G13" s="4"/>
      <c r="H13" s="4"/>
      <c r="I13" s="4"/>
      <c r="J13" s="4"/>
      <c r="K13" s="4"/>
      <c r="L13" s="6" t="str">
        <f t="shared" si="0"/>
        <v/>
      </c>
      <c r="M13" s="4"/>
      <c r="N13" s="4"/>
      <c r="O13" s="4"/>
      <c r="P13" s="4"/>
      <c r="Q13" s="4"/>
      <c r="R13" s="4"/>
      <c r="S13" s="6" t="str">
        <f t="shared" si="1"/>
        <v/>
      </c>
      <c r="T13" s="6" t="str">
        <f t="shared" si="2"/>
        <v/>
      </c>
      <c r="U13" s="4"/>
      <c r="V13" s="4"/>
      <c r="W13" s="6">
        <f t="shared" si="3"/>
        <v>0</v>
      </c>
      <c r="X13" s="6">
        <f t="shared" si="4"/>
        <v>0</v>
      </c>
      <c r="Y13" s="6" t="str">
        <f t="shared" si="5"/>
        <v>BAŞARISIZ</v>
      </c>
      <c r="Z13" s="6" t="str">
        <f t="shared" si="6"/>
        <v>🔴 BAŞARISIZ</v>
      </c>
    </row>
    <row r="14" spans="1:26" ht="18" customHeight="1" x14ac:dyDescent="0.25">
      <c r="A14" s="4">
        <v>9</v>
      </c>
      <c r="B14" s="4"/>
      <c r="C14" s="5"/>
      <c r="D14" s="5"/>
      <c r="E14" s="6"/>
      <c r="F14" s="4"/>
      <c r="G14" s="4"/>
      <c r="H14" s="4"/>
      <c r="I14" s="4"/>
      <c r="J14" s="4"/>
      <c r="K14" s="4"/>
      <c r="L14" s="6" t="str">
        <f t="shared" si="0"/>
        <v/>
      </c>
      <c r="M14" s="4"/>
      <c r="N14" s="4"/>
      <c r="O14" s="4"/>
      <c r="P14" s="4"/>
      <c r="Q14" s="4"/>
      <c r="R14" s="4"/>
      <c r="S14" s="6" t="str">
        <f t="shared" si="1"/>
        <v/>
      </c>
      <c r="T14" s="6" t="str">
        <f t="shared" si="2"/>
        <v/>
      </c>
      <c r="U14" s="4"/>
      <c r="V14" s="4"/>
      <c r="W14" s="6">
        <f t="shared" si="3"/>
        <v>0</v>
      </c>
      <c r="X14" s="6">
        <f t="shared" si="4"/>
        <v>0</v>
      </c>
      <c r="Y14" s="6" t="str">
        <f t="shared" si="5"/>
        <v>BAŞARISIZ</v>
      </c>
      <c r="Z14" s="6" t="str">
        <f t="shared" si="6"/>
        <v>🔴 BAŞARISIZ</v>
      </c>
    </row>
    <row r="15" spans="1:26" ht="18" customHeight="1" x14ac:dyDescent="0.25">
      <c r="A15" s="4">
        <v>10</v>
      </c>
      <c r="B15" s="4"/>
      <c r="C15" s="5"/>
      <c r="D15" s="5"/>
      <c r="E15" s="6"/>
      <c r="F15" s="4"/>
      <c r="G15" s="4"/>
      <c r="H15" s="4"/>
      <c r="I15" s="4"/>
      <c r="J15" s="4"/>
      <c r="K15" s="4"/>
      <c r="L15" s="6" t="str">
        <f t="shared" si="0"/>
        <v/>
      </c>
      <c r="M15" s="4"/>
      <c r="N15" s="4"/>
      <c r="O15" s="4"/>
      <c r="P15" s="4"/>
      <c r="Q15" s="4"/>
      <c r="R15" s="4"/>
      <c r="S15" s="6" t="str">
        <f t="shared" si="1"/>
        <v/>
      </c>
      <c r="T15" s="6" t="str">
        <f t="shared" si="2"/>
        <v/>
      </c>
      <c r="U15" s="4"/>
      <c r="V15" s="4"/>
      <c r="W15" s="6">
        <f t="shared" si="3"/>
        <v>0</v>
      </c>
      <c r="X15" s="6">
        <f t="shared" si="4"/>
        <v>0</v>
      </c>
      <c r="Y15" s="6" t="str">
        <f t="shared" si="5"/>
        <v>BAŞARISIZ</v>
      </c>
      <c r="Z15" s="6" t="str">
        <f t="shared" si="6"/>
        <v>🔴 BAŞARISIZ</v>
      </c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27" ht="18" customHeight="1" x14ac:dyDescent="0.25">
      <c r="A17" s="26" t="s">
        <v>22</v>
      </c>
      <c r="B17" s="24"/>
      <c r="C17" s="24"/>
      <c r="D17" s="24"/>
      <c r="E17" s="24"/>
      <c r="F17" s="6" t="str">
        <f>IFERROR(AVERAGEIF(E6:E15,"&lt;&gt;D",F6:F15),"")</f>
        <v/>
      </c>
      <c r="G17" s="6" t="str">
        <f>IFERROR(AVERAGEIF(E6:E15,"&lt;&gt;D",G6:G15),"")</f>
        <v/>
      </c>
      <c r="H17" s="6" t="str">
        <f>IFERROR(AVERAGEIF(E6:E15,"&lt;&gt;D",H6:H15),"")</f>
        <v/>
      </c>
      <c r="I17" s="6" t="str">
        <f>IFERROR(AVERAGEIF(E6:E15,"&lt;&gt;D",I6:I15),"")</f>
        <v/>
      </c>
      <c r="J17" s="6" t="str">
        <f>IFERROR(AVERAGEIF(E6:E15,"&lt;&gt;D",J6:J15),"")</f>
        <v/>
      </c>
      <c r="K17" s="6" t="str">
        <f>IFERROR(AVERAGEIF(E6:E15,"&lt;&gt;D",K6:K15),"")</f>
        <v/>
      </c>
      <c r="L17" s="6" t="str">
        <f>IFERROR(AVERAGEIF(E6:E15,"&lt;&gt;D",L6:L15),"")</f>
        <v/>
      </c>
      <c r="M17" s="6" t="str">
        <f>IFERROR(AVERAGEIF(E6:E15,"&lt;&gt;D",M6:M15),"")</f>
        <v/>
      </c>
      <c r="N17" s="6" t="str">
        <f>IFERROR(AVERAGEIF(E6:E15,"&lt;&gt;D",N6:N15),"")</f>
        <v/>
      </c>
      <c r="O17" s="6" t="str">
        <f>IFERROR(AVERAGEIF(E6:E15,"&lt;&gt;D",O6:O15),"")</f>
        <v/>
      </c>
      <c r="P17" s="6" t="str">
        <f>IFERROR(AVERAGEIF(E6:E15,"&lt;&gt;D",P6:P15),"")</f>
        <v/>
      </c>
      <c r="Q17" s="6" t="str">
        <f>IFERROR(AVERAGEIF(E6:E15,"&lt;&gt;D",Q6:Q15),"")</f>
        <v/>
      </c>
      <c r="R17" s="6" t="str">
        <f>IFERROR(AVERAGEIF(E6:E15,"&lt;&gt;D",R6:R15),"")</f>
        <v/>
      </c>
      <c r="S17" s="6" t="str">
        <f>IFERROR(AVERAGEIF(E6:E15,"&lt;&gt;D",S6:S15),"")</f>
        <v/>
      </c>
      <c r="T17" s="6" t="str">
        <f>IFERROR(AVERAGEIF(E6:E15,"&lt;&gt;D",T6:T15),"")</f>
        <v/>
      </c>
      <c r="U17" s="6" t="str">
        <f>IFERROR(AVERAGEIF(E6:E15,"&lt;&gt;D",U6:U15),"")</f>
        <v/>
      </c>
      <c r="V17" s="6" t="str">
        <f>IFERROR(AVERAGEIF(E6:E15,"&lt;&gt;D",V6:V15),"")</f>
        <v/>
      </c>
      <c r="W17" s="6">
        <f>IFERROR(AVERAGEIF(E6:E15,"&lt;&gt;D",W6:W15),"")</f>
        <v>0</v>
      </c>
      <c r="X17" s="6">
        <f>IFERROR(AVERAGEIF(E6:E15,"&lt;&gt;D",X6:X15),"")</f>
        <v>0</v>
      </c>
      <c r="Y17" s="4"/>
      <c r="Z17" s="7" t="str">
        <f>"✅ "&amp;COUNTIF(Z6:Z15,"🟢 BAŞARILI")&amp;" Başarılı"&amp;"  ❌ "&amp;COUNTIF(Z6:Z15,"🔴 BAŞARISIZ")&amp;" Başarısız"&amp;"  🚫 "&amp;COUNTIF(Z6:Z15,"🚫 DEVAMSIZLIK")&amp;" Devamsız"</f>
        <v>✅ 0 Başarılı  ❌ 9 Başarısız  🚫 1 Devamsız</v>
      </c>
    </row>
    <row r="18" spans="1:2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72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7.9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4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3"/>
    </row>
    <row r="21" spans="1:27" ht="32.25" customHeight="1" x14ac:dyDescent="0.25">
      <c r="A21" s="19" t="s">
        <v>30</v>
      </c>
      <c r="B21" s="19"/>
      <c r="C21" s="19"/>
      <c r="D21" s="19"/>
      <c r="E21" s="19"/>
      <c r="F21" s="19"/>
      <c r="G21" s="19"/>
      <c r="H21" s="19"/>
      <c r="I21" s="19"/>
      <c r="J21" s="19"/>
      <c r="K21" s="14"/>
      <c r="L21" s="19" t="s">
        <v>31</v>
      </c>
      <c r="M21" s="19"/>
      <c r="N21" s="19"/>
      <c r="O21" s="19"/>
      <c r="P21" s="19"/>
      <c r="Q21" s="19"/>
      <c r="R21" s="19"/>
      <c r="S21" s="19" t="s">
        <v>32</v>
      </c>
      <c r="T21" s="19"/>
      <c r="U21" s="19"/>
      <c r="V21" s="19"/>
      <c r="W21" s="19"/>
      <c r="X21" s="19"/>
      <c r="Y21" s="19"/>
      <c r="Z21" s="19"/>
      <c r="AA21" s="13"/>
    </row>
    <row r="22" spans="1:27" ht="15.75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3"/>
    </row>
    <row r="23" spans="1:27" ht="49.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7" ht="27.95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4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3"/>
    </row>
    <row r="25" spans="1:27" ht="32.25" customHeight="1" x14ac:dyDescent="0.25">
      <c r="A25" s="19" t="s">
        <v>29</v>
      </c>
      <c r="B25" s="19"/>
      <c r="C25" s="19"/>
      <c r="D25" s="19"/>
      <c r="E25" s="19"/>
      <c r="F25" s="19"/>
      <c r="G25" s="19"/>
      <c r="H25" s="19"/>
      <c r="I25" s="19"/>
      <c r="J25" s="19"/>
      <c r="K25" s="14"/>
      <c r="L25" s="19" t="s">
        <v>26</v>
      </c>
      <c r="M25" s="19"/>
      <c r="N25" s="19"/>
      <c r="O25" s="19"/>
      <c r="P25" s="19"/>
      <c r="Q25" s="19"/>
      <c r="R25" s="19"/>
      <c r="S25" s="19" t="s">
        <v>33</v>
      </c>
      <c r="T25" s="19"/>
      <c r="U25" s="19"/>
      <c r="V25" s="19"/>
      <c r="W25" s="19"/>
      <c r="X25" s="19"/>
      <c r="Y25" s="19"/>
      <c r="Z25" s="19"/>
      <c r="AA25" s="13"/>
    </row>
    <row r="26" spans="1:27" ht="15.75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3"/>
    </row>
    <row r="27" spans="1:27" ht="15.7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7" ht="93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7" ht="15.7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18"/>
      <c r="M29" s="18"/>
      <c r="N29" s="18"/>
      <c r="O29" s="18"/>
      <c r="P29" s="18"/>
      <c r="Q29" s="18"/>
      <c r="R29" s="18"/>
      <c r="S29" s="8"/>
      <c r="T29" s="8"/>
      <c r="U29" s="8"/>
      <c r="V29" s="8"/>
      <c r="W29" s="8"/>
      <c r="X29" s="8"/>
      <c r="Y29" s="8"/>
      <c r="Z29" s="8"/>
    </row>
    <row r="30" spans="1:27" ht="1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19" t="s">
        <v>23</v>
      </c>
      <c r="M30" s="19"/>
      <c r="N30" s="19"/>
      <c r="O30" s="19"/>
      <c r="P30" s="19"/>
      <c r="Q30" s="19"/>
      <c r="R30" s="19"/>
      <c r="S30" s="8"/>
      <c r="T30" s="8"/>
      <c r="U30" s="8"/>
      <c r="V30" s="8"/>
      <c r="W30" s="8"/>
      <c r="X30" s="8"/>
      <c r="Y30" s="8"/>
      <c r="Z30" s="8"/>
    </row>
    <row r="31" spans="1:27" ht="15.7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20" t="s">
        <v>24</v>
      </c>
      <c r="M31" s="20"/>
      <c r="N31" s="20"/>
      <c r="O31" s="20"/>
      <c r="P31" s="20"/>
      <c r="Q31" s="20"/>
      <c r="R31" s="20"/>
      <c r="S31" s="8"/>
      <c r="T31" s="8"/>
      <c r="U31" s="8"/>
      <c r="V31" s="8"/>
      <c r="W31" s="8"/>
      <c r="X31" s="8"/>
      <c r="Y31" s="8"/>
      <c r="Z31" s="8"/>
    </row>
  </sheetData>
  <mergeCells count="33">
    <mergeCell ref="U4:U5"/>
    <mergeCell ref="B4:B5"/>
    <mergeCell ref="A1:Z1"/>
    <mergeCell ref="A4:A5"/>
    <mergeCell ref="C4:C5"/>
    <mergeCell ref="T4:T5"/>
    <mergeCell ref="A17:E17"/>
    <mergeCell ref="Z4:Z5"/>
    <mergeCell ref="W4:W5"/>
    <mergeCell ref="A2:Z2"/>
    <mergeCell ref="V4:V5"/>
    <mergeCell ref="E4:E5"/>
    <mergeCell ref="X4:X5"/>
    <mergeCell ref="M4:S4"/>
    <mergeCell ref="A3:Z3"/>
    <mergeCell ref="Y4:Y5"/>
    <mergeCell ref="F4:L4"/>
    <mergeCell ref="D4:D5"/>
    <mergeCell ref="S24:Z24"/>
    <mergeCell ref="A25:J25"/>
    <mergeCell ref="L25:R25"/>
    <mergeCell ref="S25:Z25"/>
    <mergeCell ref="A20:J20"/>
    <mergeCell ref="L20:R20"/>
    <mergeCell ref="S20:Z20"/>
    <mergeCell ref="A21:J21"/>
    <mergeCell ref="L21:R21"/>
    <mergeCell ref="S21:Z21"/>
    <mergeCell ref="L29:R29"/>
    <mergeCell ref="L30:R30"/>
    <mergeCell ref="L31:R31"/>
    <mergeCell ref="A24:J24"/>
    <mergeCell ref="L24:R24"/>
  </mergeCells>
  <conditionalFormatting sqref="Z6:Z15">
    <cfRule type="cellIs" dxfId="13" priority="1" operator="equal">
      <formula>"🟢 BAŞARILI"</formula>
    </cfRule>
    <cfRule type="cellIs" dxfId="12" priority="2" operator="equal">
      <formula>"🔴 BAŞARISIZ"</formula>
    </cfRule>
    <cfRule type="cellIs" dxfId="11" priority="3" operator="equal">
      <formula>"🚫 DEVAMSIZLIK"</formula>
    </cfRule>
    <cfRule type="cellIs" dxfId="10" priority="4" operator="equal">
      <formula>"⚠️ MUAF"</formula>
    </cfRule>
  </conditionalFormatting>
  <conditionalFormatting sqref="W6:W15">
    <cfRule type="cellIs" dxfId="9" priority="5" operator="lessThan">
      <formula>50</formula>
    </cfRule>
    <cfRule type="cellIs" dxfId="8" priority="6" operator="greaterThanOrEqual">
      <formula>70</formula>
    </cfRule>
    <cfRule type="expression" dxfId="7" priority="7">
      <formula>AND(W6&gt;=50,W6&lt;70)</formula>
    </cfRule>
  </conditionalFormatting>
  <pageMargins left="0.35" right="0.35" top="0.4" bottom="0.4" header="0.5" footer="0.5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7"/>
  <sheetViews>
    <sheetView showGridLines="0" tabSelected="1" zoomScale="70" zoomScaleNormal="70" workbookViewId="0">
      <selection activeCell="R9" sqref="R9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7" ht="36.75" customHeight="1" x14ac:dyDescent="0.25">
      <c r="A1" s="21" t="s">
        <v>28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7" ht="27.75" customHeight="1" x14ac:dyDescent="0.25">
      <c r="A2" s="21" t="s">
        <v>53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7" ht="38.25" customHeight="1" x14ac:dyDescent="0.3">
      <c r="A3" s="21" t="s">
        <v>52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7" ht="38.25" customHeigh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7" ht="36.75" customHeight="1" x14ac:dyDescent="0.25">
      <c r="A5" s="23" t="s">
        <v>27</v>
      </c>
      <c r="B5" s="25" t="s">
        <v>1</v>
      </c>
      <c r="C5" s="25" t="s">
        <v>2</v>
      </c>
      <c r="D5" s="25" t="s">
        <v>3</v>
      </c>
      <c r="E5" s="27" t="s">
        <v>4</v>
      </c>
      <c r="F5" s="28" t="s">
        <v>5</v>
      </c>
      <c r="G5" s="24"/>
      <c r="H5" s="24"/>
      <c r="I5" s="24"/>
      <c r="J5" s="24"/>
      <c r="K5" s="24"/>
      <c r="L5" s="24"/>
      <c r="M5" s="28" t="s">
        <v>6</v>
      </c>
      <c r="N5" s="24"/>
      <c r="O5" s="24"/>
      <c r="P5" s="24"/>
      <c r="Q5" s="24"/>
      <c r="R5" s="24"/>
      <c r="S5" s="24"/>
      <c r="T5" s="25" t="s">
        <v>7</v>
      </c>
      <c r="U5" s="25" t="s">
        <v>8</v>
      </c>
      <c r="V5" s="25" t="s">
        <v>9</v>
      </c>
      <c r="W5" s="25" t="s">
        <v>10</v>
      </c>
      <c r="X5" s="25" t="s">
        <v>11</v>
      </c>
      <c r="Y5" s="25" t="s">
        <v>12</v>
      </c>
      <c r="Z5" s="25" t="s">
        <v>13</v>
      </c>
    </row>
    <row r="6" spans="1:27" ht="37.5" customHeight="1" x14ac:dyDescent="0.25">
      <c r="A6" s="24"/>
      <c r="B6" s="24"/>
      <c r="C6" s="24"/>
      <c r="D6" s="24"/>
      <c r="E6" s="24"/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3" t="s">
        <v>20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3" t="s">
        <v>21</v>
      </c>
      <c r="T6" s="24"/>
      <c r="U6" s="24"/>
      <c r="V6" s="24"/>
      <c r="W6" s="24"/>
      <c r="X6" s="24"/>
      <c r="Y6" s="24"/>
      <c r="Z6" s="24"/>
    </row>
    <row r="7" spans="1:27" ht="18" customHeight="1" x14ac:dyDescent="0.25">
      <c r="A7" s="9">
        <v>1</v>
      </c>
      <c r="B7" s="9">
        <v>665</v>
      </c>
      <c r="C7" s="10" t="s">
        <v>34</v>
      </c>
      <c r="D7" s="10" t="s">
        <v>35</v>
      </c>
      <c r="E7" s="11"/>
      <c r="F7" s="9"/>
      <c r="G7" s="9"/>
      <c r="H7" s="9"/>
      <c r="I7" s="9"/>
      <c r="J7" s="9"/>
      <c r="K7" s="9"/>
      <c r="L7" s="11" t="str">
        <f t="shared" ref="L7:L11" si="0">IFERROR(IF(OR(E7="D",E7="M"),"—",AVERAGE(F7:K7)),"")</f>
        <v/>
      </c>
      <c r="M7" s="9"/>
      <c r="N7" s="9"/>
      <c r="O7" s="9"/>
      <c r="P7" s="9"/>
      <c r="Q7" s="9"/>
      <c r="R7" s="9"/>
      <c r="S7" s="11" t="str">
        <f t="shared" ref="S7:S11" si="1">IFERROR(IF(OR(E7="D",E7="M"),"—",AVERAGE(M7:R7)),"")</f>
        <v/>
      </c>
      <c r="T7" s="11" t="str">
        <f t="shared" ref="T7:T11" si="2">IFERROR(IF(OR(E7="D",E7="M"),"—",AVERAGE(L7,S7)),"")</f>
        <v/>
      </c>
      <c r="U7" s="9"/>
      <c r="V7" s="9"/>
      <c r="W7" s="11">
        <f t="shared" ref="W7:W8" si="3">IFERROR(IF(OR(E7="D",E7="M"),"—",ROUND((U7*0.2)+(V7*0.8),2)),"")</f>
        <v>0</v>
      </c>
      <c r="X7" s="11">
        <f t="shared" ref="X7:X8" si="4">IFERROR(IF(OR(E7="D",E7="M"),"—",ROUND(AVERAGE(T7,W7),2)),"")</f>
        <v>0</v>
      </c>
      <c r="Y7" s="11" t="str">
        <f t="shared" ref="Y7:Y8" si="5">IFERROR(IF(OR(E7="D",E7="M"),"—",IF(X7="","—",IF(X7&gt;=85,"PEKİYİ",IF(X7&gt;=70,"İYİ",IF(X7&gt;=55,"ORTA",IF(X7&gt;=45,"GEÇER","BAŞARISIZ")))))),"")</f>
        <v>BAŞARISIZ</v>
      </c>
      <c r="Z7" s="11" t="str">
        <f t="shared" ref="Z7:Z8" si="6">IFERROR(IF(E7="D","🚫 DEVAMSIZLIK",IF(E7="M","⚠️ MUAF",IF(W7="","—",IF(W7&lt;50,"🔴 BAŞARISIZ",IF(W7&gt;=70,"🟢 BAŞARILI",IF(X7&gt;=50,"🟢 BAŞARILI","🔴 BAŞARISIZ")))))),"")</f>
        <v>🔴 BAŞARISIZ</v>
      </c>
    </row>
    <row r="8" spans="1:27" ht="18" customHeight="1" x14ac:dyDescent="0.25">
      <c r="A8" s="9">
        <v>2</v>
      </c>
      <c r="B8" s="9">
        <v>299</v>
      </c>
      <c r="C8" s="10" t="s">
        <v>36</v>
      </c>
      <c r="D8" s="10" t="s">
        <v>37</v>
      </c>
      <c r="E8" s="11"/>
      <c r="F8" s="9"/>
      <c r="G8" s="9"/>
      <c r="H8" s="9"/>
      <c r="I8" s="9"/>
      <c r="J8" s="9"/>
      <c r="K8" s="9"/>
      <c r="L8" s="11" t="str">
        <f t="shared" si="0"/>
        <v/>
      </c>
      <c r="M8" s="9"/>
      <c r="N8" s="9"/>
      <c r="O8" s="9"/>
      <c r="P8" s="9"/>
      <c r="Q8" s="9"/>
      <c r="R8" s="9"/>
      <c r="S8" s="11" t="str">
        <f t="shared" si="1"/>
        <v/>
      </c>
      <c r="T8" s="11" t="str">
        <f t="shared" si="2"/>
        <v/>
      </c>
      <c r="U8" s="9"/>
      <c r="V8" s="9"/>
      <c r="W8" s="11">
        <f t="shared" si="3"/>
        <v>0</v>
      </c>
      <c r="X8" s="11">
        <f t="shared" si="4"/>
        <v>0</v>
      </c>
      <c r="Y8" s="11" t="str">
        <f t="shared" si="5"/>
        <v>BAŞARISIZ</v>
      </c>
      <c r="Z8" s="11" t="str">
        <f t="shared" si="6"/>
        <v>🔴 BAŞARISIZ</v>
      </c>
    </row>
    <row r="9" spans="1:27" ht="18" customHeight="1" x14ac:dyDescent="0.25">
      <c r="A9" s="9">
        <v>3</v>
      </c>
      <c r="B9" s="9"/>
      <c r="C9" s="10"/>
      <c r="D9" s="10"/>
      <c r="E9" s="11"/>
      <c r="F9" s="9"/>
      <c r="G9" s="9"/>
      <c r="H9" s="9"/>
      <c r="I9" s="9"/>
      <c r="J9" s="9"/>
      <c r="K9" s="9"/>
      <c r="L9" s="11" t="str">
        <f t="shared" si="0"/>
        <v/>
      </c>
      <c r="M9" s="9"/>
      <c r="N9" s="9"/>
      <c r="O9" s="9"/>
      <c r="P9" s="9"/>
      <c r="Q9" s="9"/>
      <c r="R9" s="9"/>
      <c r="S9" s="11" t="str">
        <f t="shared" si="1"/>
        <v/>
      </c>
      <c r="T9" s="11" t="str">
        <f t="shared" si="2"/>
        <v/>
      </c>
      <c r="U9" s="9"/>
      <c r="V9" s="9"/>
      <c r="W9" s="11"/>
      <c r="X9" s="11"/>
      <c r="Y9" s="11"/>
      <c r="Z9" s="11"/>
    </row>
    <row r="10" spans="1:27" ht="18" customHeight="1" x14ac:dyDescent="0.25">
      <c r="A10" s="9">
        <v>4</v>
      </c>
      <c r="B10" s="9"/>
      <c r="C10" s="10"/>
      <c r="D10" s="10"/>
      <c r="E10" s="11"/>
      <c r="F10" s="9"/>
      <c r="G10" s="9"/>
      <c r="H10" s="9"/>
      <c r="I10" s="9"/>
      <c r="J10" s="9"/>
      <c r="K10" s="9"/>
      <c r="L10" s="11" t="str">
        <f t="shared" si="0"/>
        <v/>
      </c>
      <c r="M10" s="9"/>
      <c r="N10" s="9"/>
      <c r="O10" s="9"/>
      <c r="P10" s="9"/>
      <c r="Q10" s="9"/>
      <c r="R10" s="9"/>
      <c r="S10" s="11" t="str">
        <f t="shared" si="1"/>
        <v/>
      </c>
      <c r="T10" s="11" t="str">
        <f t="shared" si="2"/>
        <v/>
      </c>
      <c r="U10" s="9"/>
      <c r="V10" s="9"/>
      <c r="W10" s="11"/>
      <c r="X10" s="11"/>
      <c r="Y10" s="11"/>
      <c r="Z10" s="11"/>
    </row>
    <row r="11" spans="1:27" ht="18" customHeight="1" x14ac:dyDescent="0.25">
      <c r="A11" s="9">
        <v>5</v>
      </c>
      <c r="B11" s="9"/>
      <c r="C11" s="10"/>
      <c r="D11" s="10"/>
      <c r="E11" s="11"/>
      <c r="F11" s="9"/>
      <c r="G11" s="9"/>
      <c r="H11" s="9"/>
      <c r="I11" s="9"/>
      <c r="J11" s="9"/>
      <c r="K11" s="9"/>
      <c r="L11" s="11" t="str">
        <f t="shared" si="0"/>
        <v/>
      </c>
      <c r="M11" s="9"/>
      <c r="N11" s="9"/>
      <c r="O11" s="9"/>
      <c r="P11" s="9"/>
      <c r="Q11" s="9"/>
      <c r="R11" s="9"/>
      <c r="S11" s="11" t="str">
        <f t="shared" si="1"/>
        <v/>
      </c>
      <c r="T11" s="11" t="str">
        <f t="shared" si="2"/>
        <v/>
      </c>
      <c r="U11" s="9"/>
      <c r="V11" s="9"/>
      <c r="W11" s="11"/>
      <c r="X11" s="11"/>
      <c r="Y11" s="11"/>
      <c r="Z11" s="11"/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18" customHeight="1" x14ac:dyDescent="0.25">
      <c r="A13" s="30" t="s">
        <v>22</v>
      </c>
      <c r="B13" s="24"/>
      <c r="C13" s="24"/>
      <c r="D13" s="24"/>
      <c r="E13" s="24"/>
      <c r="F13" s="11" t="str">
        <f>IFERROR(AVERAGEIF(E7:E11,"&lt;&gt;D",F7:F11),"")</f>
        <v/>
      </c>
      <c r="G13" s="11" t="str">
        <f>IFERROR(AVERAGEIF(E7:E11,"&lt;&gt;D",G7:G11),"")</f>
        <v/>
      </c>
      <c r="H13" s="11" t="str">
        <f>IFERROR(AVERAGEIF(E7:E11,"&lt;&gt;D",H7:H11),"")</f>
        <v/>
      </c>
      <c r="I13" s="11" t="str">
        <f>IFERROR(AVERAGEIF(E7:E11,"&lt;&gt;D",I7:I11),"")</f>
        <v/>
      </c>
      <c r="J13" s="11" t="str">
        <f>IFERROR(AVERAGEIF(E7:E11,"&lt;&gt;D",J7:J11),"")</f>
        <v/>
      </c>
      <c r="K13" s="11" t="str">
        <f>IFERROR(AVERAGEIF(E7:E11,"&lt;&gt;D",K7:K11),"")</f>
        <v/>
      </c>
      <c r="L13" s="11" t="str">
        <f>IFERROR(AVERAGEIF(E7:E11,"&lt;&gt;D",L7:L11),"")</f>
        <v/>
      </c>
      <c r="M13" s="11" t="str">
        <f>IFERROR(AVERAGEIF(E7:E11,"&lt;&gt;D",M7:M11),"")</f>
        <v/>
      </c>
      <c r="N13" s="11" t="str">
        <f>IFERROR(AVERAGEIF(E7:E11,"&lt;&gt;D",N7:N11),"")</f>
        <v/>
      </c>
      <c r="O13" s="11" t="str">
        <f>IFERROR(AVERAGEIF(E7:E11,"&lt;&gt;D",O7:O11),"")</f>
        <v/>
      </c>
      <c r="P13" s="11" t="str">
        <f>IFERROR(AVERAGEIF(E7:E11,"&lt;&gt;D",P7:P11),"")</f>
        <v/>
      </c>
      <c r="Q13" s="11" t="str">
        <f>IFERROR(AVERAGEIF(E7:E11,"&lt;&gt;D",Q7:Q11),"")</f>
        <v/>
      </c>
      <c r="R13" s="11" t="str">
        <f>IFERROR(AVERAGEIF(E7:E11,"&lt;&gt;D",R7:R11),"")</f>
        <v/>
      </c>
      <c r="S13" s="11" t="str">
        <f>IFERROR(AVERAGEIF(E7:E11,"&lt;&gt;D",S7:S11),"")</f>
        <v/>
      </c>
      <c r="T13" s="11" t="str">
        <f>IFERROR(AVERAGEIF(E7:E11,"&lt;&gt;D",T7:T11),"")</f>
        <v/>
      </c>
      <c r="U13" s="11" t="str">
        <f>IFERROR(AVERAGEIF(E7:E11,"&lt;&gt;D",U7:U11),"")</f>
        <v/>
      </c>
      <c r="V13" s="11" t="str">
        <f>IFERROR(AVERAGEIF(E7:E11,"&lt;&gt;D",V7:V11),"")</f>
        <v/>
      </c>
      <c r="W13" s="11">
        <f>IFERROR(AVERAGEIF(E7:E11,"&lt;&gt;D",W7:W11),"")</f>
        <v>0</v>
      </c>
      <c r="X13" s="11">
        <f>IFERROR(AVERAGEIF(E7:E11,"&lt;&gt;D",X7:X11),"")</f>
        <v>0</v>
      </c>
      <c r="Y13" s="9"/>
      <c r="Z13" s="12" t="str">
        <f>"✅ "&amp;COUNTIF(Z7:Z11,"🟢 BAŞARILI")&amp;" Başarılı"&amp;"  ❌ "&amp;COUNTIF(Z7:Z11,"🔴 BAŞARISIZ")&amp;" Başarısız"&amp;"  🚫 "&amp;COUNTIF(Z7:Z11,"🚫 DEVAMSIZLIK")&amp;" Devamsız"</f>
        <v>✅ 0 Başarılı  ❌ 2 Başarısız  🚫 0 Devamsız</v>
      </c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72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27.9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4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3"/>
    </row>
    <row r="17" spans="1:27" ht="32.25" customHeight="1" x14ac:dyDescent="0.25">
      <c r="A17" s="19" t="s">
        <v>30</v>
      </c>
      <c r="B17" s="19"/>
      <c r="C17" s="19"/>
      <c r="D17" s="19"/>
      <c r="E17" s="19"/>
      <c r="F17" s="19"/>
      <c r="G17" s="19"/>
      <c r="H17" s="19"/>
      <c r="I17" s="19"/>
      <c r="J17" s="19"/>
      <c r="K17" s="14"/>
      <c r="L17" s="19" t="s">
        <v>31</v>
      </c>
      <c r="M17" s="19"/>
      <c r="N17" s="19"/>
      <c r="O17" s="19"/>
      <c r="P17" s="19"/>
      <c r="Q17" s="19"/>
      <c r="R17" s="19"/>
      <c r="S17" s="19" t="s">
        <v>32</v>
      </c>
      <c r="T17" s="19"/>
      <c r="U17" s="19"/>
      <c r="V17" s="19"/>
      <c r="W17" s="19"/>
      <c r="X17" s="19"/>
      <c r="Y17" s="19"/>
      <c r="Z17" s="19"/>
      <c r="AA17" s="13"/>
    </row>
    <row r="18" spans="1:27" ht="15.75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3"/>
    </row>
    <row r="19" spans="1:27" ht="49.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7" ht="27.9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4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3"/>
    </row>
    <row r="21" spans="1:27" ht="32.25" customHeight="1" x14ac:dyDescent="0.25">
      <c r="A21" s="19" t="s">
        <v>29</v>
      </c>
      <c r="B21" s="19"/>
      <c r="C21" s="19"/>
      <c r="D21" s="19"/>
      <c r="E21" s="19"/>
      <c r="F21" s="19"/>
      <c r="G21" s="19"/>
      <c r="H21" s="19"/>
      <c r="I21" s="19"/>
      <c r="J21" s="19"/>
      <c r="K21" s="14"/>
      <c r="L21" s="19" t="s">
        <v>26</v>
      </c>
      <c r="M21" s="19"/>
      <c r="N21" s="19"/>
      <c r="O21" s="19"/>
      <c r="P21" s="19"/>
      <c r="Q21" s="19"/>
      <c r="R21" s="19"/>
      <c r="S21" s="19" t="s">
        <v>33</v>
      </c>
      <c r="T21" s="19"/>
      <c r="U21" s="19"/>
      <c r="V21" s="19"/>
      <c r="W21" s="19"/>
      <c r="X21" s="19"/>
      <c r="Y21" s="19"/>
      <c r="Z21" s="19"/>
      <c r="AA21" s="13"/>
    </row>
    <row r="22" spans="1:27" ht="15.75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3"/>
    </row>
    <row r="23" spans="1:27" ht="15.7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7" ht="93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7" ht="15.7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18"/>
      <c r="M25" s="18"/>
      <c r="N25" s="18"/>
      <c r="O25" s="18"/>
      <c r="P25" s="18"/>
      <c r="Q25" s="18"/>
      <c r="R25" s="18"/>
      <c r="S25" s="8"/>
      <c r="T25" s="8"/>
      <c r="U25" s="8"/>
      <c r="V25" s="8"/>
      <c r="W25" s="8"/>
      <c r="X25" s="8"/>
      <c r="Y25" s="8"/>
      <c r="Z25" s="8"/>
    </row>
    <row r="26" spans="1:27" ht="1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19" t="s">
        <v>23</v>
      </c>
      <c r="M26" s="19"/>
      <c r="N26" s="19"/>
      <c r="O26" s="19"/>
      <c r="P26" s="19"/>
      <c r="Q26" s="19"/>
      <c r="R26" s="19"/>
      <c r="S26" s="8"/>
      <c r="T26" s="8"/>
      <c r="U26" s="8"/>
      <c r="V26" s="8"/>
      <c r="W26" s="8"/>
      <c r="X26" s="8"/>
      <c r="Y26" s="8"/>
      <c r="Z26" s="8"/>
    </row>
    <row r="27" spans="1:27" ht="15.7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20" t="s">
        <v>24</v>
      </c>
      <c r="M27" s="20"/>
      <c r="N27" s="20"/>
      <c r="O27" s="20"/>
      <c r="P27" s="20"/>
      <c r="Q27" s="20"/>
      <c r="R27" s="20"/>
      <c r="S27" s="8"/>
      <c r="T27" s="8"/>
      <c r="U27" s="8"/>
      <c r="V27" s="8"/>
      <c r="W27" s="8"/>
      <c r="X27" s="8"/>
      <c r="Y27" s="8"/>
      <c r="Z27" s="8"/>
    </row>
  </sheetData>
  <mergeCells count="33">
    <mergeCell ref="M5:S5"/>
    <mergeCell ref="S20:Z20"/>
    <mergeCell ref="A21:J21"/>
    <mergeCell ref="A13:E13"/>
    <mergeCell ref="A1:Z1"/>
    <mergeCell ref="A5:A6"/>
    <mergeCell ref="C5:C6"/>
    <mergeCell ref="T5:T6"/>
    <mergeCell ref="A3:Z3"/>
    <mergeCell ref="A2:Z2"/>
    <mergeCell ref="B5:B6"/>
    <mergeCell ref="Z5:Z6"/>
    <mergeCell ref="E5:E6"/>
    <mergeCell ref="D5:D6"/>
    <mergeCell ref="U5:U6"/>
    <mergeCell ref="W5:W6"/>
    <mergeCell ref="X5:X6"/>
    <mergeCell ref="S21:Z21"/>
    <mergeCell ref="L25:R25"/>
    <mergeCell ref="L26:R26"/>
    <mergeCell ref="L27:R27"/>
    <mergeCell ref="Y5:Y6"/>
    <mergeCell ref="F5:L5"/>
    <mergeCell ref="V5:V6"/>
    <mergeCell ref="S17:Z17"/>
    <mergeCell ref="S16:Z16"/>
    <mergeCell ref="L16:R16"/>
    <mergeCell ref="L17:R17"/>
    <mergeCell ref="A16:J16"/>
    <mergeCell ref="A17:J17"/>
    <mergeCell ref="L21:R21"/>
    <mergeCell ref="A20:J20"/>
    <mergeCell ref="L20:R20"/>
  </mergeCells>
  <conditionalFormatting sqref="Z7:Z11">
    <cfRule type="cellIs" dxfId="6" priority="1" operator="equal">
      <formula>"🟢 BAŞARILI"</formula>
    </cfRule>
    <cfRule type="cellIs" dxfId="5" priority="2" operator="equal">
      <formula>"🔴 BAŞARISIZ"</formula>
    </cfRule>
    <cfRule type="cellIs" dxfId="4" priority="3" operator="equal">
      <formula>"🚫 DEVAMSIZLIK"</formula>
    </cfRule>
    <cfRule type="cellIs" dxfId="3" priority="4" operator="equal">
      <formula>"⚠️ MUAF"</formula>
    </cfRule>
  </conditionalFormatting>
  <conditionalFormatting sqref="W7:W11">
    <cfRule type="cellIs" dxfId="2" priority="5" operator="lessThan">
      <formula>50</formula>
    </cfRule>
    <cfRule type="cellIs" dxfId="1" priority="6" operator="greaterThanOrEqual">
      <formula>70</formula>
    </cfRule>
    <cfRule type="expression" dxfId="0" priority="7">
      <formula>AND(W7&gt;=50,W7&lt;70)</formula>
    </cfRule>
  </conditionalFormatting>
  <printOptions horizontalCentered="1"/>
  <pageMargins left="0.35433070866141736" right="0.35433070866141736" top="0.39370078740157483" bottom="0.39370078740157483" header="0.51181102362204722" footer="0.51181102362204722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Makine Bakım Onarım</vt:lpstr>
      <vt:lpstr> Bilgisayarlı Makine İmalatı</vt:lpstr>
      <vt:lpstr>' Bilgisayarlı Makine İmalatı'!Yazdırma_Başlıkları</vt:lpstr>
      <vt:lpstr>'Makine Bakım Onarım'!Yazdırma_Başlıkları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Koç</cp:lastModifiedBy>
  <cp:lastPrinted>2026-06-06T11:24:06Z</cp:lastPrinted>
  <dcterms:created xsi:type="dcterms:W3CDTF">2026-06-03T07:04:29Z</dcterms:created>
  <dcterms:modified xsi:type="dcterms:W3CDTF">2026-06-06T11:33:22Z</dcterms:modified>
</cp:coreProperties>
</file>