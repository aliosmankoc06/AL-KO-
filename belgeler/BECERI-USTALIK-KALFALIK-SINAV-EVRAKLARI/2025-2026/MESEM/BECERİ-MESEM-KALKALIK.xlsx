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eceri sınav evrakları\"/>
    </mc:Choice>
  </mc:AlternateContent>
  <bookViews>
    <workbookView xWindow="0" yWindow="0" windowWidth="20490" windowHeight="7665" activeTab="1"/>
  </bookViews>
  <sheets>
    <sheet name="Makine Bakım Onarım" sheetId="1" r:id="rId1"/>
    <sheet name=" Bilg.Makine İmalatı" sheetId="2" r:id="rId2"/>
  </sheets>
  <definedNames>
    <definedName name="_xlnm.Print_Titles" localSheetId="1">' Bilg.Makine İmalatı'!$1:$5</definedName>
    <definedName name="_xlnm.Print_Titles" localSheetId="0">'Makine Bakım Onarım'!$1:$5</definedName>
  </definedNames>
  <calcPr calcId="162913"/>
</workbook>
</file>

<file path=xl/calcChain.xml><?xml version="1.0" encoding="utf-8"?>
<calcChain xmlns="http://schemas.openxmlformats.org/spreadsheetml/2006/main">
  <c r="V12" i="1" l="1"/>
  <c r="U12" i="1"/>
  <c r="R12" i="1"/>
  <c r="Q12" i="1"/>
  <c r="P12" i="1"/>
  <c r="O12" i="1"/>
  <c r="N12" i="1"/>
  <c r="M12" i="1"/>
  <c r="K12" i="1"/>
  <c r="J12" i="1"/>
  <c r="I12" i="1"/>
  <c r="H12" i="1"/>
  <c r="G12" i="1"/>
  <c r="F12" i="1"/>
  <c r="S10" i="1"/>
  <c r="L10" i="1"/>
  <c r="S9" i="1"/>
  <c r="L9" i="1"/>
  <c r="T9" i="1" s="1"/>
  <c r="S8" i="1"/>
  <c r="T8" i="1" s="1"/>
  <c r="L8" i="1"/>
  <c r="S7" i="1"/>
  <c r="T7" i="1" s="1"/>
  <c r="L7" i="1"/>
  <c r="W6" i="1"/>
  <c r="W12" i="1" s="1"/>
  <c r="S6" i="1"/>
  <c r="S12" i="1" s="1"/>
  <c r="L6" i="1"/>
  <c r="L7" i="2"/>
  <c r="S7" i="2"/>
  <c r="L8" i="2"/>
  <c r="S8" i="2"/>
  <c r="L9" i="2"/>
  <c r="T9" i="2" s="1"/>
  <c r="S9" i="2"/>
  <c r="L10" i="2"/>
  <c r="S10" i="2"/>
  <c r="T10" i="2" l="1"/>
  <c r="T7" i="2"/>
  <c r="T8" i="2"/>
  <c r="Z6" i="1"/>
  <c r="L12" i="1"/>
  <c r="T10" i="1"/>
  <c r="Z12" i="1"/>
  <c r="T6" i="1"/>
  <c r="V12" i="2"/>
  <c r="U12" i="2"/>
  <c r="R12" i="2"/>
  <c r="Q12" i="2"/>
  <c r="P12" i="2"/>
  <c r="O12" i="2"/>
  <c r="N12" i="2"/>
  <c r="M12" i="2"/>
  <c r="K12" i="2"/>
  <c r="J12" i="2"/>
  <c r="I12" i="2"/>
  <c r="H12" i="2"/>
  <c r="G12" i="2"/>
  <c r="F12" i="2"/>
  <c r="W6" i="2"/>
  <c r="Z6" i="2" s="1"/>
  <c r="S6" i="2"/>
  <c r="L6" i="2"/>
  <c r="T12" i="1" l="1"/>
  <c r="X6" i="1"/>
  <c r="L12" i="2"/>
  <c r="Z12" i="2"/>
  <c r="S12" i="2"/>
  <c r="W12" i="2"/>
  <c r="T6" i="2"/>
  <c r="X12" i="1" l="1"/>
  <c r="Y6" i="1"/>
  <c r="T12" i="2"/>
  <c r="X6" i="2"/>
  <c r="X12" i="2" l="1"/>
  <c r="Y6" i="2"/>
</calcChain>
</file>

<file path=xl/sharedStrings.xml><?xml version="1.0" encoding="utf-8"?>
<sst xmlns="http://schemas.openxmlformats.org/spreadsheetml/2006/main" count="84" uniqueCount="39">
  <si>
    <t>Makine ve Tasarım Teknolojisi Alanı — Makine Bakım Onarım Dalı</t>
  </si>
  <si>
    <t>Öğrenci
No</t>
  </si>
  <si>
    <t>Adı</t>
  </si>
  <si>
    <t>Soyadı</t>
  </si>
  <si>
    <t>KOD
D/M</t>
  </si>
  <si>
    <t>◀  1. DÖNEM İŞLETME NOTLARI  ▶</t>
  </si>
  <si>
    <t>◀  2. DÖNEM İŞLETME NOTLARI  ▶</t>
  </si>
  <si>
    <t>GENEL
DÖNEM
ORT.
(L+S)/2</t>
  </si>
  <si>
    <t>İş Dosyası
Puanı
(100 üzerinden
girişi)</t>
  </si>
  <si>
    <t>Sınav
Puanı
(100 üzerinden
girişi)</t>
  </si>
  <si>
    <t>BECERİ
SINAV
PUANI
(U×%20)+(V×%80)</t>
  </si>
  <si>
    <t>YIL
SONU
(Sayı)</t>
  </si>
  <si>
    <t>YIL
SONU
(Yazı)</t>
  </si>
  <si>
    <t>SONUÇ</t>
  </si>
  <si>
    <t>Temrin
1</t>
  </si>
  <si>
    <t>Temrin
2</t>
  </si>
  <si>
    <t>İş/Hzm
1</t>
  </si>
  <si>
    <t>İş/Hzm
2</t>
  </si>
  <si>
    <t>Proje</t>
  </si>
  <si>
    <t>Deney</t>
  </si>
  <si>
    <t>DÖNEM
ORT.1</t>
  </si>
  <si>
    <t>DÖNEM
ORT.2</t>
  </si>
  <si>
    <t>SINIF ORTALAMASI</t>
  </si>
  <si>
    <t>Okul Müdürü</t>
  </si>
  <si>
    <t>Ahmet AÇAR</t>
  </si>
  <si>
    <t>Ali Osman KOÇ
Makine Tek. Alan Şefi</t>
  </si>
  <si>
    <t>Sıra
No</t>
  </si>
  <si>
    <t>Soma Mesleki ve Teknik Anadolu Lisesi</t>
  </si>
  <si>
    <t>Gökhan ARSLAN
İmalat Yöntemleri Atölye Şefi</t>
  </si>
  <si>
    <t xml:space="preserve">HALİL </t>
  </si>
  <si>
    <t>YANIK</t>
  </si>
  <si>
    <t>MESEM KALFALIK BECERİ SINAVI DEĞERLENDİRME ÇİZELGESİ — 2025-2026</t>
  </si>
  <si>
    <t xml:space="preserve">Bülent Alp </t>
  </si>
  <si>
    <t>ÖZKAN</t>
  </si>
  <si>
    <t>Makine ve Tasarım Teknolojisi Alanı — Bilgisayarlı Makine İmalatı Dalı</t>
  </si>
  <si>
    <t>Seyit Ömer ŞEKER
Makine Tek. Alan Öğrt.</t>
  </si>
  <si>
    <t>Koordinatör Müdür Yardımcısı
Esra BODUR</t>
  </si>
  <si>
    <t>Arzu Kırıcı
CAD / CAM Atölye Şefi</t>
  </si>
  <si>
    <t>Şerif Yetim
İmalat İşlemleri Atölye Şefi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</si>
</sst>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Times New Roman"/>
    </font>
    <font>
      <b/>
      <sz val="8"/>
      <name val="Times New Roman"/>
    </font>
    <font>
      <b/>
      <sz val="10"/>
      <name val="Times New Roman"/>
    </font>
    <font>
      <sz val="8"/>
      <name val="Times New Roman"/>
    </font>
    <font>
      <b/>
      <sz val="9"/>
      <name val="Times New Roman"/>
      <family val="1"/>
      <charset val="162"/>
    </font>
    <font>
      <b/>
      <sz val="15"/>
      <name val="Times New Roman"/>
      <family val="1"/>
      <charset val="162"/>
    </font>
    <font>
      <sz val="15"/>
      <name val="Calibri"/>
      <family val="2"/>
      <scheme val="minor"/>
    </font>
    <font>
      <b/>
      <sz val="12"/>
      <name val="Times New Roman"/>
      <family val="1"/>
      <charset val="162"/>
    </font>
    <font>
      <sz val="12"/>
      <color theme="1"/>
      <name val="Calibri"/>
      <family val="2"/>
      <scheme val="minor"/>
    </font>
    <font>
      <sz val="9"/>
      <name val="Times New Roman"/>
      <family val="1"/>
      <charset val="162"/>
    </font>
    <font>
      <b/>
      <sz val="8"/>
      <name val="Times New Roman"/>
      <family val="1"/>
      <charset val="162"/>
    </font>
    <font>
      <sz val="12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0" fillId="0" borderId="0" xfId="0" applyBorder="1"/>
    <xf numFmtId="0" fontId="13" fillId="2" borderId="0" xfId="0" applyFont="1" applyFill="1" applyBorder="1" applyAlignment="1"/>
    <xf numFmtId="0" fontId="13" fillId="2" borderId="0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9" fillId="2" borderId="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2" borderId="0" xfId="0" applyFont="1" applyFill="1"/>
    <xf numFmtId="0" fontId="14" fillId="0" borderId="0" xfId="0" applyFont="1" applyAlignment="1">
      <alignment horizontal="center"/>
    </xf>
    <xf numFmtId="0" fontId="15" fillId="2" borderId="0" xfId="0" applyFont="1" applyFill="1" applyBorder="1" applyAlignment="1">
      <alignment horizontal="center"/>
    </xf>
  </cellXfs>
  <cellStyles count="1">
    <cellStyle name="Normal" xfId="0" builtinId="0"/>
  </cellStyles>
  <dxfs count="14">
    <dxf>
      <font>
        <b/>
        <color rgb="FF7D5A00"/>
        <name val="Times New Roman"/>
      </font>
      <fill>
        <patternFill patternType="solid">
          <fgColor rgb="FFFFF2CC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7D6608"/>
        <name val="Times New Roman"/>
      </font>
      <fill>
        <patternFill patternType="solid">
          <fgColor rgb="FFFFF2CC"/>
        </patternFill>
      </fill>
    </dxf>
    <dxf>
      <font>
        <b/>
        <color rgb="FF4A235A"/>
        <name val="Times New Roman"/>
      </font>
      <fill>
        <patternFill patternType="solid">
          <fgColor rgb="FFE8DAEF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  <dxf>
      <font>
        <b/>
        <color rgb="FF7D5A00"/>
        <name val="Times New Roman"/>
      </font>
      <fill>
        <patternFill patternType="solid">
          <fgColor rgb="FFFFF2CC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7D6608"/>
        <name val="Times New Roman"/>
      </font>
      <fill>
        <patternFill patternType="solid">
          <fgColor rgb="FFFFF2CC"/>
        </patternFill>
      </fill>
    </dxf>
    <dxf>
      <font>
        <b/>
        <color rgb="FF4A235A"/>
        <name val="Times New Roman"/>
      </font>
      <fill>
        <patternFill patternType="solid">
          <fgColor rgb="FFE8DAEF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</dxfs>
  <tableStyles count="0" defaultTableStyle="TableStyleMedium9" defaultPivotStyle="PivotStyleLight16"/>
  <colors>
    <mruColors>
      <color rgb="FFCC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6"/>
  <sheetViews>
    <sheetView showGridLines="0" zoomScale="55" zoomScaleNormal="55" workbookViewId="0">
      <selection activeCell="A16" sqref="A16:J16"/>
    </sheetView>
  </sheetViews>
  <sheetFormatPr defaultRowHeight="15" x14ac:dyDescent="0.25"/>
  <cols>
    <col min="1" max="1" width="4" customWidth="1"/>
    <col min="2" max="2" width="9" customWidth="1"/>
    <col min="3" max="3" width="18" customWidth="1"/>
    <col min="4" max="4" width="16" customWidth="1"/>
    <col min="5" max="5" width="5" customWidth="1"/>
    <col min="6" max="11" width="7" customWidth="1"/>
    <col min="12" max="12" width="9" customWidth="1"/>
    <col min="13" max="18" width="7" customWidth="1"/>
    <col min="19" max="19" width="9" customWidth="1"/>
    <col min="20" max="20" width="10" customWidth="1"/>
    <col min="21" max="22" width="12" customWidth="1"/>
    <col min="23" max="23" width="11" customWidth="1"/>
    <col min="24" max="24" width="9" customWidth="1"/>
    <col min="25" max="25" width="11" customWidth="1"/>
    <col min="26" max="26" width="16" customWidth="1"/>
  </cols>
  <sheetData>
    <row r="1" spans="1:27" ht="36.75" customHeight="1" x14ac:dyDescent="0.25">
      <c r="A1" s="17" t="s">
        <v>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7" ht="27.75" customHeight="1" x14ac:dyDescent="0.25">
      <c r="A2" s="17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7" ht="38.25" customHeight="1" x14ac:dyDescent="0.3">
      <c r="A3" s="17" t="s">
        <v>31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7" ht="36.75" customHeight="1" x14ac:dyDescent="0.25">
      <c r="A4" s="19" t="s">
        <v>26</v>
      </c>
      <c r="B4" s="20" t="s">
        <v>1</v>
      </c>
      <c r="C4" s="20" t="s">
        <v>2</v>
      </c>
      <c r="D4" s="20" t="s">
        <v>3</v>
      </c>
      <c r="E4" s="21" t="s">
        <v>4</v>
      </c>
      <c r="F4" s="22" t="s">
        <v>5</v>
      </c>
      <c r="G4" s="15"/>
      <c r="H4" s="15"/>
      <c r="I4" s="15"/>
      <c r="J4" s="15"/>
      <c r="K4" s="15"/>
      <c r="L4" s="15"/>
      <c r="M4" s="22" t="s">
        <v>6</v>
      </c>
      <c r="N4" s="15"/>
      <c r="O4" s="15"/>
      <c r="P4" s="15"/>
      <c r="Q4" s="15"/>
      <c r="R4" s="15"/>
      <c r="S4" s="15"/>
      <c r="T4" s="20" t="s">
        <v>7</v>
      </c>
      <c r="U4" s="20" t="s">
        <v>8</v>
      </c>
      <c r="V4" s="20" t="s">
        <v>9</v>
      </c>
      <c r="W4" s="20" t="s">
        <v>10</v>
      </c>
      <c r="X4" s="20" t="s">
        <v>11</v>
      </c>
      <c r="Y4" s="20" t="s">
        <v>12</v>
      </c>
      <c r="Z4" s="20" t="s">
        <v>13</v>
      </c>
    </row>
    <row r="5" spans="1:27" ht="37.5" customHeight="1" x14ac:dyDescent="0.25">
      <c r="A5" s="15"/>
      <c r="B5" s="15"/>
      <c r="C5" s="15"/>
      <c r="D5" s="15"/>
      <c r="E5" s="15"/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  <c r="K5" s="2" t="s">
        <v>19</v>
      </c>
      <c r="L5" s="12" t="s">
        <v>20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12" t="s">
        <v>21</v>
      </c>
      <c r="T5" s="15"/>
      <c r="U5" s="15"/>
      <c r="V5" s="15"/>
      <c r="W5" s="15"/>
      <c r="X5" s="15"/>
      <c r="Y5" s="15"/>
      <c r="Z5" s="15"/>
    </row>
    <row r="6" spans="1:27" ht="18" customHeight="1" x14ac:dyDescent="0.25">
      <c r="A6" s="5">
        <v>1</v>
      </c>
      <c r="B6" s="5">
        <v>22</v>
      </c>
      <c r="C6" s="6" t="s">
        <v>29</v>
      </c>
      <c r="D6" s="6" t="s">
        <v>30</v>
      </c>
      <c r="E6" s="13"/>
      <c r="F6" s="5"/>
      <c r="G6" s="5"/>
      <c r="H6" s="5"/>
      <c r="I6" s="5"/>
      <c r="J6" s="5"/>
      <c r="K6" s="5"/>
      <c r="L6" s="13" t="str">
        <f t="shared" ref="L6:L10" si="0">IFERROR(IF(OR(E6="D",E6="M"),"—",AVERAGE(F6:K6)),"")</f>
        <v/>
      </c>
      <c r="M6" s="5"/>
      <c r="N6" s="5"/>
      <c r="O6" s="5"/>
      <c r="P6" s="5"/>
      <c r="Q6" s="5"/>
      <c r="R6" s="5"/>
      <c r="S6" s="13" t="str">
        <f t="shared" ref="S6:S10" si="1">IFERROR(IF(OR(E6="D",E6="M"),"—",AVERAGE(M6:R6)),"")</f>
        <v/>
      </c>
      <c r="T6" s="13" t="str">
        <f t="shared" ref="T6:T10" si="2">IFERROR(IF(OR(E6="D",E6="M"),"—",AVERAGE(L6,S6)),"")</f>
        <v/>
      </c>
      <c r="U6" s="5"/>
      <c r="V6" s="5"/>
      <c r="W6" s="13">
        <f t="shared" ref="W6" si="3">IFERROR(IF(OR(E6="D",E6="M"),"—",ROUND((U6*0.2)+(V6*0.8),2)),"")</f>
        <v>0</v>
      </c>
      <c r="X6" s="13">
        <f t="shared" ref="X6" si="4">IFERROR(IF(OR(E6="D",E6="M"),"—",ROUND(AVERAGE(T6,W6),2)),"")</f>
        <v>0</v>
      </c>
      <c r="Y6" s="13" t="str">
        <f t="shared" ref="Y6" si="5">IFERROR(IF(OR(E6="D",E6="M"),"—",IF(X6="","—",IF(X6&gt;=85,"PEKİYİ",IF(X6&gt;=70,"İYİ",IF(X6&gt;=55,"ORTA",IF(X6&gt;=45,"GEÇER","BAŞARISIZ")))))),"")</f>
        <v>BAŞARISIZ</v>
      </c>
      <c r="Z6" s="13" t="str">
        <f t="shared" ref="Z6" si="6">IFERROR(IF(E6="D","🚫 DEVAMSIZLIK",IF(E6="M","⚠️ MUAF",IF(W6="","—",IF(W6&lt;50,"🔴 BAŞARISIZ",IF(W6&gt;=70,"🟢 BAŞARILI",IF(X6&gt;=50,"🟢 BAŞARILI","🔴 BAŞARISIZ")))))),"")</f>
        <v>🔴 BAŞARISIZ</v>
      </c>
    </row>
    <row r="7" spans="1:27" ht="18" customHeight="1" x14ac:dyDescent="0.25">
      <c r="A7" s="5">
        <v>2</v>
      </c>
      <c r="B7" s="5"/>
      <c r="C7" s="6"/>
      <c r="D7" s="6"/>
      <c r="E7" s="13"/>
      <c r="F7" s="5"/>
      <c r="G7" s="5"/>
      <c r="H7" s="5"/>
      <c r="I7" s="5"/>
      <c r="J7" s="5"/>
      <c r="K7" s="5"/>
      <c r="L7" s="13" t="str">
        <f t="shared" si="0"/>
        <v/>
      </c>
      <c r="M7" s="5"/>
      <c r="N7" s="5"/>
      <c r="O7" s="5"/>
      <c r="P7" s="5"/>
      <c r="Q7" s="5"/>
      <c r="R7" s="5"/>
      <c r="S7" s="13" t="str">
        <f t="shared" si="1"/>
        <v/>
      </c>
      <c r="T7" s="13" t="str">
        <f t="shared" si="2"/>
        <v/>
      </c>
      <c r="U7" s="5"/>
      <c r="V7" s="5"/>
      <c r="W7" s="13"/>
      <c r="X7" s="13"/>
      <c r="Y7" s="13"/>
      <c r="Z7" s="13"/>
    </row>
    <row r="8" spans="1:27" ht="18" customHeight="1" x14ac:dyDescent="0.25">
      <c r="A8" s="5">
        <v>3</v>
      </c>
      <c r="B8" s="5"/>
      <c r="C8" s="6"/>
      <c r="D8" s="6"/>
      <c r="E8" s="13"/>
      <c r="F8" s="5"/>
      <c r="G8" s="5"/>
      <c r="H8" s="5"/>
      <c r="I8" s="5"/>
      <c r="J8" s="5"/>
      <c r="K8" s="5"/>
      <c r="L8" s="13" t="str">
        <f t="shared" si="0"/>
        <v/>
      </c>
      <c r="M8" s="5"/>
      <c r="N8" s="5"/>
      <c r="O8" s="5"/>
      <c r="P8" s="5"/>
      <c r="Q8" s="5"/>
      <c r="R8" s="5"/>
      <c r="S8" s="13" t="str">
        <f t="shared" si="1"/>
        <v/>
      </c>
      <c r="T8" s="13" t="str">
        <f t="shared" si="2"/>
        <v/>
      </c>
      <c r="U8" s="5"/>
      <c r="V8" s="5"/>
      <c r="W8" s="13"/>
      <c r="X8" s="13"/>
      <c r="Y8" s="13"/>
      <c r="Z8" s="13"/>
    </row>
    <row r="9" spans="1:27" ht="18" customHeight="1" x14ac:dyDescent="0.25">
      <c r="A9" s="5">
        <v>4</v>
      </c>
      <c r="B9" s="5"/>
      <c r="C9" s="6"/>
      <c r="D9" s="6"/>
      <c r="E9" s="13"/>
      <c r="F9" s="5"/>
      <c r="G9" s="5"/>
      <c r="H9" s="5"/>
      <c r="I9" s="5"/>
      <c r="J9" s="5"/>
      <c r="K9" s="5"/>
      <c r="L9" s="13" t="str">
        <f t="shared" si="0"/>
        <v/>
      </c>
      <c r="M9" s="5"/>
      <c r="N9" s="5"/>
      <c r="O9" s="5"/>
      <c r="P9" s="5"/>
      <c r="Q9" s="5"/>
      <c r="R9" s="5"/>
      <c r="S9" s="13" t="str">
        <f t="shared" si="1"/>
        <v/>
      </c>
      <c r="T9" s="13" t="str">
        <f t="shared" si="2"/>
        <v/>
      </c>
      <c r="U9" s="5"/>
      <c r="V9" s="5"/>
      <c r="W9" s="13"/>
      <c r="X9" s="13"/>
      <c r="Y9" s="13"/>
      <c r="Z9" s="13"/>
    </row>
    <row r="10" spans="1:27" ht="18" customHeight="1" x14ac:dyDescent="0.25">
      <c r="A10" s="5">
        <v>5</v>
      </c>
      <c r="B10" s="5"/>
      <c r="C10" s="6"/>
      <c r="D10" s="6"/>
      <c r="E10" s="13"/>
      <c r="F10" s="5"/>
      <c r="G10" s="5"/>
      <c r="H10" s="5"/>
      <c r="I10" s="5"/>
      <c r="J10" s="5"/>
      <c r="K10" s="5"/>
      <c r="L10" s="13" t="str">
        <f t="shared" si="0"/>
        <v/>
      </c>
      <c r="M10" s="5"/>
      <c r="N10" s="5"/>
      <c r="O10" s="5"/>
      <c r="P10" s="5"/>
      <c r="Q10" s="5"/>
      <c r="R10" s="5"/>
      <c r="S10" s="13" t="str">
        <f t="shared" si="1"/>
        <v/>
      </c>
      <c r="T10" s="13" t="str">
        <f t="shared" si="2"/>
        <v/>
      </c>
      <c r="U10" s="5"/>
      <c r="V10" s="5"/>
      <c r="W10" s="13"/>
      <c r="X10" s="13"/>
      <c r="Y10" s="13"/>
      <c r="Z10" s="13"/>
    </row>
    <row r="11" spans="1:2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7" ht="18" customHeight="1" x14ac:dyDescent="0.25">
      <c r="A12" s="14" t="s">
        <v>22</v>
      </c>
      <c r="B12" s="15"/>
      <c r="C12" s="15"/>
      <c r="D12" s="15"/>
      <c r="E12" s="15"/>
      <c r="F12" s="13" t="str">
        <f>IFERROR(AVERAGEIF(E6:E10,"&lt;&gt;D",F6:F10),"")</f>
        <v/>
      </c>
      <c r="G12" s="13" t="str">
        <f>IFERROR(AVERAGEIF(E6:E10,"&lt;&gt;D",G6:G10),"")</f>
        <v/>
      </c>
      <c r="H12" s="13" t="str">
        <f>IFERROR(AVERAGEIF(E6:E10,"&lt;&gt;D",H6:H10),"")</f>
        <v/>
      </c>
      <c r="I12" s="13" t="str">
        <f>IFERROR(AVERAGEIF(E6:E10,"&lt;&gt;D",I6:I10),"")</f>
        <v/>
      </c>
      <c r="J12" s="13" t="str">
        <f>IFERROR(AVERAGEIF(E6:E10,"&lt;&gt;D",J6:J10),"")</f>
        <v/>
      </c>
      <c r="K12" s="13" t="str">
        <f>IFERROR(AVERAGEIF(E6:E10,"&lt;&gt;D",K6:K10),"")</f>
        <v/>
      </c>
      <c r="L12" s="13" t="str">
        <f>IFERROR(AVERAGEIF(E6:E10,"&lt;&gt;D",L6:L10),"")</f>
        <v/>
      </c>
      <c r="M12" s="13" t="str">
        <f>IFERROR(AVERAGEIF(E6:E10,"&lt;&gt;D",M6:M10),"")</f>
        <v/>
      </c>
      <c r="N12" s="13" t="str">
        <f>IFERROR(AVERAGEIF(E6:E10,"&lt;&gt;D",N6:N10),"")</f>
        <v/>
      </c>
      <c r="O12" s="13" t="str">
        <f>IFERROR(AVERAGEIF(E6:E10,"&lt;&gt;D",O6:O10),"")</f>
        <v/>
      </c>
      <c r="P12" s="13" t="str">
        <f>IFERROR(AVERAGEIF(E6:E10,"&lt;&gt;D",P6:P10),"")</f>
        <v/>
      </c>
      <c r="Q12" s="13" t="str">
        <f>IFERROR(AVERAGEIF(E6:E10,"&lt;&gt;D",Q6:Q10),"")</f>
        <v/>
      </c>
      <c r="R12" s="13" t="str">
        <f>IFERROR(AVERAGEIF(E6:E10,"&lt;&gt;D",R6:R10),"")</f>
        <v/>
      </c>
      <c r="S12" s="13" t="str">
        <f>IFERROR(AVERAGEIF(E6:E10,"&lt;&gt;D",S6:S10),"")</f>
        <v/>
      </c>
      <c r="T12" s="13" t="str">
        <f>IFERROR(AVERAGEIF(E6:E10,"&lt;&gt;D",T6:T10),"")</f>
        <v/>
      </c>
      <c r="U12" s="13" t="str">
        <f>IFERROR(AVERAGEIF(E6:E10,"&lt;&gt;D",U6:U10),"")</f>
        <v/>
      </c>
      <c r="V12" s="13" t="str">
        <f>IFERROR(AVERAGEIF(E6:E10,"&lt;&gt;D",V6:V10),"")</f>
        <v/>
      </c>
      <c r="W12" s="13">
        <f>IFERROR(AVERAGEIF(E6:E10,"&lt;&gt;D",W6:W10),"")</f>
        <v>0</v>
      </c>
      <c r="X12" s="13">
        <f>IFERROR(AVERAGEIF(E6:E10,"&lt;&gt;D",X6:X10),"")</f>
        <v>0</v>
      </c>
      <c r="Y12" s="5"/>
      <c r="Z12" s="8" t="str">
        <f>"✅ "&amp;COUNTIF(Z6:Z10,"🟢 BAŞARILI")&amp;" Başarılı"&amp;"  ❌ "&amp;COUNTIF(Z6:Z10,"🔴 BAŞARISIZ")&amp;" Başarısız"&amp;"  🚫 "&amp;COUNTIF(Z6:Z10,"🚫 DEVAMSIZLIK")&amp;" Devamsız"</f>
        <v>✅ 0 Başarılı  ❌ 1 Başarısız  🚫 0 Devamsız</v>
      </c>
    </row>
    <row r="13" spans="1:2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ht="72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ht="27.9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0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9"/>
    </row>
    <row r="16" spans="1:27" ht="32.25" customHeight="1" x14ac:dyDescent="0.25">
      <c r="A16" s="16" t="s">
        <v>35</v>
      </c>
      <c r="B16" s="16"/>
      <c r="C16" s="16"/>
      <c r="D16" s="16"/>
      <c r="E16" s="16"/>
      <c r="F16" s="16"/>
      <c r="G16" s="16"/>
      <c r="H16" s="16"/>
      <c r="I16" s="16"/>
      <c r="J16" s="16"/>
      <c r="K16" s="10"/>
      <c r="L16" s="16" t="s">
        <v>37</v>
      </c>
      <c r="M16" s="16"/>
      <c r="N16" s="16"/>
      <c r="O16" s="16"/>
      <c r="P16" s="16"/>
      <c r="Q16" s="16"/>
      <c r="R16" s="16"/>
      <c r="S16" s="16" t="s">
        <v>38</v>
      </c>
      <c r="T16" s="16"/>
      <c r="U16" s="16"/>
      <c r="V16" s="16"/>
      <c r="W16" s="16"/>
      <c r="X16" s="16"/>
      <c r="Y16" s="16"/>
      <c r="Z16" s="16"/>
      <c r="AA16" s="9"/>
    </row>
    <row r="17" spans="1:27" ht="15.75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9"/>
    </row>
    <row r="18" spans="1:27" ht="49.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7" ht="27.9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0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9"/>
    </row>
    <row r="20" spans="1:27" ht="32.25" customHeight="1" x14ac:dyDescent="0.25">
      <c r="A20" s="16" t="s">
        <v>28</v>
      </c>
      <c r="B20" s="16"/>
      <c r="C20" s="16"/>
      <c r="D20" s="16"/>
      <c r="E20" s="16"/>
      <c r="F20" s="16"/>
      <c r="G20" s="16"/>
      <c r="H20" s="16"/>
      <c r="I20" s="16"/>
      <c r="J20" s="16"/>
      <c r="K20" s="10"/>
      <c r="L20" s="16" t="s">
        <v>25</v>
      </c>
      <c r="M20" s="16"/>
      <c r="N20" s="16"/>
      <c r="O20" s="16"/>
      <c r="P20" s="16"/>
      <c r="Q20" s="16"/>
      <c r="R20" s="16"/>
      <c r="S20" s="16" t="s">
        <v>36</v>
      </c>
      <c r="T20" s="16"/>
      <c r="U20" s="16"/>
      <c r="V20" s="16"/>
      <c r="W20" s="16"/>
      <c r="X20" s="16"/>
      <c r="Y20" s="16"/>
      <c r="Z20" s="16"/>
      <c r="AA20" s="9"/>
    </row>
    <row r="21" spans="1:27" ht="15.75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9"/>
    </row>
    <row r="22" spans="1:27" ht="15.7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7" ht="93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7" ht="15.7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24"/>
      <c r="M24" s="24"/>
      <c r="N24" s="24"/>
      <c r="O24" s="24"/>
      <c r="P24" s="24"/>
      <c r="Q24" s="24"/>
      <c r="R24" s="24"/>
      <c r="S24" s="4"/>
      <c r="T24" s="4"/>
      <c r="U24" s="4"/>
      <c r="V24" s="4"/>
      <c r="W24" s="4"/>
      <c r="X24" s="4"/>
      <c r="Y24" s="4"/>
      <c r="Z24" s="4"/>
    </row>
    <row r="25" spans="1:27" ht="1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16" t="s">
        <v>23</v>
      </c>
      <c r="M25" s="16"/>
      <c r="N25" s="16"/>
      <c r="O25" s="16"/>
      <c r="P25" s="16"/>
      <c r="Q25" s="16"/>
      <c r="R25" s="16"/>
      <c r="S25" s="4"/>
      <c r="T25" s="4"/>
      <c r="U25" s="4"/>
      <c r="V25" s="4"/>
      <c r="W25" s="4"/>
      <c r="X25" s="4"/>
      <c r="Y25" s="4"/>
      <c r="Z25" s="4"/>
    </row>
    <row r="26" spans="1:27" ht="15.7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25" t="s">
        <v>24</v>
      </c>
      <c r="M26" s="25"/>
      <c r="N26" s="25"/>
      <c r="O26" s="25"/>
      <c r="P26" s="25"/>
      <c r="Q26" s="25"/>
      <c r="R26" s="25"/>
      <c r="S26" s="4"/>
      <c r="T26" s="4"/>
      <c r="U26" s="4"/>
      <c r="V26" s="4"/>
      <c r="W26" s="4"/>
      <c r="X26" s="4"/>
      <c r="Y26" s="4"/>
      <c r="Z26" s="4"/>
    </row>
  </sheetData>
  <mergeCells count="33">
    <mergeCell ref="A20:J20"/>
    <mergeCell ref="S20:Z20"/>
    <mergeCell ref="L24:R24"/>
    <mergeCell ref="L25:R25"/>
    <mergeCell ref="L26:R26"/>
    <mergeCell ref="F4:L4"/>
    <mergeCell ref="D4:D5"/>
    <mergeCell ref="U4:U5"/>
    <mergeCell ref="B4:B5"/>
    <mergeCell ref="S19:Z19"/>
    <mergeCell ref="L20:R20"/>
    <mergeCell ref="A19:J19"/>
    <mergeCell ref="L19:R19"/>
    <mergeCell ref="A1:Z1"/>
    <mergeCell ref="A4:A5"/>
    <mergeCell ref="C4:C5"/>
    <mergeCell ref="T4:T5"/>
    <mergeCell ref="Z4:Z5"/>
    <mergeCell ref="W4:W5"/>
    <mergeCell ref="A2:Z2"/>
    <mergeCell ref="V4:V5"/>
    <mergeCell ref="E4:E5"/>
    <mergeCell ref="X4:X5"/>
    <mergeCell ref="M4:S4"/>
    <mergeCell ref="A3:Z3"/>
    <mergeCell ref="Y4:Y5"/>
    <mergeCell ref="A12:E12"/>
    <mergeCell ref="A15:J15"/>
    <mergeCell ref="L15:R15"/>
    <mergeCell ref="S15:Z15"/>
    <mergeCell ref="A16:J16"/>
    <mergeCell ref="L16:R16"/>
    <mergeCell ref="S16:Z16"/>
  </mergeCells>
  <conditionalFormatting sqref="Z6:Z10">
    <cfRule type="cellIs" dxfId="13" priority="1" operator="equal">
      <formula>"🟢 BAŞARILI"</formula>
    </cfRule>
    <cfRule type="cellIs" dxfId="12" priority="2" operator="equal">
      <formula>"🔴 BAŞARISIZ"</formula>
    </cfRule>
    <cfRule type="cellIs" dxfId="11" priority="3" operator="equal">
      <formula>"🚫 DEVAMSIZLIK"</formula>
    </cfRule>
    <cfRule type="cellIs" dxfId="10" priority="4" operator="equal">
      <formula>"⚠️ MUAF"</formula>
    </cfRule>
  </conditionalFormatting>
  <conditionalFormatting sqref="W6:W10">
    <cfRule type="cellIs" dxfId="9" priority="5" operator="lessThan">
      <formula>50</formula>
    </cfRule>
    <cfRule type="cellIs" dxfId="8" priority="6" operator="greaterThanOrEqual">
      <formula>70</formula>
    </cfRule>
    <cfRule type="expression" dxfId="7" priority="7">
      <formula>AND(W6&gt;=50,W6&lt;70)</formula>
    </cfRule>
  </conditionalFormatting>
  <pageMargins left="0.35" right="0.35" top="0.4" bottom="0.4" header="0.5" footer="0.5"/>
  <pageSetup paperSize="9" scale="5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7"/>
  <sheetViews>
    <sheetView showGridLines="0" tabSelected="1" zoomScale="70" zoomScaleNormal="70" workbookViewId="0">
      <selection activeCell="I14" sqref="I14"/>
    </sheetView>
  </sheetViews>
  <sheetFormatPr defaultRowHeight="15" x14ac:dyDescent="0.25"/>
  <cols>
    <col min="1" max="1" width="4" customWidth="1"/>
    <col min="2" max="2" width="9" customWidth="1"/>
    <col min="3" max="3" width="18" customWidth="1"/>
    <col min="4" max="4" width="16" customWidth="1"/>
    <col min="5" max="5" width="5" customWidth="1"/>
    <col min="6" max="11" width="7" customWidth="1"/>
    <col min="12" max="12" width="9" customWidth="1"/>
    <col min="13" max="18" width="7" customWidth="1"/>
    <col min="19" max="19" width="9" customWidth="1"/>
    <col min="20" max="20" width="10" customWidth="1"/>
    <col min="21" max="22" width="12" customWidth="1"/>
    <col min="23" max="23" width="11" customWidth="1"/>
    <col min="24" max="24" width="9" customWidth="1"/>
    <col min="25" max="25" width="11" customWidth="1"/>
    <col min="26" max="26" width="16" customWidth="1"/>
  </cols>
  <sheetData>
    <row r="1" spans="1:27" ht="36.75" customHeight="1" x14ac:dyDescent="0.25">
      <c r="A1" s="17" t="s">
        <v>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7" ht="27.75" customHeight="1" x14ac:dyDescent="0.25">
      <c r="A2" s="17" t="s">
        <v>34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7" ht="38.25" customHeight="1" x14ac:dyDescent="0.3">
      <c r="A3" s="17" t="s">
        <v>31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7" ht="36.75" customHeight="1" x14ac:dyDescent="0.25">
      <c r="A4" s="19" t="s">
        <v>26</v>
      </c>
      <c r="B4" s="20" t="s">
        <v>1</v>
      </c>
      <c r="C4" s="20" t="s">
        <v>2</v>
      </c>
      <c r="D4" s="20" t="s">
        <v>3</v>
      </c>
      <c r="E4" s="21" t="s">
        <v>4</v>
      </c>
      <c r="F4" s="22" t="s">
        <v>5</v>
      </c>
      <c r="G4" s="15"/>
      <c r="H4" s="15"/>
      <c r="I4" s="15"/>
      <c r="J4" s="15"/>
      <c r="K4" s="15"/>
      <c r="L4" s="15"/>
      <c r="M4" s="22" t="s">
        <v>6</v>
      </c>
      <c r="N4" s="15"/>
      <c r="O4" s="15"/>
      <c r="P4" s="15"/>
      <c r="Q4" s="15"/>
      <c r="R4" s="15"/>
      <c r="S4" s="15"/>
      <c r="T4" s="20" t="s">
        <v>7</v>
      </c>
      <c r="U4" s="20" t="s">
        <v>8</v>
      </c>
      <c r="V4" s="20" t="s">
        <v>9</v>
      </c>
      <c r="W4" s="20" t="s">
        <v>10</v>
      </c>
      <c r="X4" s="20" t="s">
        <v>11</v>
      </c>
      <c r="Y4" s="20" t="s">
        <v>12</v>
      </c>
      <c r="Z4" s="20" t="s">
        <v>13</v>
      </c>
    </row>
    <row r="5" spans="1:27" ht="37.5" customHeight="1" x14ac:dyDescent="0.25">
      <c r="A5" s="15"/>
      <c r="B5" s="15"/>
      <c r="C5" s="15"/>
      <c r="D5" s="15"/>
      <c r="E5" s="15"/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  <c r="K5" s="2" t="s">
        <v>19</v>
      </c>
      <c r="L5" s="3" t="s">
        <v>20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3" t="s">
        <v>21</v>
      </c>
      <c r="T5" s="15"/>
      <c r="U5" s="15"/>
      <c r="V5" s="15"/>
      <c r="W5" s="15"/>
      <c r="X5" s="15"/>
      <c r="Y5" s="15"/>
      <c r="Z5" s="15"/>
    </row>
    <row r="6" spans="1:27" ht="18" customHeight="1" x14ac:dyDescent="0.25">
      <c r="A6" s="5">
        <v>1</v>
      </c>
      <c r="B6" s="5">
        <v>202501</v>
      </c>
      <c r="C6" s="6" t="s">
        <v>32</v>
      </c>
      <c r="D6" s="6" t="s">
        <v>33</v>
      </c>
      <c r="E6" s="7"/>
      <c r="F6" s="5"/>
      <c r="G6" s="5"/>
      <c r="H6" s="5"/>
      <c r="I6" s="5"/>
      <c r="J6" s="5"/>
      <c r="K6" s="5"/>
      <c r="L6" s="7" t="str">
        <f t="shared" ref="L6:L10" si="0">IFERROR(IF(OR(E6="D",E6="M"),"—",AVERAGE(F6:K6)),"")</f>
        <v/>
      </c>
      <c r="M6" s="5"/>
      <c r="N6" s="5"/>
      <c r="O6" s="5"/>
      <c r="P6" s="5"/>
      <c r="Q6" s="5"/>
      <c r="R6" s="5"/>
      <c r="S6" s="7" t="str">
        <f t="shared" ref="S6:S10" si="1">IFERROR(IF(OR(E6="D",E6="M"),"—",AVERAGE(M6:R6)),"")</f>
        <v/>
      </c>
      <c r="T6" s="7" t="str">
        <f t="shared" ref="T6:T10" si="2">IFERROR(IF(OR(E6="D",E6="M"),"—",AVERAGE(L6,S6)),"")</f>
        <v/>
      </c>
      <c r="U6" s="5"/>
      <c r="V6" s="5"/>
      <c r="W6" s="7">
        <f t="shared" ref="W6" si="3">IFERROR(IF(OR(E6="D",E6="M"),"—",ROUND((U6*0.2)+(V6*0.8),2)),"")</f>
        <v>0</v>
      </c>
      <c r="X6" s="7">
        <f t="shared" ref="X6" si="4">IFERROR(IF(OR(E6="D",E6="M"),"—",ROUND(AVERAGE(T6,W6),2)),"")</f>
        <v>0</v>
      </c>
      <c r="Y6" s="7" t="str">
        <f t="shared" ref="Y6" si="5">IFERROR(IF(OR(E6="D",E6="M"),"—",IF(X6="","—",IF(X6&gt;=85,"PEKİYİ",IF(X6&gt;=70,"İYİ",IF(X6&gt;=55,"ORTA",IF(X6&gt;=45,"GEÇER","BAŞARISIZ")))))),"")</f>
        <v>BAŞARISIZ</v>
      </c>
      <c r="Z6" s="7" t="str">
        <f t="shared" ref="Z6" si="6">IFERROR(IF(E6="D","🚫 DEVAMSIZLIK",IF(E6="M","⚠️ MUAF",IF(W6="","—",IF(W6&lt;50,"🔴 BAŞARISIZ",IF(W6&gt;=70,"🟢 BAŞARILI",IF(X6&gt;=50,"🟢 BAŞARILI","🔴 BAŞARISIZ")))))),"")</f>
        <v>🔴 BAŞARISIZ</v>
      </c>
    </row>
    <row r="7" spans="1:27" ht="18" customHeight="1" x14ac:dyDescent="0.25">
      <c r="A7" s="5">
        <v>2</v>
      </c>
      <c r="B7" s="5"/>
      <c r="C7" s="6"/>
      <c r="D7" s="6"/>
      <c r="E7" s="7"/>
      <c r="F7" s="5"/>
      <c r="G7" s="5"/>
      <c r="H7" s="5"/>
      <c r="I7" s="5"/>
      <c r="J7" s="5"/>
      <c r="K7" s="5"/>
      <c r="L7" s="7" t="str">
        <f t="shared" si="0"/>
        <v/>
      </c>
      <c r="M7" s="5"/>
      <c r="N7" s="5"/>
      <c r="O7" s="5"/>
      <c r="P7" s="5"/>
      <c r="Q7" s="5"/>
      <c r="R7" s="5"/>
      <c r="S7" s="7" t="str">
        <f t="shared" si="1"/>
        <v/>
      </c>
      <c r="T7" s="7" t="str">
        <f t="shared" si="2"/>
        <v/>
      </c>
      <c r="U7" s="5"/>
      <c r="V7" s="5"/>
      <c r="W7" s="7"/>
      <c r="X7" s="7"/>
      <c r="Y7" s="7"/>
      <c r="Z7" s="7"/>
    </row>
    <row r="8" spans="1:27" ht="18" customHeight="1" x14ac:dyDescent="0.25">
      <c r="A8" s="5">
        <v>3</v>
      </c>
      <c r="B8" s="5"/>
      <c r="C8" s="6"/>
      <c r="D8" s="6"/>
      <c r="E8" s="7"/>
      <c r="F8" s="5"/>
      <c r="G8" s="5"/>
      <c r="H8" s="5"/>
      <c r="I8" s="5"/>
      <c r="J8" s="5"/>
      <c r="K8" s="5"/>
      <c r="L8" s="7" t="str">
        <f t="shared" si="0"/>
        <v/>
      </c>
      <c r="M8" s="5"/>
      <c r="N8" s="5"/>
      <c r="O8" s="5"/>
      <c r="P8" s="5"/>
      <c r="Q8" s="5"/>
      <c r="R8" s="5"/>
      <c r="S8" s="7" t="str">
        <f t="shared" si="1"/>
        <v/>
      </c>
      <c r="T8" s="7" t="str">
        <f t="shared" si="2"/>
        <v/>
      </c>
      <c r="U8" s="5"/>
      <c r="V8" s="5"/>
      <c r="W8" s="7"/>
      <c r="X8" s="7"/>
      <c r="Y8" s="7"/>
      <c r="Z8" s="7"/>
    </row>
    <row r="9" spans="1:27" ht="18" customHeight="1" x14ac:dyDescent="0.25">
      <c r="A9" s="5">
        <v>4</v>
      </c>
      <c r="B9" s="5"/>
      <c r="C9" s="6"/>
      <c r="D9" s="6"/>
      <c r="E9" s="7"/>
      <c r="F9" s="5"/>
      <c r="G9" s="5"/>
      <c r="H9" s="5"/>
      <c r="I9" s="5"/>
      <c r="J9" s="5"/>
      <c r="K9" s="5"/>
      <c r="L9" s="7" t="str">
        <f t="shared" si="0"/>
        <v/>
      </c>
      <c r="M9" s="5"/>
      <c r="N9" s="5"/>
      <c r="O9" s="5"/>
      <c r="P9" s="5"/>
      <c r="Q9" s="5"/>
      <c r="R9" s="5"/>
      <c r="S9" s="7" t="str">
        <f t="shared" si="1"/>
        <v/>
      </c>
      <c r="T9" s="7" t="str">
        <f t="shared" si="2"/>
        <v/>
      </c>
      <c r="U9" s="5"/>
      <c r="V9" s="5"/>
      <c r="W9" s="7"/>
      <c r="X9" s="7"/>
      <c r="Y9" s="7"/>
      <c r="Z9" s="7"/>
    </row>
    <row r="10" spans="1:27" ht="18" customHeight="1" x14ac:dyDescent="0.25">
      <c r="A10" s="5">
        <v>5</v>
      </c>
      <c r="B10" s="5"/>
      <c r="C10" s="6"/>
      <c r="D10" s="6"/>
      <c r="E10" s="7"/>
      <c r="F10" s="5"/>
      <c r="G10" s="5"/>
      <c r="H10" s="5"/>
      <c r="I10" s="5"/>
      <c r="J10" s="5"/>
      <c r="K10" s="5"/>
      <c r="L10" s="7" t="str">
        <f t="shared" si="0"/>
        <v/>
      </c>
      <c r="M10" s="5"/>
      <c r="N10" s="5"/>
      <c r="O10" s="5"/>
      <c r="P10" s="5"/>
      <c r="Q10" s="5"/>
      <c r="R10" s="5"/>
      <c r="S10" s="7" t="str">
        <f t="shared" si="1"/>
        <v/>
      </c>
      <c r="T10" s="7" t="str">
        <f t="shared" si="2"/>
        <v/>
      </c>
      <c r="U10" s="5"/>
      <c r="V10" s="5"/>
      <c r="W10" s="7"/>
      <c r="X10" s="7"/>
      <c r="Y10" s="7"/>
      <c r="Z10" s="7"/>
    </row>
    <row r="11" spans="1:2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7" ht="18" customHeight="1" x14ac:dyDescent="0.25">
      <c r="A12" s="14" t="s">
        <v>22</v>
      </c>
      <c r="B12" s="15"/>
      <c r="C12" s="15"/>
      <c r="D12" s="15"/>
      <c r="E12" s="15"/>
      <c r="F12" s="7" t="str">
        <f>IFERROR(AVERAGEIF(E6:E10,"&lt;&gt;D",F6:F10),"")</f>
        <v/>
      </c>
      <c r="G12" s="7" t="str">
        <f>IFERROR(AVERAGEIF(E6:E10,"&lt;&gt;D",G6:G10),"")</f>
        <v/>
      </c>
      <c r="H12" s="7" t="str">
        <f>IFERROR(AVERAGEIF(E6:E10,"&lt;&gt;D",H6:H10),"")</f>
        <v/>
      </c>
      <c r="I12" s="7" t="str">
        <f>IFERROR(AVERAGEIF(E6:E10,"&lt;&gt;D",I6:I10),"")</f>
        <v/>
      </c>
      <c r="J12" s="7" t="str">
        <f>IFERROR(AVERAGEIF(E6:E10,"&lt;&gt;D",J6:J10),"")</f>
        <v/>
      </c>
      <c r="K12" s="7" t="str">
        <f>IFERROR(AVERAGEIF(E6:E10,"&lt;&gt;D",K6:K10),"")</f>
        <v/>
      </c>
      <c r="L12" s="7" t="str">
        <f>IFERROR(AVERAGEIF(E6:E10,"&lt;&gt;D",L6:L10),"")</f>
        <v/>
      </c>
      <c r="M12" s="7" t="str">
        <f>IFERROR(AVERAGEIF(E6:E10,"&lt;&gt;D",M6:M10),"")</f>
        <v/>
      </c>
      <c r="N12" s="7" t="str">
        <f>IFERROR(AVERAGEIF(E6:E10,"&lt;&gt;D",N6:N10),"")</f>
        <v/>
      </c>
      <c r="O12" s="7" t="str">
        <f>IFERROR(AVERAGEIF(E6:E10,"&lt;&gt;D",O6:O10),"")</f>
        <v/>
      </c>
      <c r="P12" s="7" t="str">
        <f>IFERROR(AVERAGEIF(E6:E10,"&lt;&gt;D",P6:P10),"")</f>
        <v/>
      </c>
      <c r="Q12" s="7" t="str">
        <f>IFERROR(AVERAGEIF(E6:E10,"&lt;&gt;D",Q6:Q10),"")</f>
        <v/>
      </c>
      <c r="R12" s="7" t="str">
        <f>IFERROR(AVERAGEIF(E6:E10,"&lt;&gt;D",R6:R10),"")</f>
        <v/>
      </c>
      <c r="S12" s="7" t="str">
        <f>IFERROR(AVERAGEIF(E6:E10,"&lt;&gt;D",S6:S10),"")</f>
        <v/>
      </c>
      <c r="T12" s="7" t="str">
        <f>IFERROR(AVERAGEIF(E6:E10,"&lt;&gt;D",T6:T10),"")</f>
        <v/>
      </c>
      <c r="U12" s="7" t="str">
        <f>IFERROR(AVERAGEIF(E6:E10,"&lt;&gt;D",U6:U10),"")</f>
        <v/>
      </c>
      <c r="V12" s="7" t="str">
        <f>IFERROR(AVERAGEIF(E6:E10,"&lt;&gt;D",V6:V10),"")</f>
        <v/>
      </c>
      <c r="W12" s="7">
        <f>IFERROR(AVERAGEIF(E6:E10,"&lt;&gt;D",W6:W10),"")</f>
        <v>0</v>
      </c>
      <c r="X12" s="7">
        <f>IFERROR(AVERAGEIF(E6:E10,"&lt;&gt;D",X6:X10),"")</f>
        <v>0</v>
      </c>
      <c r="Y12" s="5"/>
      <c r="Z12" s="8" t="str">
        <f>"✅ "&amp;COUNTIF(Z6:Z10,"🟢 BAŞARILI")&amp;" Başarılı"&amp;"  ❌ "&amp;COUNTIF(Z6:Z10,"🔴 BAŞARISIZ")&amp;" Başarısız"&amp;"  🚫 "&amp;COUNTIF(Z6:Z10,"🚫 DEVAMSIZLIK")&amp;" Devamsız"</f>
        <v>✅ 0 Başarılı  ❌ 1 Başarısız  🚫 0 Devamsız</v>
      </c>
    </row>
    <row r="13" spans="1:2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7" ht="72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7" ht="27.95" customHeight="1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0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9"/>
    </row>
    <row r="16" spans="1:27" ht="32.25" customHeight="1" x14ac:dyDescent="0.25">
      <c r="A16" s="16" t="s">
        <v>35</v>
      </c>
      <c r="B16" s="16"/>
      <c r="C16" s="16"/>
      <c r="D16" s="16"/>
      <c r="E16" s="16"/>
      <c r="F16" s="16"/>
      <c r="G16" s="16"/>
      <c r="H16" s="16"/>
      <c r="I16" s="16"/>
      <c r="J16" s="16"/>
      <c r="K16" s="10"/>
      <c r="L16" s="16" t="s">
        <v>37</v>
      </c>
      <c r="M16" s="16"/>
      <c r="N16" s="16"/>
      <c r="O16" s="16"/>
      <c r="P16" s="16"/>
      <c r="Q16" s="16"/>
      <c r="R16" s="16"/>
      <c r="S16" s="16" t="s">
        <v>38</v>
      </c>
      <c r="T16" s="16"/>
      <c r="U16" s="16"/>
      <c r="V16" s="16"/>
      <c r="W16" s="16"/>
      <c r="X16" s="16"/>
      <c r="Y16" s="16"/>
      <c r="Z16" s="16"/>
      <c r="AA16" s="9"/>
    </row>
    <row r="17" spans="1:27" ht="15.75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9"/>
    </row>
    <row r="18" spans="1:27" ht="49.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7" ht="27.95" customHeight="1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0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9"/>
    </row>
    <row r="20" spans="1:27" ht="32.25" customHeight="1" x14ac:dyDescent="0.25">
      <c r="A20" s="16" t="s">
        <v>28</v>
      </c>
      <c r="B20" s="16"/>
      <c r="C20" s="16"/>
      <c r="D20" s="16"/>
      <c r="E20" s="16"/>
      <c r="F20" s="16"/>
      <c r="G20" s="16"/>
      <c r="H20" s="16"/>
      <c r="I20" s="16"/>
      <c r="J20" s="16"/>
      <c r="K20" s="10"/>
      <c r="L20" s="16" t="s">
        <v>25</v>
      </c>
      <c r="M20" s="16"/>
      <c r="N20" s="16"/>
      <c r="O20" s="16"/>
      <c r="P20" s="16"/>
      <c r="Q20" s="16"/>
      <c r="R20" s="16"/>
      <c r="S20" s="16" t="s">
        <v>36</v>
      </c>
      <c r="T20" s="16"/>
      <c r="U20" s="16"/>
      <c r="V20" s="16"/>
      <c r="W20" s="16"/>
      <c r="X20" s="16"/>
      <c r="Y20" s="16"/>
      <c r="Z20" s="16"/>
      <c r="AA20" s="9"/>
    </row>
    <row r="21" spans="1:27" ht="15.75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9"/>
    </row>
    <row r="22" spans="1:27" ht="15.7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7" ht="93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7" ht="15.7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24"/>
      <c r="M24" s="24"/>
      <c r="N24" s="24"/>
      <c r="O24" s="24"/>
      <c r="P24" s="24"/>
      <c r="Q24" s="24"/>
      <c r="R24" s="24"/>
      <c r="S24" s="4"/>
      <c r="T24" s="4"/>
      <c r="U24" s="4"/>
      <c r="V24" s="4"/>
      <c r="W24" s="4"/>
      <c r="X24" s="4"/>
      <c r="Y24" s="4"/>
      <c r="Z24" s="4"/>
    </row>
    <row r="25" spans="1:27" ht="1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16" t="s">
        <v>23</v>
      </c>
      <c r="M25" s="16"/>
      <c r="N25" s="16"/>
      <c r="O25" s="16"/>
      <c r="P25" s="16"/>
      <c r="Q25" s="16"/>
      <c r="R25" s="16"/>
      <c r="S25" s="4"/>
      <c r="T25" s="4"/>
      <c r="U25" s="4"/>
      <c r="V25" s="4"/>
      <c r="W25" s="4"/>
      <c r="X25" s="4"/>
      <c r="Y25" s="4"/>
      <c r="Z25" s="4"/>
    </row>
    <row r="26" spans="1:27" ht="15.7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25" t="s">
        <v>24</v>
      </c>
      <c r="M26" s="25"/>
      <c r="N26" s="25"/>
      <c r="O26" s="25"/>
      <c r="P26" s="25"/>
      <c r="Q26" s="25"/>
      <c r="R26" s="25"/>
      <c r="S26" s="4"/>
      <c r="T26" s="4"/>
      <c r="U26" s="4"/>
      <c r="V26" s="4"/>
      <c r="W26" s="4"/>
      <c r="X26" s="4"/>
      <c r="Y26" s="4"/>
      <c r="Z26" s="4"/>
    </row>
    <row r="27" spans="1:27" ht="15.7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</sheetData>
  <mergeCells count="33">
    <mergeCell ref="M4:S4"/>
    <mergeCell ref="S15:Z15"/>
    <mergeCell ref="A16:J16"/>
    <mergeCell ref="A12:E12"/>
    <mergeCell ref="A1:Z1"/>
    <mergeCell ref="A4:A5"/>
    <mergeCell ref="C4:C5"/>
    <mergeCell ref="T4:T5"/>
    <mergeCell ref="A3:Z3"/>
    <mergeCell ref="A2:Z2"/>
    <mergeCell ref="B4:B5"/>
    <mergeCell ref="Z4:Z5"/>
    <mergeCell ref="E4:E5"/>
    <mergeCell ref="D4:D5"/>
    <mergeCell ref="U4:U5"/>
    <mergeCell ref="W4:W5"/>
    <mergeCell ref="X4:X5"/>
    <mergeCell ref="L16:R16"/>
    <mergeCell ref="S16:Z16"/>
    <mergeCell ref="L25:R25"/>
    <mergeCell ref="L26:R26"/>
    <mergeCell ref="Y4:Y5"/>
    <mergeCell ref="F4:L4"/>
    <mergeCell ref="V4:V5"/>
    <mergeCell ref="S20:Z20"/>
    <mergeCell ref="S19:Z19"/>
    <mergeCell ref="L19:R19"/>
    <mergeCell ref="L20:R20"/>
    <mergeCell ref="A19:J19"/>
    <mergeCell ref="A20:J20"/>
    <mergeCell ref="L24:R24"/>
    <mergeCell ref="A15:J15"/>
    <mergeCell ref="L15:R15"/>
  </mergeCells>
  <conditionalFormatting sqref="Z6:Z10">
    <cfRule type="cellIs" dxfId="6" priority="1" operator="equal">
      <formula>"🟢 BAŞARILI"</formula>
    </cfRule>
    <cfRule type="cellIs" dxfId="5" priority="2" operator="equal">
      <formula>"🔴 BAŞARISIZ"</formula>
    </cfRule>
    <cfRule type="cellIs" dxfId="4" priority="3" operator="equal">
      <formula>"🚫 DEVAMSIZLIK"</formula>
    </cfRule>
    <cfRule type="cellIs" dxfId="3" priority="4" operator="equal">
      <formula>"⚠️ MUAF"</formula>
    </cfRule>
  </conditionalFormatting>
  <conditionalFormatting sqref="W6:W10">
    <cfRule type="cellIs" dxfId="2" priority="5" operator="lessThan">
      <formula>50</formula>
    </cfRule>
    <cfRule type="cellIs" dxfId="1" priority="6" operator="greaterThanOrEqual">
      <formula>70</formula>
    </cfRule>
    <cfRule type="expression" dxfId="0" priority="7">
      <formula>AND(W6&gt;=50,W6&lt;70)</formula>
    </cfRule>
  </conditionalFormatting>
  <printOptions horizontalCentered="1"/>
  <pageMargins left="0.35433070866141736" right="0.35433070866141736" top="0.39370078740157483" bottom="0.39370078740157483" header="0.51181102362204722" footer="0.51181102362204722"/>
  <pageSetup paperSize="9"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Makine Bakım Onarım</vt:lpstr>
      <vt:lpstr> Bilg.Makine İmalatı</vt:lpstr>
      <vt:lpstr>' Bilg.Makine İmalatı'!Yazdırma_Başlıkları</vt:lpstr>
      <vt:lpstr>'Makine Bakım Onarım'!Yazdırma_Başlıkları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Mustafa Koç</cp:lastModifiedBy>
  <cp:lastPrinted>2026-06-06T11:20:28Z</cp:lastPrinted>
  <dcterms:created xsi:type="dcterms:W3CDTF">2026-06-03T07:04:29Z</dcterms:created>
  <dcterms:modified xsi:type="dcterms:W3CDTF">2026-06-06T11:32:32Z</dcterms:modified>
</cp:coreProperties>
</file>