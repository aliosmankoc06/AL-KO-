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ECERİ - USTALIK - KALFALIK SINAV EVRAKLARI\2025-2026\MESEM\"/>
    </mc:Choice>
  </mc:AlternateContent>
  <bookViews>
    <workbookView xWindow="0" yWindow="0" windowWidth="20490" windowHeight="7665" activeTab="1"/>
  </bookViews>
  <sheets>
    <sheet name="Makine Bakım Onarım " sheetId="2" r:id="rId1"/>
    <sheet name="Bilgisayarlı Makine İmalatı" sheetId="1" r:id="rId2"/>
  </sheets>
  <definedNames>
    <definedName name="_xlnm.Print_Area" localSheetId="1">'Bilgisayarlı Makine İmalatı'!$A$1:$J$26</definedName>
    <definedName name="_xlnm.Print_Area" localSheetId="0">'Makine Bakım Onarım '!$A$1:$J$31</definedName>
  </definedNames>
  <calcPr calcId="162913"/>
</workbook>
</file>

<file path=xl/calcChain.xml><?xml version="1.0" encoding="utf-8"?>
<calcChain xmlns="http://schemas.openxmlformats.org/spreadsheetml/2006/main">
  <c r="H18" i="2" l="1"/>
  <c r="G18" i="2"/>
  <c r="F18" i="2"/>
  <c r="E18" i="2"/>
  <c r="I16" i="2"/>
  <c r="I15" i="2"/>
  <c r="I14" i="2"/>
  <c r="I13" i="2"/>
  <c r="I12" i="2"/>
  <c r="I11" i="2"/>
  <c r="I10" i="2"/>
  <c r="I9" i="2"/>
  <c r="I8" i="2"/>
  <c r="I7" i="2"/>
  <c r="J18" i="2" s="1"/>
  <c r="H12" i="1"/>
  <c r="G12" i="1"/>
  <c r="F12" i="1"/>
  <c r="E12" i="1"/>
  <c r="I10" i="1"/>
  <c r="I9" i="1"/>
  <c r="I8" i="1"/>
  <c r="I7" i="1"/>
  <c r="I6" i="1"/>
  <c r="J12" i="1" s="1"/>
  <c r="I12" i="1" l="1"/>
  <c r="I18" i="2"/>
</calcChain>
</file>

<file path=xl/sharedStrings.xml><?xml version="1.0" encoding="utf-8"?>
<sst xmlns="http://schemas.openxmlformats.org/spreadsheetml/2006/main" count="68" uniqueCount="44">
  <si>
    <t>Öğrenci No</t>
  </si>
  <si>
    <t>Adı</t>
  </si>
  <si>
    <t>Soyadı</t>
  </si>
  <si>
    <t>Kriter 1
Sayfa Düzeni ve
Temizliği
(Max: 25 Puan)</t>
  </si>
  <si>
    <t>Kriter 2
Teknik Resim ve
Çizim Kuralları
(Max: 25 Puan)</t>
  </si>
  <si>
    <t>Kriter 3
Yapılan İşlerin
Anlatımı
(Max: 25 Puan)</t>
  </si>
  <si>
    <t>Kriter 4
Usta Öğretici
İmzaları
(Max: 25 Puan)</t>
  </si>
  <si>
    <t>TOPLAM
(Max: 100)</t>
  </si>
  <si>
    <t>AÇIKLAMA /
KOMİSYON NOTU</t>
  </si>
  <si>
    <t>0-5: Çok dağınık ve kirli
6-12: Kısmen düzenli
13-19: Büyük ölçüde düzenli
20-24: Düzenli ve temiz
25: Mükemmel düzen</t>
  </si>
  <si>
    <t>0-5: Hiç kural yok
6-12: Kısmen uygun
13-19: Büyük ölçüde uygun
20-24: Kurallara uygun
25: Tam ve eksiksiz</t>
  </si>
  <si>
    <t>0-5: Yok / çok yetersiz
6-12: Kısmen açıklama var
13-19: Yeterli açıklama
20-24: Detaylı anlatım
25: Eksiksiz ve detaylı</t>
  </si>
  <si>
    <t>0-5: İmza çok eksik
6-12: Kısmen imzalı
13-19: Büyük bölümü imzalı
20-24: Neredeyse tamamı
25: Tamamı imzalı</t>
  </si>
  <si>
    <t>SINIF ORTALAMASI</t>
  </si>
  <si>
    <t>AKBAŞ</t>
  </si>
  <si>
    <t>Sıra
No</t>
  </si>
  <si>
    <t>Soma Mesleki ve Teknik Anadolu Lisesi</t>
  </si>
  <si>
    <t>Seyit Ömer ŞEKER
Makine Tek. Alan Öğrt.</t>
  </si>
  <si>
    <t>Arzu Kırıcı
CAD / CAM Atölye Şefi</t>
  </si>
  <si>
    <t>Şerif Yetim
İmalat İşlemleri Atölye Şefi</t>
  </si>
  <si>
    <t>Ali Osman KOÇ
Makine Tek. Alan Şefi</t>
  </si>
  <si>
    <t>Koordinatör Mdr. Yrd.
Esra BODUR</t>
  </si>
  <si>
    <t xml:space="preserve">           Gökhan ARSLAN
İmalat Yöntemleri Atölye Şefi</t>
  </si>
  <si>
    <t>Okul Müdürü
Ahmet AÇAR</t>
  </si>
  <si>
    <t xml:space="preserve">İsmail </t>
  </si>
  <si>
    <t>ASLAN</t>
  </si>
  <si>
    <t xml:space="preserve">Umut Buğra </t>
  </si>
  <si>
    <t>YANIK</t>
  </si>
  <si>
    <t>Doğukan Necati</t>
  </si>
  <si>
    <t>TAŞPINAR</t>
  </si>
  <si>
    <t>Salih</t>
  </si>
  <si>
    <t>ÖZYER</t>
  </si>
  <si>
    <t xml:space="preserve">Ahmet Kenan </t>
  </si>
  <si>
    <t>YILDIZ</t>
  </si>
  <si>
    <t>Arda</t>
  </si>
  <si>
    <t>ÖZŞEN</t>
  </si>
  <si>
    <t xml:space="preserve">Talha Kadir </t>
  </si>
  <si>
    <t>Makine ve Tasarım Teknolojisi Alanı — Bilgisayarlı Makine İmalatı Dalı</t>
  </si>
  <si>
    <t>Makine ve Tasarım Teknolojisi Alanı — Makine Bakım Onarım  Dalı</t>
  </si>
  <si>
    <t>Berke</t>
  </si>
  <si>
    <t>ÖZTÜRK</t>
  </si>
  <si>
    <t xml:space="preserve">Arda </t>
  </si>
  <si>
    <t>AÇIKGÖZ</t>
  </si>
  <si>
    <t>MESEM USTALIK İŞ DOSYASI (STAJ DEFTERİ) DERECELENDİRME ANAHTARI — 2025-2026 Eğitim-Öğretim Yılı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</si>
</sst>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162"/>
    </font>
    <font>
      <sz val="11"/>
      <color rgb="FF000000"/>
      <name val="Times New Roman"/>
      <family val="1"/>
      <charset val="162"/>
    </font>
    <font>
      <b/>
      <sz val="11"/>
      <color rgb="FF000000"/>
      <name val="Times New Roman"/>
      <family val="1"/>
      <charset val="162"/>
    </font>
    <font>
      <sz val="11"/>
      <name val="Calibri"/>
      <family val="2"/>
      <scheme val="minor"/>
    </font>
    <font>
      <b/>
      <sz val="11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9"/>
      <name val="Times New Roman"/>
      <family val="1"/>
      <charset val="162"/>
    </font>
    <font>
      <sz val="8"/>
      <name val="Times New Roman"/>
      <family val="1"/>
      <charset val="162"/>
    </font>
    <font>
      <sz val="10"/>
      <name val="Times New Roman"/>
      <family val="1"/>
      <charset val="162"/>
    </font>
    <font>
      <sz val="11"/>
      <name val="Times New Roman"/>
      <family val="1"/>
      <charset val="162"/>
    </font>
    <font>
      <b/>
      <sz val="15"/>
      <name val="Times New Roman"/>
      <family val="1"/>
      <charset val="162"/>
    </font>
    <font>
      <sz val="15"/>
      <name val="Calibri"/>
      <family val="2"/>
      <scheme val="minor"/>
    </font>
    <font>
      <b/>
      <sz val="14"/>
      <name val="Times New Roman"/>
      <family val="1"/>
      <charset val="162"/>
    </font>
    <font>
      <sz val="14"/>
      <name val="Calibri"/>
      <family val="2"/>
      <scheme val="minor"/>
    </font>
    <font>
      <b/>
      <sz val="12"/>
      <name val="Times New Roman"/>
      <family val="1"/>
      <charset val="162"/>
    </font>
    <font>
      <sz val="12"/>
      <name val="Calibri"/>
      <family val="2"/>
      <scheme val="minor"/>
    </font>
    <font>
      <b/>
      <sz val="10"/>
      <name val="Times New Roman"/>
      <family val="1"/>
      <charset val="162"/>
    </font>
    <font>
      <b/>
      <sz val="9"/>
      <name val="Times New Roman"/>
      <family val="1"/>
      <charset val="16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9"/>
      <name val="Times New Roman"/>
    </font>
    <font>
      <sz val="9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/>
    <xf numFmtId="49" fontId="7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6" fillId="2" borderId="0" xfId="0" applyFont="1" applyFill="1" applyBorder="1" applyAlignment="1"/>
    <xf numFmtId="0" fontId="0" fillId="0" borderId="0" xfId="0" applyBorder="1"/>
    <xf numFmtId="0" fontId="16" fillId="2" borderId="0" xfId="0" applyFont="1" applyFill="1" applyBorder="1"/>
    <xf numFmtId="0" fontId="19" fillId="0" borderId="0" xfId="0" applyFont="1"/>
    <xf numFmtId="0" fontId="15" fillId="2" borderId="0" xfId="0" applyFont="1" applyFill="1" applyBorder="1" applyAlignment="1">
      <alignment vertical="center" wrapText="1"/>
    </xf>
    <xf numFmtId="0" fontId="2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20" fillId="0" borderId="0" xfId="0" applyFont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/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/>
    <xf numFmtId="0" fontId="13" fillId="0" borderId="0" xfId="0" applyFont="1" applyFill="1" applyAlignment="1">
      <alignment horizontal="center" vertical="center"/>
    </xf>
    <xf numFmtId="0" fontId="14" fillId="0" borderId="0" xfId="0" applyFont="1" applyFill="1"/>
    <xf numFmtId="0" fontId="17" fillId="0" borderId="2" xfId="0" applyFont="1" applyFill="1" applyBorder="1" applyAlignment="1">
      <alignment horizontal="center" vertical="center"/>
    </xf>
    <xf numFmtId="0" fontId="4" fillId="0" borderId="2" xfId="0" applyFont="1" applyFill="1" applyBorder="1"/>
    <xf numFmtId="0" fontId="6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</dxfs>
  <tableStyles count="0" defaultTableStyle="TableStyleMedium9" defaultPivotStyle="PivotStyleLight16"/>
  <colors>
    <mruColors>
      <color rgb="FFCCCCFF"/>
      <color rgb="FF9966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1"/>
  <sheetViews>
    <sheetView showGridLines="0" zoomScale="70" zoomScaleNormal="70" workbookViewId="0">
      <selection activeCell="A4" sqref="A4:J4"/>
    </sheetView>
  </sheetViews>
  <sheetFormatPr defaultRowHeight="15" x14ac:dyDescent="0.25"/>
  <cols>
    <col min="1" max="1" width="7.42578125" customWidth="1"/>
    <col min="2" max="2" width="10" customWidth="1"/>
    <col min="3" max="3" width="22" customWidth="1"/>
    <col min="4" max="4" width="20" customWidth="1"/>
    <col min="5" max="5" width="15" customWidth="1"/>
    <col min="6" max="7" width="17" customWidth="1"/>
    <col min="8" max="8" width="15" customWidth="1"/>
    <col min="9" max="9" width="12" customWidth="1"/>
    <col min="10" max="10" width="22" customWidth="1"/>
  </cols>
  <sheetData>
    <row r="1" spans="1:10" ht="62.25" customHeight="1" x14ac:dyDescent="0.25"/>
    <row r="2" spans="1:10" ht="24" customHeight="1" x14ac:dyDescent="0.3">
      <c r="A2" s="34" t="s">
        <v>16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33.75" customHeight="1" x14ac:dyDescent="0.3">
      <c r="A3" s="34" t="s">
        <v>38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ht="34.5" customHeight="1" x14ac:dyDescent="0.3">
      <c r="A4" s="38" t="s">
        <v>43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ht="56.1" customHeight="1" x14ac:dyDescent="0.25">
      <c r="A5" s="36" t="s">
        <v>15</v>
      </c>
      <c r="B5" s="36" t="s">
        <v>0</v>
      </c>
      <c r="C5" s="36" t="s">
        <v>1</v>
      </c>
      <c r="D5" s="3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36" t="s">
        <v>7</v>
      </c>
      <c r="J5" s="36" t="s">
        <v>8</v>
      </c>
    </row>
    <row r="6" spans="1:10" ht="98.25" customHeight="1" x14ac:dyDescent="0.25">
      <c r="A6" s="37"/>
      <c r="B6" s="37"/>
      <c r="C6" s="37"/>
      <c r="D6" s="37"/>
      <c r="E6" s="7" t="s">
        <v>9</v>
      </c>
      <c r="F6" s="7" t="s">
        <v>10</v>
      </c>
      <c r="G6" s="7" t="s">
        <v>11</v>
      </c>
      <c r="H6" s="7" t="s">
        <v>12</v>
      </c>
      <c r="I6" s="37"/>
      <c r="J6" s="37"/>
    </row>
    <row r="7" spans="1:10" ht="20.100000000000001" customHeight="1" x14ac:dyDescent="0.25">
      <c r="A7" s="10">
        <v>1</v>
      </c>
      <c r="B7" s="23">
        <v>794</v>
      </c>
      <c r="C7" s="24" t="s">
        <v>24</v>
      </c>
      <c r="D7" s="24" t="s">
        <v>25</v>
      </c>
      <c r="E7" s="12"/>
      <c r="F7" s="12"/>
      <c r="G7" s="12"/>
      <c r="H7" s="12"/>
      <c r="I7" s="13">
        <f t="shared" ref="I7:I16" si="0">IFERROR(SUM(E7:H7),"")</f>
        <v>0</v>
      </c>
      <c r="J7" s="11"/>
    </row>
    <row r="8" spans="1:10" ht="20.100000000000001" customHeight="1" x14ac:dyDescent="0.25">
      <c r="A8" s="10">
        <v>2</v>
      </c>
      <c r="B8" s="23">
        <v>11478</v>
      </c>
      <c r="C8" s="24" t="s">
        <v>26</v>
      </c>
      <c r="D8" s="24" t="s">
        <v>27</v>
      </c>
      <c r="E8" s="12"/>
      <c r="F8" s="12"/>
      <c r="G8" s="12"/>
      <c r="H8" s="12"/>
      <c r="I8" s="13">
        <f t="shared" si="0"/>
        <v>0</v>
      </c>
      <c r="J8" s="11"/>
    </row>
    <row r="9" spans="1:10" ht="20.100000000000001" customHeight="1" x14ac:dyDescent="0.25">
      <c r="A9" s="10">
        <v>3</v>
      </c>
      <c r="B9" s="23">
        <v>83</v>
      </c>
      <c r="C9" s="24" t="s">
        <v>28</v>
      </c>
      <c r="D9" s="24" t="s">
        <v>29</v>
      </c>
      <c r="E9" s="12"/>
      <c r="F9" s="12"/>
      <c r="G9" s="12"/>
      <c r="H9" s="12"/>
      <c r="I9" s="13">
        <f t="shared" si="0"/>
        <v>0</v>
      </c>
      <c r="J9" s="11"/>
    </row>
    <row r="10" spans="1:10" ht="20.100000000000001" customHeight="1" x14ac:dyDescent="0.25">
      <c r="A10" s="10">
        <v>4</v>
      </c>
      <c r="B10" s="23">
        <v>12</v>
      </c>
      <c r="C10" s="24" t="s">
        <v>30</v>
      </c>
      <c r="D10" s="24" t="s">
        <v>31</v>
      </c>
      <c r="E10" s="12"/>
      <c r="F10" s="12"/>
      <c r="G10" s="12"/>
      <c r="H10" s="12"/>
      <c r="I10" s="13">
        <f t="shared" si="0"/>
        <v>0</v>
      </c>
      <c r="J10" s="11"/>
    </row>
    <row r="11" spans="1:10" ht="20.100000000000001" customHeight="1" x14ac:dyDescent="0.25">
      <c r="A11" s="10">
        <v>5</v>
      </c>
      <c r="B11" s="23">
        <v>555</v>
      </c>
      <c r="C11" s="24" t="s">
        <v>32</v>
      </c>
      <c r="D11" s="24" t="s">
        <v>33</v>
      </c>
      <c r="E11" s="12"/>
      <c r="F11" s="12"/>
      <c r="G11" s="12"/>
      <c r="H11" s="12"/>
      <c r="I11" s="13">
        <f t="shared" si="0"/>
        <v>0</v>
      </c>
      <c r="J11" s="11"/>
    </row>
    <row r="12" spans="1:10" ht="20.100000000000001" customHeight="1" x14ac:dyDescent="0.25">
      <c r="A12" s="10">
        <v>6</v>
      </c>
      <c r="B12" s="23">
        <v>163</v>
      </c>
      <c r="C12" s="24" t="s">
        <v>34</v>
      </c>
      <c r="D12" s="24" t="s">
        <v>35</v>
      </c>
      <c r="E12" s="12"/>
      <c r="F12" s="12"/>
      <c r="G12" s="12"/>
      <c r="H12" s="12"/>
      <c r="I12" s="13">
        <f t="shared" si="0"/>
        <v>0</v>
      </c>
      <c r="J12" s="11"/>
    </row>
    <row r="13" spans="1:10" ht="20.100000000000001" customHeight="1" x14ac:dyDescent="0.25">
      <c r="A13" s="10">
        <v>7</v>
      </c>
      <c r="B13" s="23">
        <v>89</v>
      </c>
      <c r="C13" s="24" t="s">
        <v>36</v>
      </c>
      <c r="D13" s="24" t="s">
        <v>14</v>
      </c>
      <c r="E13" s="12"/>
      <c r="F13" s="12"/>
      <c r="G13" s="12"/>
      <c r="H13" s="12"/>
      <c r="I13" s="13">
        <f t="shared" si="0"/>
        <v>0</v>
      </c>
      <c r="J13" s="11"/>
    </row>
    <row r="14" spans="1:10" ht="20.100000000000001" customHeight="1" x14ac:dyDescent="0.25">
      <c r="A14" s="10">
        <v>8</v>
      </c>
      <c r="B14" s="10"/>
      <c r="C14" s="11"/>
      <c r="D14" s="11"/>
      <c r="E14" s="12"/>
      <c r="F14" s="12"/>
      <c r="G14" s="12"/>
      <c r="H14" s="12"/>
      <c r="I14" s="13">
        <f t="shared" si="0"/>
        <v>0</v>
      </c>
      <c r="J14" s="11"/>
    </row>
    <row r="15" spans="1:10" ht="20.100000000000001" customHeight="1" x14ac:dyDescent="0.25">
      <c r="A15" s="10">
        <v>9</v>
      </c>
      <c r="B15" s="10"/>
      <c r="C15" s="11"/>
      <c r="D15" s="11"/>
      <c r="E15" s="12"/>
      <c r="F15" s="12"/>
      <c r="G15" s="12"/>
      <c r="H15" s="12"/>
      <c r="I15" s="13">
        <f t="shared" si="0"/>
        <v>0</v>
      </c>
      <c r="J15" s="11"/>
    </row>
    <row r="16" spans="1:10" ht="20.100000000000001" customHeight="1" x14ac:dyDescent="0.25">
      <c r="A16" s="10">
        <v>10</v>
      </c>
      <c r="B16" s="10"/>
      <c r="C16" s="11"/>
      <c r="D16" s="11"/>
      <c r="E16" s="12"/>
      <c r="F16" s="12"/>
      <c r="G16" s="12"/>
      <c r="H16" s="12"/>
      <c r="I16" s="13">
        <f t="shared" si="0"/>
        <v>0</v>
      </c>
      <c r="J16" s="11"/>
    </row>
    <row r="18" spans="1:27" ht="18" customHeight="1" x14ac:dyDescent="0.25">
      <c r="A18" s="40" t="s">
        <v>13</v>
      </c>
      <c r="B18" s="41"/>
      <c r="C18" s="41"/>
      <c r="D18" s="41"/>
      <c r="E18" s="14" t="str">
        <f>IFERROR(AVERAGE(E7:E16),"")</f>
        <v/>
      </c>
      <c r="F18" s="14" t="str">
        <f>IFERROR(AVERAGE(F7:F16),"")</f>
        <v/>
      </c>
      <c r="G18" s="14" t="str">
        <f>IFERROR(AVERAGE(G7:G16),"")</f>
        <v/>
      </c>
      <c r="H18" s="14" t="str">
        <f>IFERROR(AVERAGE(H7:H16),"")</f>
        <v/>
      </c>
      <c r="I18" s="14">
        <f>IFERROR(AVERAGE(I7:I16),"")</f>
        <v>0</v>
      </c>
      <c r="J18" s="15" t="str">
        <f>IFERROR("Sınıf Ort: "&amp;ROUND(I7,1)&amp;" / 100","")</f>
        <v>Sınıf Ort: 0 / 100</v>
      </c>
    </row>
    <row r="22" spans="1:27" ht="58.5" customHeight="1" x14ac:dyDescent="0.25"/>
    <row r="23" spans="1:27" ht="53.25" customHeight="1" x14ac:dyDescent="0.25">
      <c r="A23" s="20"/>
      <c r="B23" s="20"/>
      <c r="C23" s="22" t="s">
        <v>17</v>
      </c>
      <c r="D23" s="20"/>
      <c r="E23" s="27" t="s">
        <v>18</v>
      </c>
      <c r="F23" s="27"/>
      <c r="G23" s="20"/>
      <c r="H23" s="28" t="s">
        <v>19</v>
      </c>
      <c r="I23" s="28"/>
      <c r="J23" s="20"/>
      <c r="K23" s="1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17"/>
    </row>
    <row r="24" spans="1:27" ht="15.75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7"/>
    </row>
    <row r="25" spans="1:27" ht="49.5" customHeight="1" x14ac:dyDescent="0.25">
      <c r="A25" s="5"/>
      <c r="B25" s="5"/>
      <c r="C25" s="2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7" ht="27.75" customHeight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16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17"/>
    </row>
    <row r="27" spans="1:27" ht="47.25" customHeight="1" x14ac:dyDescent="0.25">
      <c r="A27" s="20"/>
      <c r="B27" s="20"/>
      <c r="C27" s="32" t="s">
        <v>22</v>
      </c>
      <c r="D27" s="32"/>
      <c r="E27" s="27" t="s">
        <v>20</v>
      </c>
      <c r="F27" s="27"/>
      <c r="G27" s="20"/>
      <c r="H27" s="28" t="s">
        <v>21</v>
      </c>
      <c r="I27" s="28"/>
      <c r="J27" s="20"/>
      <c r="K27" s="16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17"/>
    </row>
    <row r="28" spans="1:27" ht="15.75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7"/>
    </row>
    <row r="29" spans="1:27" ht="83.25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7" ht="30.75" customHeight="1" x14ac:dyDescent="0.25">
      <c r="A30" s="19"/>
      <c r="B30" s="19"/>
      <c r="C30" s="19"/>
      <c r="D30" s="19"/>
      <c r="E30" s="29" t="s">
        <v>23</v>
      </c>
      <c r="F30" s="3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7" ht="15.75" x14ac:dyDescent="0.25">
      <c r="A31" s="19"/>
      <c r="B31" s="19"/>
      <c r="C31" s="19"/>
      <c r="D31" s="19"/>
      <c r="E31" s="31"/>
      <c r="F31" s="31"/>
      <c r="G31" s="19"/>
      <c r="H31" s="19"/>
      <c r="I31" s="19"/>
      <c r="J31" s="19"/>
      <c r="K31" s="19"/>
      <c r="L31" s="33"/>
      <c r="M31" s="33"/>
      <c r="N31" s="33"/>
      <c r="O31" s="33"/>
      <c r="P31" s="33"/>
      <c r="Q31" s="33"/>
      <c r="R31" s="33"/>
      <c r="S31" s="19"/>
      <c r="T31" s="19"/>
      <c r="U31" s="19"/>
      <c r="V31" s="19"/>
      <c r="W31" s="19"/>
      <c r="X31" s="19"/>
      <c r="Y31" s="19"/>
      <c r="Z31" s="19"/>
    </row>
  </sheetData>
  <mergeCells count="25">
    <mergeCell ref="A26:J26"/>
    <mergeCell ref="D5:D6"/>
    <mergeCell ref="A4:J4"/>
    <mergeCell ref="A18:D18"/>
    <mergeCell ref="E23:F23"/>
    <mergeCell ref="H23:I23"/>
    <mergeCell ref="A2:J2"/>
    <mergeCell ref="A5:A6"/>
    <mergeCell ref="I5:I6"/>
    <mergeCell ref="B5:B6"/>
    <mergeCell ref="C5:C6"/>
    <mergeCell ref="A3:J3"/>
    <mergeCell ref="J5:J6"/>
    <mergeCell ref="L31:R31"/>
    <mergeCell ref="L23:R23"/>
    <mergeCell ref="S23:Z23"/>
    <mergeCell ref="L26:R26"/>
    <mergeCell ref="S26:Z26"/>
    <mergeCell ref="L27:R27"/>
    <mergeCell ref="S27:Z27"/>
    <mergeCell ref="E27:F27"/>
    <mergeCell ref="H27:I27"/>
    <mergeCell ref="E30:F30"/>
    <mergeCell ref="E31:F31"/>
    <mergeCell ref="C27:D27"/>
  </mergeCells>
  <conditionalFormatting sqref="I7:I16">
    <cfRule type="cellIs" dxfId="3" priority="1" operator="greaterThanOrEqual">
      <formula>80</formula>
    </cfRule>
    <cfRule type="cellIs" dxfId="2" priority="2" operator="lessThan">
      <formula>50</formula>
    </cfRule>
  </conditionalFormatting>
  <printOptions horizontalCentered="1"/>
  <pageMargins left="0.23622047244094491" right="0.23622047244094491" top="0.23622047244094491" bottom="0.23622047244094491" header="0.11811023622047245" footer="0.11811023622047245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2"/>
  <sheetViews>
    <sheetView showGridLines="0" tabSelected="1" workbookViewId="0">
      <selection activeCell="C4" sqref="C4:C5"/>
    </sheetView>
  </sheetViews>
  <sheetFormatPr defaultRowHeight="15" x14ac:dyDescent="0.25"/>
  <cols>
    <col min="1" max="1" width="5" customWidth="1"/>
    <col min="2" max="2" width="16" customWidth="1"/>
    <col min="3" max="3" width="22" customWidth="1"/>
    <col min="4" max="4" width="20" customWidth="1"/>
    <col min="5" max="5" width="15" customWidth="1"/>
    <col min="6" max="7" width="17" customWidth="1"/>
    <col min="8" max="8" width="15" customWidth="1"/>
    <col min="9" max="9" width="12" customWidth="1"/>
    <col min="10" max="10" width="22" customWidth="1"/>
  </cols>
  <sheetData>
    <row r="1" spans="1:27" ht="24" customHeight="1" x14ac:dyDescent="0.3">
      <c r="A1" s="34" t="s">
        <v>16</v>
      </c>
      <c r="B1" s="35"/>
      <c r="C1" s="35"/>
      <c r="D1" s="35"/>
      <c r="E1" s="35"/>
      <c r="F1" s="35"/>
      <c r="G1" s="35"/>
      <c r="H1" s="35"/>
      <c r="I1" s="35"/>
      <c r="J1" s="35"/>
    </row>
    <row r="2" spans="1:27" ht="39.75" customHeight="1" x14ac:dyDescent="0.3">
      <c r="A2" s="34" t="s">
        <v>37</v>
      </c>
      <c r="B2" s="35"/>
      <c r="C2" s="35"/>
      <c r="D2" s="35"/>
      <c r="E2" s="35"/>
      <c r="F2" s="35"/>
      <c r="G2" s="35"/>
      <c r="H2" s="35"/>
      <c r="I2" s="35"/>
      <c r="J2" s="35"/>
    </row>
    <row r="3" spans="1:27" ht="39.75" customHeight="1" x14ac:dyDescent="0.3">
      <c r="A3" s="38" t="s">
        <v>43</v>
      </c>
      <c r="B3" s="39"/>
      <c r="C3" s="39"/>
      <c r="D3" s="39"/>
      <c r="E3" s="39"/>
      <c r="F3" s="39"/>
      <c r="G3" s="39"/>
      <c r="H3" s="39"/>
      <c r="I3" s="39"/>
      <c r="J3" s="39"/>
    </row>
    <row r="4" spans="1:27" ht="56.1" customHeight="1" x14ac:dyDescent="0.25">
      <c r="A4" s="36" t="s">
        <v>15</v>
      </c>
      <c r="B4" s="36" t="s">
        <v>0</v>
      </c>
      <c r="C4" s="36" t="s">
        <v>1</v>
      </c>
      <c r="D4" s="3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36" t="s">
        <v>7</v>
      </c>
      <c r="J4" s="36" t="s">
        <v>8</v>
      </c>
    </row>
    <row r="5" spans="1:27" ht="96.75" customHeight="1" x14ac:dyDescent="0.25">
      <c r="A5" s="37"/>
      <c r="B5" s="37"/>
      <c r="C5" s="37"/>
      <c r="D5" s="37"/>
      <c r="E5" s="7" t="s">
        <v>9</v>
      </c>
      <c r="F5" s="7" t="s">
        <v>10</v>
      </c>
      <c r="G5" s="7" t="s">
        <v>11</v>
      </c>
      <c r="H5" s="7" t="s">
        <v>12</v>
      </c>
      <c r="I5" s="37"/>
      <c r="J5" s="37"/>
    </row>
    <row r="6" spans="1:27" ht="20.100000000000001" customHeight="1" x14ac:dyDescent="0.25">
      <c r="A6" s="1">
        <v>1</v>
      </c>
      <c r="B6" s="25">
        <v>665</v>
      </c>
      <c r="C6" s="26" t="s">
        <v>39</v>
      </c>
      <c r="D6" s="26" t="s">
        <v>40</v>
      </c>
      <c r="E6" s="3"/>
      <c r="F6" s="3"/>
      <c r="G6" s="3"/>
      <c r="H6" s="3"/>
      <c r="I6" s="4">
        <f t="shared" ref="I6:I10" si="0">IFERROR(SUM(E6:H6),"")</f>
        <v>0</v>
      </c>
      <c r="J6" s="2"/>
    </row>
    <row r="7" spans="1:27" ht="20.100000000000001" customHeight="1" x14ac:dyDescent="0.25">
      <c r="A7" s="1">
        <v>2</v>
      </c>
      <c r="B7" s="25">
        <v>299</v>
      </c>
      <c r="C7" s="26" t="s">
        <v>41</v>
      </c>
      <c r="D7" s="26" t="s">
        <v>42</v>
      </c>
      <c r="E7" s="3"/>
      <c r="F7" s="3"/>
      <c r="G7" s="3"/>
      <c r="H7" s="3"/>
      <c r="I7" s="4">
        <f t="shared" si="0"/>
        <v>0</v>
      </c>
      <c r="J7" s="2"/>
    </row>
    <row r="8" spans="1:27" ht="20.100000000000001" customHeight="1" x14ac:dyDescent="0.25">
      <c r="A8" s="1">
        <v>3</v>
      </c>
      <c r="B8" s="1"/>
      <c r="C8" s="2"/>
      <c r="D8" s="2"/>
      <c r="E8" s="3"/>
      <c r="F8" s="3"/>
      <c r="G8" s="3"/>
      <c r="H8" s="3"/>
      <c r="I8" s="4">
        <f t="shared" si="0"/>
        <v>0</v>
      </c>
      <c r="J8" s="2"/>
    </row>
    <row r="9" spans="1:27" ht="20.100000000000001" customHeight="1" x14ac:dyDescent="0.25">
      <c r="A9" s="1">
        <v>4</v>
      </c>
      <c r="B9" s="1"/>
      <c r="C9" s="2"/>
      <c r="D9" s="2"/>
      <c r="E9" s="3"/>
      <c r="F9" s="3"/>
      <c r="G9" s="3"/>
      <c r="H9" s="3"/>
      <c r="I9" s="4">
        <f t="shared" si="0"/>
        <v>0</v>
      </c>
      <c r="J9" s="2"/>
    </row>
    <row r="10" spans="1:27" ht="20.100000000000001" customHeight="1" x14ac:dyDescent="0.25">
      <c r="A10" s="1">
        <v>5</v>
      </c>
      <c r="B10" s="1"/>
      <c r="C10" s="2"/>
      <c r="D10" s="2"/>
      <c r="E10" s="3"/>
      <c r="F10" s="3"/>
      <c r="G10" s="3"/>
      <c r="H10" s="3"/>
      <c r="I10" s="4">
        <f t="shared" si="0"/>
        <v>0</v>
      </c>
      <c r="J10" s="2"/>
    </row>
    <row r="11" spans="1:2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27" ht="18" customHeight="1" x14ac:dyDescent="0.25">
      <c r="A12" s="42" t="s">
        <v>13</v>
      </c>
      <c r="B12" s="41"/>
      <c r="C12" s="41"/>
      <c r="D12" s="41"/>
      <c r="E12" s="8" t="str">
        <f>IFERROR(AVERAGE(E6:E10),"")</f>
        <v/>
      </c>
      <c r="F12" s="8" t="str">
        <f>IFERROR(AVERAGE(F6:F10),"")</f>
        <v/>
      </c>
      <c r="G12" s="8" t="str">
        <f>IFERROR(AVERAGE(G6:G10),"")</f>
        <v/>
      </c>
      <c r="H12" s="8" t="str">
        <f>IFERROR(AVERAGE(H6:H10),"")</f>
        <v/>
      </c>
      <c r="I12" s="8">
        <f>IFERROR(AVERAGE(I6:I10),"")</f>
        <v>0</v>
      </c>
      <c r="J12" s="9" t="str">
        <f>IFERROR("Sınıf Ort: "&amp;ROUND(I6,1)&amp;" / 100","")</f>
        <v>Sınıf Ort: 0 / 100</v>
      </c>
    </row>
    <row r="13" spans="1:27" ht="107.2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27" ht="53.25" customHeight="1" x14ac:dyDescent="0.25">
      <c r="A14" s="20"/>
      <c r="B14" s="20"/>
      <c r="C14" s="22" t="s">
        <v>17</v>
      </c>
      <c r="D14" s="20"/>
      <c r="E14" s="27" t="s">
        <v>18</v>
      </c>
      <c r="F14" s="27"/>
      <c r="G14" s="20"/>
      <c r="H14" s="28" t="s">
        <v>19</v>
      </c>
      <c r="I14" s="28"/>
      <c r="J14" s="20"/>
      <c r="K14" s="16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17"/>
    </row>
    <row r="15" spans="1:27" ht="15.75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7"/>
    </row>
    <row r="16" spans="1:27" ht="49.5" customHeight="1" x14ac:dyDescent="0.25">
      <c r="A16" s="5"/>
      <c r="B16" s="5"/>
      <c r="C16" s="2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7" ht="27.7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16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17"/>
    </row>
    <row r="18" spans="1:27" ht="47.25" customHeight="1" x14ac:dyDescent="0.25">
      <c r="A18" s="20"/>
      <c r="B18" s="20"/>
      <c r="C18" s="32" t="s">
        <v>22</v>
      </c>
      <c r="D18" s="32"/>
      <c r="E18" s="27" t="s">
        <v>20</v>
      </c>
      <c r="F18" s="27"/>
      <c r="G18" s="20"/>
      <c r="H18" s="28" t="s">
        <v>21</v>
      </c>
      <c r="I18" s="28"/>
      <c r="J18" s="20"/>
      <c r="K18" s="16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17"/>
    </row>
    <row r="19" spans="1:27" ht="15.75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7"/>
    </row>
    <row r="20" spans="1:27" ht="67.5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7" ht="30.75" customHeight="1" x14ac:dyDescent="0.25">
      <c r="A21" s="19"/>
      <c r="B21" s="19"/>
      <c r="C21" s="19"/>
      <c r="D21" s="19"/>
      <c r="E21" s="29" t="s">
        <v>23</v>
      </c>
      <c r="F21" s="30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7" ht="15.75" x14ac:dyDescent="0.25">
      <c r="A22" s="19"/>
      <c r="B22" s="19"/>
      <c r="C22" s="19"/>
      <c r="D22" s="19"/>
      <c r="E22" s="31"/>
      <c r="F22" s="31"/>
      <c r="G22" s="19"/>
      <c r="H22" s="19"/>
      <c r="I22" s="19"/>
      <c r="J22" s="19"/>
      <c r="K22" s="19"/>
      <c r="L22" s="33"/>
      <c r="M22" s="33"/>
      <c r="N22" s="33"/>
      <c r="O22" s="33"/>
      <c r="P22" s="33"/>
      <c r="Q22" s="33"/>
      <c r="R22" s="33"/>
      <c r="S22" s="19"/>
      <c r="T22" s="19"/>
      <c r="U22" s="19"/>
      <c r="V22" s="19"/>
      <c r="W22" s="19"/>
      <c r="X22" s="19"/>
      <c r="Y22" s="19"/>
      <c r="Z22" s="19"/>
    </row>
  </sheetData>
  <mergeCells count="25">
    <mergeCell ref="A1:J1"/>
    <mergeCell ref="A12:D12"/>
    <mergeCell ref="A4:A5"/>
    <mergeCell ref="C4:C5"/>
    <mergeCell ref="I4:I5"/>
    <mergeCell ref="A3:J3"/>
    <mergeCell ref="A2:J2"/>
    <mergeCell ref="J4:J5"/>
    <mergeCell ref="D4:D5"/>
    <mergeCell ref="B4:B5"/>
    <mergeCell ref="S18:Z18"/>
    <mergeCell ref="E21:F21"/>
    <mergeCell ref="L14:R14"/>
    <mergeCell ref="S14:Z14"/>
    <mergeCell ref="A17:J17"/>
    <mergeCell ref="L17:R17"/>
    <mergeCell ref="S17:Z17"/>
    <mergeCell ref="E14:F14"/>
    <mergeCell ref="H14:I14"/>
    <mergeCell ref="E22:F22"/>
    <mergeCell ref="L22:R22"/>
    <mergeCell ref="C18:D18"/>
    <mergeCell ref="E18:F18"/>
    <mergeCell ref="H18:I18"/>
    <mergeCell ref="L18:R18"/>
  </mergeCells>
  <conditionalFormatting sqref="I6:I10">
    <cfRule type="cellIs" dxfId="1" priority="1" operator="greaterThanOrEqual">
      <formula>80</formula>
    </cfRule>
    <cfRule type="cellIs" dxfId="0" priority="2" operator="lessThan">
      <formula>50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Makine Bakım Onarım </vt:lpstr>
      <vt:lpstr>Bilgisayarlı Makine İmalatı</vt:lpstr>
      <vt:lpstr>'Bilgisayarlı Makine İmalatı'!Yazdırma_Alanı</vt:lpstr>
      <vt:lpstr>'Makine Bakım Onarım 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Koç</cp:lastModifiedBy>
  <cp:lastPrinted>2026-06-06T11:59:37Z</cp:lastPrinted>
  <dcterms:created xsi:type="dcterms:W3CDTF">2026-06-03T07:05:51Z</dcterms:created>
  <dcterms:modified xsi:type="dcterms:W3CDTF">2026-06-06T12:00:56Z</dcterms:modified>
</cp:coreProperties>
</file>