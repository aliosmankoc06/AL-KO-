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2027 Okul\"/>
    </mc:Choice>
  </mc:AlternateContent>
  <bookViews>
    <workbookView xWindow="0" yWindow="0" windowWidth="20490" windowHeight="7665" tabRatio="500"/>
  </bookViews>
  <sheets>
    <sheet name="2026-2027 Norm Kadro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7" i="1" l="1"/>
  <c r="G35" i="1" l="1"/>
  <c r="G31" i="1"/>
  <c r="G30" i="1"/>
  <c r="G26" i="1"/>
  <c r="G25" i="1"/>
  <c r="G24" i="1"/>
  <c r="G22" i="1"/>
  <c r="G21" i="1"/>
  <c r="G20" i="1"/>
  <c r="G18" i="1"/>
  <c r="G17" i="1"/>
  <c r="G16" i="1"/>
  <c r="G15" i="1"/>
  <c r="G13" i="1"/>
  <c r="G12" i="1"/>
  <c r="G11" i="1"/>
  <c r="G10" i="1"/>
  <c r="G8" i="1"/>
  <c r="G7" i="1"/>
  <c r="G6" i="1"/>
  <c r="G32" i="1" l="1"/>
  <c r="G39" i="1"/>
  <c r="E43" i="1" l="1"/>
  <c r="H43" i="1" s="1"/>
</calcChain>
</file>

<file path=xl/sharedStrings.xml><?xml version="1.0" encoding="utf-8"?>
<sst xmlns="http://schemas.openxmlformats.org/spreadsheetml/2006/main" count="79" uniqueCount="55">
  <si>
    <t>SOMA MESLEKİ VE TEKNİK ANADOLU LİSESİ</t>
  </si>
  <si>
    <t>No</t>
  </si>
  <si>
    <t>SINIF</t>
  </si>
  <si>
    <t>ÖĞRENCİ
SAYISI</t>
  </si>
  <si>
    <t>DERS ADI</t>
  </si>
  <si>
    <t>HAFTALIK
SAAT</t>
  </si>
  <si>
    <t>GRUP
SAYISI
(Katsayı)</t>
  </si>
  <si>
    <t>TOPLAM
DERS SAATİ</t>
  </si>
  <si>
    <t>AÇIKLAMA</t>
  </si>
  <si>
    <t>9-A</t>
  </si>
  <si>
    <t>Temel İmalat İşlemleri</t>
  </si>
  <si>
    <t>Teknik Resim</t>
  </si>
  <si>
    <t>Mesleki Gelişim Atölyesi</t>
  </si>
  <si>
    <t>10-A</t>
  </si>
  <si>
    <t>İmalat Yöntemleri</t>
  </si>
  <si>
    <t>Bakım Onarım Meslek Resmi</t>
  </si>
  <si>
    <t>Ölçme ve Kontrol</t>
  </si>
  <si>
    <t>Malzeme Bilgisi</t>
  </si>
  <si>
    <t>11-A</t>
  </si>
  <si>
    <t>Otomatik Kontrol Sistemleri</t>
  </si>
  <si>
    <t>Mekanik Bakım Onarım</t>
  </si>
  <si>
    <t>Mekanizmalar</t>
  </si>
  <si>
    <t>12-A</t>
  </si>
  <si>
    <t>Seç. Makine Elemanları</t>
  </si>
  <si>
    <t>Seç. Hidrolik-Pnömatik</t>
  </si>
  <si>
    <t>Seç. Mekanizma Çizimleri</t>
  </si>
  <si>
    <t>12-B</t>
  </si>
  <si>
    <t>AMP MESLEKİ ALAN DERSLERİ TOPLAMI</t>
  </si>
  <si>
    <t>Koordinatörlük – Makine Bakım Onarım Dalı</t>
  </si>
  <si>
    <t>Koordinatörlük – Bil. Makine İmalatı Dalı</t>
  </si>
  <si>
    <t>KOORDİNATÖRLÜK TOPLAMI</t>
  </si>
  <si>
    <t>—</t>
  </si>
  <si>
    <t>Alan Şefliği Ders Yükü</t>
  </si>
  <si>
    <t>Makine Teknolojisi Alan Şefi</t>
  </si>
  <si>
    <t>Laboratuvar Atölyesi Şefliği Ders Yükü</t>
  </si>
  <si>
    <t>Laboratuvar Şefi</t>
  </si>
  <si>
    <t>İmalat Yöntemleri Atölyesi Şefliği</t>
  </si>
  <si>
    <t>İmalat Yöntemleri Atölye Şefi</t>
  </si>
  <si>
    <t>İmalat İşlemleri Atölyesi Şefliği</t>
  </si>
  <si>
    <t>İmalat İşlemleri Atölye Şefi</t>
  </si>
  <si>
    <t>ŞEFLİK DERS YÜKLERİ TOPLAMI</t>
  </si>
  <si>
    <t>SAAT</t>
  </si>
  <si>
    <t>Ali Osman KOÇ</t>
  </si>
  <si>
    <t xml:space="preserve">  12-A Sınıfı </t>
  </si>
  <si>
    <t xml:space="preserve">  9-A Sınıfı  </t>
  </si>
  <si>
    <t xml:space="preserve">  10-A Sınıfı  </t>
  </si>
  <si>
    <t xml:space="preserve">  11-A Sınıfı  </t>
  </si>
  <si>
    <t xml:space="preserve">  12-B Sınıfı </t>
  </si>
  <si>
    <t>Makine Ve Tasarım Teknolojisi Alan Şefi</t>
  </si>
  <si>
    <t xml:space="preserve">MAKİNE VE TASARIM TEKNOLOJİSİ ALANI 
2026-2027 EĞİTİM-ÖĞRETİM YILI  NORM KADRO HESABI  </t>
  </si>
  <si>
    <t xml:space="preserve">  GENEL TOPLAM DERS YÜKÜ  </t>
  </si>
  <si>
    <t>KOORDİNATÖRLÜK DERSLERİ  (AMP – 12. Sınıflar)</t>
  </si>
  <si>
    <t xml:space="preserve">ŞEFLİK DERS YÜKLERİ  </t>
  </si>
  <si>
    <t>Temel Elektrik</t>
  </si>
  <si>
    <t>NORM KADRO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</si>
</sst>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sz val="9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14"/>
      <name val="Times New Roman"/>
      <family val="1"/>
      <charset val="162"/>
    </font>
    <font>
      <b/>
      <sz val="18"/>
      <name val="Times New Roman"/>
      <family val="1"/>
      <charset val="16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rgb="FFE8D5F5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993366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3" borderId="0" xfId="0" applyFont="1" applyFill="1" applyAlignment="1"/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/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/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6" borderId="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9999FF"/>
      <rgbColor rgb="FF7030A0"/>
      <rgbColor rgb="FFFFF2CC"/>
      <rgbColor rgb="FFE2EFDA"/>
      <rgbColor rgb="FF4A0080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4B942"/>
      <rgbColor rgb="FFFF9900"/>
      <rgbColor rgb="FFC55A11"/>
      <rgbColor rgb="FF595959"/>
      <rgbColor rgb="FF969696"/>
      <rgbColor rgb="FF1F3864"/>
      <rgbColor rgb="FF339966"/>
      <rgbColor rgb="FF003300"/>
      <rgbColor rgb="FF1A3A0A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tabSelected="1" topLeftCell="A25" zoomScaleNormal="100" workbookViewId="0">
      <selection activeCell="M45" sqref="M45"/>
    </sheetView>
  </sheetViews>
  <sheetFormatPr defaultColWidth="8.7109375" defaultRowHeight="15" x14ac:dyDescent="0.25"/>
  <cols>
    <col min="1" max="1" width="4" style="22" customWidth="1"/>
    <col min="2" max="2" width="9" style="22" customWidth="1"/>
    <col min="3" max="3" width="12" style="22" customWidth="1"/>
    <col min="4" max="4" width="38.85546875" style="22" customWidth="1"/>
    <col min="5" max="5" width="13" style="22" customWidth="1"/>
    <col min="6" max="6" width="12" style="22" customWidth="1"/>
    <col min="7" max="7" width="14" style="22" customWidth="1"/>
    <col min="8" max="8" width="24.140625" style="22" customWidth="1"/>
    <col min="9" max="16384" width="8.7109375" style="1"/>
  </cols>
  <sheetData>
    <row r="1" spans="1:8" ht="21.7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</row>
    <row r="2" spans="1:8" ht="38.25" customHeight="1" x14ac:dyDescent="0.25">
      <c r="A2" s="37" t="s">
        <v>49</v>
      </c>
      <c r="B2" s="37"/>
      <c r="C2" s="37"/>
      <c r="D2" s="37"/>
      <c r="E2" s="37"/>
      <c r="F2" s="37"/>
      <c r="G2" s="37"/>
      <c r="H2" s="37"/>
    </row>
    <row r="3" spans="1:8" ht="26.25" customHeight="1" x14ac:dyDescent="0.25">
      <c r="A3" s="2"/>
      <c r="B3" s="2"/>
      <c r="C3" s="2"/>
      <c r="D3" s="2"/>
      <c r="E3" s="2"/>
      <c r="F3" s="2"/>
      <c r="G3" s="2"/>
      <c r="H3" s="2"/>
    </row>
    <row r="4" spans="1:8" ht="43.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15" customHeight="1" x14ac:dyDescent="0.25">
      <c r="A5" s="31" t="s">
        <v>44</v>
      </c>
      <c r="B5" s="31"/>
      <c r="C5" s="31"/>
      <c r="D5" s="31"/>
      <c r="E5" s="31"/>
      <c r="F5" s="31"/>
      <c r="G5" s="31"/>
      <c r="H5" s="33"/>
    </row>
    <row r="6" spans="1:8" ht="16.5" customHeight="1" x14ac:dyDescent="0.25">
      <c r="A6" s="4">
        <v>1</v>
      </c>
      <c r="B6" s="4" t="s">
        <v>9</v>
      </c>
      <c r="C6" s="24">
        <v>30</v>
      </c>
      <c r="D6" s="5" t="s">
        <v>10</v>
      </c>
      <c r="E6" s="4">
        <v>8</v>
      </c>
      <c r="F6" s="4">
        <v>2</v>
      </c>
      <c r="G6" s="6">
        <f>E6*F6</f>
        <v>16</v>
      </c>
      <c r="H6" s="7"/>
    </row>
    <row r="7" spans="1:8" ht="16.5" customHeight="1" x14ac:dyDescent="0.25">
      <c r="A7" s="4">
        <v>2</v>
      </c>
      <c r="B7" s="4" t="s">
        <v>9</v>
      </c>
      <c r="C7" s="25"/>
      <c r="D7" s="5" t="s">
        <v>11</v>
      </c>
      <c r="E7" s="4">
        <v>2</v>
      </c>
      <c r="F7" s="4">
        <v>2</v>
      </c>
      <c r="G7" s="6">
        <f>E7*F7</f>
        <v>4</v>
      </c>
      <c r="H7" s="7"/>
    </row>
    <row r="8" spans="1:8" ht="16.5" customHeight="1" x14ac:dyDescent="0.25">
      <c r="A8" s="4">
        <v>3</v>
      </c>
      <c r="B8" s="4" t="s">
        <v>9</v>
      </c>
      <c r="C8" s="26"/>
      <c r="D8" s="5" t="s">
        <v>12</v>
      </c>
      <c r="E8" s="4">
        <v>2</v>
      </c>
      <c r="F8" s="4">
        <v>2</v>
      </c>
      <c r="G8" s="6">
        <f>E8*F8</f>
        <v>4</v>
      </c>
      <c r="H8" s="7"/>
    </row>
    <row r="9" spans="1:8" ht="15" customHeight="1" x14ac:dyDescent="0.25">
      <c r="A9" s="31" t="s">
        <v>45</v>
      </c>
      <c r="B9" s="31"/>
      <c r="C9" s="31"/>
      <c r="D9" s="31"/>
      <c r="E9" s="31"/>
      <c r="F9" s="31"/>
      <c r="G9" s="31"/>
      <c r="H9" s="34"/>
    </row>
    <row r="10" spans="1:8" ht="24" customHeight="1" x14ac:dyDescent="0.25">
      <c r="A10" s="4">
        <v>4</v>
      </c>
      <c r="B10" s="4" t="s">
        <v>13</v>
      </c>
      <c r="C10" s="24">
        <v>27</v>
      </c>
      <c r="D10" s="5" t="s">
        <v>14</v>
      </c>
      <c r="E10" s="4">
        <v>6</v>
      </c>
      <c r="F10" s="4">
        <v>3</v>
      </c>
      <c r="G10" s="6">
        <f>E10*F10</f>
        <v>18</v>
      </c>
      <c r="H10" s="7"/>
    </row>
    <row r="11" spans="1:8" ht="16.5" customHeight="1" x14ac:dyDescent="0.25">
      <c r="A11" s="4">
        <v>5</v>
      </c>
      <c r="B11" s="4" t="s">
        <v>13</v>
      </c>
      <c r="C11" s="25"/>
      <c r="D11" s="5" t="s">
        <v>15</v>
      </c>
      <c r="E11" s="4">
        <v>3</v>
      </c>
      <c r="F11" s="4">
        <v>3</v>
      </c>
      <c r="G11" s="6">
        <f>E11*F11</f>
        <v>9</v>
      </c>
      <c r="H11" s="7"/>
    </row>
    <row r="12" spans="1:8" ht="16.5" customHeight="1" x14ac:dyDescent="0.25">
      <c r="A12" s="4">
        <v>6</v>
      </c>
      <c r="B12" s="4" t="s">
        <v>13</v>
      </c>
      <c r="C12" s="25"/>
      <c r="D12" s="5" t="s">
        <v>16</v>
      </c>
      <c r="E12" s="4">
        <v>2</v>
      </c>
      <c r="F12" s="4">
        <v>3</v>
      </c>
      <c r="G12" s="6">
        <f>E12*F12</f>
        <v>6</v>
      </c>
      <c r="H12" s="7"/>
    </row>
    <row r="13" spans="1:8" ht="16.5" customHeight="1" x14ac:dyDescent="0.25">
      <c r="A13" s="4">
        <v>7</v>
      </c>
      <c r="B13" s="4" t="s">
        <v>13</v>
      </c>
      <c r="C13" s="26"/>
      <c r="D13" s="5" t="s">
        <v>17</v>
      </c>
      <c r="E13" s="4">
        <v>2</v>
      </c>
      <c r="F13" s="4">
        <v>3</v>
      </c>
      <c r="G13" s="6">
        <f>E13*F13</f>
        <v>6</v>
      </c>
      <c r="H13" s="7"/>
    </row>
    <row r="14" spans="1:8" ht="15" customHeight="1" x14ac:dyDescent="0.25">
      <c r="A14" s="31" t="s">
        <v>46</v>
      </c>
      <c r="B14" s="31"/>
      <c r="C14" s="31"/>
      <c r="D14" s="31"/>
      <c r="E14" s="31"/>
      <c r="F14" s="31"/>
      <c r="G14" s="31"/>
      <c r="H14" s="32"/>
    </row>
    <row r="15" spans="1:8" x14ac:dyDescent="0.25">
      <c r="A15" s="4">
        <v>8</v>
      </c>
      <c r="B15" s="4" t="s">
        <v>18</v>
      </c>
      <c r="C15" s="24">
        <v>20</v>
      </c>
      <c r="D15" s="5" t="s">
        <v>19</v>
      </c>
      <c r="E15" s="4">
        <v>6</v>
      </c>
      <c r="F15" s="4">
        <v>2</v>
      </c>
      <c r="G15" s="8">
        <f t="shared" ref="G15:G18" si="0">E15*F15</f>
        <v>12</v>
      </c>
      <c r="H15" s="4"/>
    </row>
    <row r="16" spans="1:8" ht="16.5" customHeight="1" x14ac:dyDescent="0.25">
      <c r="A16" s="4">
        <v>9</v>
      </c>
      <c r="B16" s="4" t="s">
        <v>18</v>
      </c>
      <c r="C16" s="25"/>
      <c r="D16" s="5" t="s">
        <v>20</v>
      </c>
      <c r="E16" s="4">
        <v>6</v>
      </c>
      <c r="F16" s="4">
        <v>2</v>
      </c>
      <c r="G16" s="8">
        <f t="shared" si="0"/>
        <v>12</v>
      </c>
      <c r="H16" s="4"/>
    </row>
    <row r="17" spans="1:8" ht="16.5" customHeight="1" x14ac:dyDescent="0.25">
      <c r="A17" s="4">
        <v>10</v>
      </c>
      <c r="B17" s="4" t="s">
        <v>18</v>
      </c>
      <c r="C17" s="25"/>
      <c r="D17" s="5" t="s">
        <v>21</v>
      </c>
      <c r="E17" s="4">
        <v>3</v>
      </c>
      <c r="F17" s="4">
        <v>2</v>
      </c>
      <c r="G17" s="8">
        <f t="shared" si="0"/>
        <v>6</v>
      </c>
      <c r="H17" s="4"/>
    </row>
    <row r="18" spans="1:8" ht="16.5" customHeight="1" x14ac:dyDescent="0.25">
      <c r="A18" s="4">
        <v>11</v>
      </c>
      <c r="B18" s="4" t="s">
        <v>18</v>
      </c>
      <c r="C18" s="25"/>
      <c r="D18" s="5" t="s">
        <v>53</v>
      </c>
      <c r="E18" s="4">
        <v>2</v>
      </c>
      <c r="F18" s="4">
        <v>2</v>
      </c>
      <c r="G18" s="8">
        <f t="shared" si="0"/>
        <v>4</v>
      </c>
      <c r="H18" s="4"/>
    </row>
    <row r="19" spans="1:8" ht="15" customHeight="1" x14ac:dyDescent="0.25">
      <c r="A19" s="31" t="s">
        <v>43</v>
      </c>
      <c r="B19" s="31"/>
      <c r="C19" s="31"/>
      <c r="D19" s="31"/>
      <c r="E19" s="31"/>
      <c r="F19" s="31"/>
      <c r="G19" s="31"/>
      <c r="H19" s="33"/>
    </row>
    <row r="20" spans="1:8" ht="24" customHeight="1" x14ac:dyDescent="0.25">
      <c r="A20" s="4">
        <v>14</v>
      </c>
      <c r="B20" s="4" t="s">
        <v>22</v>
      </c>
      <c r="C20" s="24">
        <v>21</v>
      </c>
      <c r="D20" s="5" t="s">
        <v>23</v>
      </c>
      <c r="E20" s="4">
        <v>2</v>
      </c>
      <c r="F20" s="4">
        <v>2</v>
      </c>
      <c r="G20" s="6">
        <f>E20*F20</f>
        <v>4</v>
      </c>
      <c r="H20" s="7"/>
    </row>
    <row r="21" spans="1:8" ht="16.5" customHeight="1" x14ac:dyDescent="0.25">
      <c r="A21" s="4">
        <v>15</v>
      </c>
      <c r="B21" s="4" t="s">
        <v>22</v>
      </c>
      <c r="C21" s="25"/>
      <c r="D21" s="5" t="s">
        <v>24</v>
      </c>
      <c r="E21" s="4">
        <v>2</v>
      </c>
      <c r="F21" s="4">
        <v>2</v>
      </c>
      <c r="G21" s="6">
        <f>E21*F21</f>
        <v>4</v>
      </c>
      <c r="H21" s="7"/>
    </row>
    <row r="22" spans="1:8" ht="16.5" customHeight="1" x14ac:dyDescent="0.25">
      <c r="A22" s="4">
        <v>17</v>
      </c>
      <c r="B22" s="4" t="s">
        <v>22</v>
      </c>
      <c r="C22" s="26"/>
      <c r="D22" s="5" t="s">
        <v>25</v>
      </c>
      <c r="E22" s="4">
        <v>3</v>
      </c>
      <c r="F22" s="4">
        <v>2</v>
      </c>
      <c r="G22" s="6">
        <f>E22*F22</f>
        <v>6</v>
      </c>
      <c r="H22" s="7"/>
    </row>
    <row r="23" spans="1:8" ht="15" customHeight="1" x14ac:dyDescent="0.25">
      <c r="A23" s="31" t="s">
        <v>47</v>
      </c>
      <c r="B23" s="31"/>
      <c r="C23" s="31"/>
      <c r="D23" s="31"/>
      <c r="E23" s="31"/>
      <c r="F23" s="31"/>
      <c r="G23" s="31"/>
      <c r="H23" s="34"/>
    </row>
    <row r="24" spans="1:8" ht="24" customHeight="1" x14ac:dyDescent="0.25">
      <c r="A24" s="4">
        <v>18</v>
      </c>
      <c r="B24" s="4" t="s">
        <v>26</v>
      </c>
      <c r="C24" s="24">
        <v>14</v>
      </c>
      <c r="D24" s="5" t="s">
        <v>23</v>
      </c>
      <c r="E24" s="4">
        <v>2</v>
      </c>
      <c r="F24" s="4">
        <v>1</v>
      </c>
      <c r="G24" s="6">
        <f>E24*F24</f>
        <v>2</v>
      </c>
      <c r="H24" s="7"/>
    </row>
    <row r="25" spans="1:8" ht="16.5" customHeight="1" x14ac:dyDescent="0.25">
      <c r="A25" s="4">
        <v>20</v>
      </c>
      <c r="B25" s="4" t="s">
        <v>26</v>
      </c>
      <c r="C25" s="25"/>
      <c r="D25" s="5" t="s">
        <v>24</v>
      </c>
      <c r="E25" s="4">
        <v>2</v>
      </c>
      <c r="F25" s="4">
        <v>1</v>
      </c>
      <c r="G25" s="6">
        <f>E25*F25</f>
        <v>2</v>
      </c>
      <c r="H25" s="7"/>
    </row>
    <row r="26" spans="1:8" ht="16.5" customHeight="1" x14ac:dyDescent="0.25">
      <c r="A26" s="4">
        <v>21</v>
      </c>
      <c r="B26" s="4" t="s">
        <v>26</v>
      </c>
      <c r="C26" s="26"/>
      <c r="D26" s="5" t="s">
        <v>25</v>
      </c>
      <c r="E26" s="4">
        <v>3</v>
      </c>
      <c r="F26" s="4">
        <v>1</v>
      </c>
      <c r="G26" s="6">
        <f>E26*F26</f>
        <v>3</v>
      </c>
      <c r="H26" s="7"/>
    </row>
    <row r="27" spans="1:8" ht="21.75" customHeight="1" x14ac:dyDescent="0.25">
      <c r="A27" s="29" t="s">
        <v>27</v>
      </c>
      <c r="B27" s="29"/>
      <c r="C27" s="29"/>
      <c r="D27" s="29"/>
      <c r="E27" s="29"/>
      <c r="F27" s="29"/>
      <c r="G27" s="9">
        <f>G6+G7+G8+G10+G11+G12+G13+G15+G16+G17+G18+G20+G21+G22+G24+G25+G26</f>
        <v>118</v>
      </c>
      <c r="H27" s="10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ht="18" customHeight="1" x14ac:dyDescent="0.25">
      <c r="A29" s="35" t="s">
        <v>51</v>
      </c>
      <c r="B29" s="35"/>
      <c r="C29" s="35"/>
      <c r="D29" s="35"/>
      <c r="E29" s="35"/>
      <c r="F29" s="35"/>
      <c r="G29" s="35"/>
      <c r="H29" s="35"/>
    </row>
    <row r="30" spans="1:8" ht="16.5" customHeight="1" x14ac:dyDescent="0.25">
      <c r="A30" s="11">
        <v>20</v>
      </c>
      <c r="B30" s="11" t="s">
        <v>22</v>
      </c>
      <c r="C30" s="12">
        <v>21</v>
      </c>
      <c r="D30" s="13" t="s">
        <v>28</v>
      </c>
      <c r="E30" s="11">
        <v>24</v>
      </c>
      <c r="F30" s="11">
        <v>2</v>
      </c>
      <c r="G30" s="12">
        <f>E30*F30</f>
        <v>48</v>
      </c>
      <c r="H30" s="11"/>
    </row>
    <row r="31" spans="1:8" ht="16.5" customHeight="1" x14ac:dyDescent="0.25">
      <c r="A31" s="11">
        <v>21</v>
      </c>
      <c r="B31" s="11" t="s">
        <v>26</v>
      </c>
      <c r="C31" s="12">
        <v>14</v>
      </c>
      <c r="D31" s="13" t="s">
        <v>29</v>
      </c>
      <c r="E31" s="11">
        <v>24</v>
      </c>
      <c r="F31" s="11">
        <v>1</v>
      </c>
      <c r="G31" s="12">
        <f>E31*F31</f>
        <v>24</v>
      </c>
      <c r="H31" s="11"/>
    </row>
    <row r="32" spans="1:8" ht="21.75" customHeight="1" x14ac:dyDescent="0.25">
      <c r="A32" s="29" t="s">
        <v>30</v>
      </c>
      <c r="B32" s="29"/>
      <c r="C32" s="29"/>
      <c r="D32" s="29"/>
      <c r="E32" s="29"/>
      <c r="F32" s="29"/>
      <c r="G32" s="9">
        <f>G30+G31</f>
        <v>72</v>
      </c>
      <c r="H32" s="14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ht="18" customHeight="1" x14ac:dyDescent="0.25">
      <c r="A34" s="30" t="s">
        <v>52</v>
      </c>
      <c r="B34" s="30"/>
      <c r="C34" s="30"/>
      <c r="D34" s="30"/>
      <c r="E34" s="30"/>
      <c r="F34" s="30"/>
      <c r="G34" s="30"/>
      <c r="H34" s="30"/>
    </row>
    <row r="35" spans="1:8" x14ac:dyDescent="0.25">
      <c r="A35" s="15">
        <v>22</v>
      </c>
      <c r="B35" s="15" t="s">
        <v>31</v>
      </c>
      <c r="C35" s="15" t="s">
        <v>31</v>
      </c>
      <c r="D35" s="16" t="s">
        <v>32</v>
      </c>
      <c r="E35" s="15">
        <v>10</v>
      </c>
      <c r="F35" s="15">
        <v>1</v>
      </c>
      <c r="G35" s="17">
        <f>E35*F35</f>
        <v>10</v>
      </c>
      <c r="H35" s="15" t="s">
        <v>33</v>
      </c>
    </row>
    <row r="36" spans="1:8" ht="27.75" customHeight="1" x14ac:dyDescent="0.25">
      <c r="A36" s="15">
        <v>23</v>
      </c>
      <c r="B36" s="15" t="s">
        <v>31</v>
      </c>
      <c r="C36" s="15" t="s">
        <v>31</v>
      </c>
      <c r="D36" s="16" t="s">
        <v>34</v>
      </c>
      <c r="E36" s="15">
        <v>6</v>
      </c>
      <c r="F36" s="15">
        <v>1</v>
      </c>
      <c r="G36" s="17">
        <v>6</v>
      </c>
      <c r="H36" s="15" t="s">
        <v>35</v>
      </c>
    </row>
    <row r="37" spans="1:8" ht="30.75" customHeight="1" x14ac:dyDescent="0.25">
      <c r="A37" s="15">
        <v>24</v>
      </c>
      <c r="B37" s="15" t="s">
        <v>31</v>
      </c>
      <c r="C37" s="15" t="s">
        <v>31</v>
      </c>
      <c r="D37" s="16" t="s">
        <v>36</v>
      </c>
      <c r="E37" s="15">
        <v>6</v>
      </c>
      <c r="F37" s="15">
        <v>1</v>
      </c>
      <c r="G37" s="17">
        <v>6</v>
      </c>
      <c r="H37" s="15" t="s">
        <v>37</v>
      </c>
    </row>
    <row r="38" spans="1:8" x14ac:dyDescent="0.25">
      <c r="A38" s="15">
        <v>25</v>
      </c>
      <c r="B38" s="15" t="s">
        <v>31</v>
      </c>
      <c r="C38" s="15" t="s">
        <v>31</v>
      </c>
      <c r="D38" s="16" t="s">
        <v>38</v>
      </c>
      <c r="E38" s="15">
        <v>6</v>
      </c>
      <c r="F38" s="15">
        <v>1</v>
      </c>
      <c r="G38" s="17">
        <v>6</v>
      </c>
      <c r="H38" s="15" t="s">
        <v>39</v>
      </c>
    </row>
    <row r="39" spans="1:8" ht="21.75" customHeight="1" x14ac:dyDescent="0.25">
      <c r="A39" s="29" t="s">
        <v>40</v>
      </c>
      <c r="B39" s="29"/>
      <c r="C39" s="29"/>
      <c r="D39" s="29"/>
      <c r="E39" s="29"/>
      <c r="F39" s="29"/>
      <c r="G39" s="9">
        <f>G35+G36+G37+G38</f>
        <v>28</v>
      </c>
      <c r="H39" s="14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ht="36" customHeight="1" x14ac:dyDescent="0.25">
      <c r="A43" s="27" t="s">
        <v>50</v>
      </c>
      <c r="B43" s="27"/>
      <c r="C43" s="27"/>
      <c r="D43" s="27"/>
      <c r="E43" s="18">
        <f>G27+G32+G39</f>
        <v>218</v>
      </c>
      <c r="F43" s="19" t="s">
        <v>41</v>
      </c>
      <c r="G43" s="20" t="s">
        <v>54</v>
      </c>
      <c r="H43" s="21">
        <f>IF(E43&lt;=41,1,IF(E43&lt;=81,2,IF(E43&lt;=121,3,IF(E43&lt;=161,4,IF(E43&lt;=201,5,5+INT((E43-201)/40)+IF(MOD(E43-201,40)&gt;=20,1,0))))))</f>
        <v>5</v>
      </c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ht="108" customHeight="1" x14ac:dyDescent="0.25">
      <c r="A45" s="2"/>
      <c r="B45" s="2"/>
      <c r="C45" s="2"/>
      <c r="D45" s="2"/>
      <c r="E45" s="2"/>
      <c r="F45" s="2"/>
      <c r="G45" s="2"/>
      <c r="H45" s="2"/>
    </row>
    <row r="46" spans="1:8" ht="18" customHeight="1" x14ac:dyDescent="0.25">
      <c r="A46" s="2"/>
      <c r="B46" s="2"/>
      <c r="C46" s="2"/>
      <c r="D46" s="2"/>
      <c r="E46" s="28" t="s">
        <v>48</v>
      </c>
      <c r="F46" s="28"/>
      <c r="G46" s="28"/>
      <c r="H46" s="28"/>
    </row>
    <row r="47" spans="1:8" ht="19.5" customHeight="1" x14ac:dyDescent="0.25">
      <c r="A47" s="2"/>
      <c r="B47" s="2"/>
      <c r="C47" s="2"/>
      <c r="D47" s="2"/>
      <c r="E47" s="23" t="s">
        <v>42</v>
      </c>
      <c r="F47" s="23"/>
      <c r="G47" s="23"/>
      <c r="H47" s="23"/>
    </row>
  </sheetData>
  <mergeCells count="20">
    <mergeCell ref="A1:H1"/>
    <mergeCell ref="A2:H2"/>
    <mergeCell ref="A5:H5"/>
    <mergeCell ref="A9:H9"/>
    <mergeCell ref="E47:H47"/>
    <mergeCell ref="C10:C13"/>
    <mergeCell ref="C6:C8"/>
    <mergeCell ref="C15:C18"/>
    <mergeCell ref="C20:C22"/>
    <mergeCell ref="C24:C26"/>
    <mergeCell ref="A43:D43"/>
    <mergeCell ref="E46:H46"/>
    <mergeCell ref="A32:F32"/>
    <mergeCell ref="A34:H34"/>
    <mergeCell ref="A39:F39"/>
    <mergeCell ref="A14:H14"/>
    <mergeCell ref="A19:H19"/>
    <mergeCell ref="A23:H23"/>
    <mergeCell ref="A27:F27"/>
    <mergeCell ref="A29:H29"/>
  </mergeCells>
  <pageMargins left="0.75" right="0.75" top="1" bottom="1" header="0.511811023622047" footer="0.511811023622047"/>
  <pageSetup paperSize="9"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2026-2027 Norm Kadro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2026-08-05T11:01:48Z</cp:lastPrinted>
  <dcterms:created xsi:type="dcterms:W3CDTF">2026-08-05T10:25:48Z</dcterms:created>
  <dcterms:modified xsi:type="dcterms:W3CDTF">2026-08-29T11:24:58Z</dcterms:modified>
  <dc:language>en-US</dc:language>
</cp:coreProperties>
</file>