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kine Envant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b val="1"/>
      <color rgb="009C0006"/>
      <sz val="10"/>
    </font>
    <font>
      <name val="Arial"/>
      <b val="1"/>
      <sz val="1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5" customWidth="1" min="3" max="3"/>
    <col width="25" customWidth="1" min="4" max="4"/>
    <col width="20" customWidth="1" min="5" max="5"/>
    <col width="20" customWidth="1" min="6" max="6"/>
    <col width="15" customWidth="1" min="7" max="7"/>
    <col width="40" customWidth="1" min="8" max="8"/>
  </cols>
  <sheetData>
    <row r="1" ht="30" customHeight="1">
      <c r="A1" s="1" t="inlineStr">
        <is>
          <t>S.N</t>
        </is>
      </c>
      <c r="B1" s="1" t="inlineStr">
        <is>
          <t>LABORATUVAR/ATÖLYE</t>
        </is>
      </c>
      <c r="C1" s="1" t="inlineStr">
        <is>
          <t>MAKİNA ADI</t>
        </is>
      </c>
      <c r="D1" s="1" t="inlineStr">
        <is>
          <t>MARKA</t>
        </is>
      </c>
      <c r="E1" s="1" t="inlineStr">
        <is>
          <t>MODEL</t>
        </is>
      </c>
      <c r="F1" s="1" t="inlineStr">
        <is>
          <t>SERİ NO</t>
        </is>
      </c>
      <c r="G1" s="1" t="inlineStr">
        <is>
          <t>DURUM</t>
        </is>
      </c>
      <c r="H1" s="1" t="inlineStr">
        <is>
          <t>NOTLAR</t>
        </is>
      </c>
    </row>
    <row r="2" ht="35" customHeight="1">
      <c r="A2" s="2" t="n">
        <v>1</v>
      </c>
      <c r="B2" s="2" t="inlineStr">
        <is>
          <t>B1 - CAD-CAM ve CNC Simülasyon Lab.</t>
        </is>
      </c>
      <c r="C2" s="2" t="inlineStr">
        <is>
          <t>CNC ROUTER</t>
        </is>
      </c>
      <c r="D2" s="2" t="inlineStr">
        <is>
          <t>PRO SERİ CNC ROUTER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Çalışıyor</t>
        </is>
      </c>
      <c r="H2" s="2" t="inlineStr"/>
    </row>
    <row r="3" ht="35" customHeight="1">
      <c r="A3" s="2" t="n">
        <v>2</v>
      </c>
      <c r="B3" s="2" t="inlineStr">
        <is>
          <t>B1 - CAD-CAM ve CNC Simülasyon Lab.</t>
        </is>
      </c>
      <c r="C3" s="2" t="inlineStr">
        <is>
          <t>CNC FREZE</t>
        </is>
      </c>
      <c r="D3" s="2" t="inlineStr">
        <is>
          <t>GÜNGÖR MAKİNE MASA ÜSTÜ</t>
        </is>
      </c>
      <c r="E3" s="2" t="inlineStr">
        <is>
          <t>-</t>
        </is>
      </c>
      <c r="F3" s="2" t="inlineStr">
        <is>
          <t>2001-2008</t>
        </is>
      </c>
      <c r="G3" s="3" t="inlineStr">
        <is>
          <t>Çalışıyor</t>
        </is>
      </c>
      <c r="H3" s="2" t="inlineStr"/>
    </row>
    <row r="4" ht="35" customHeight="1">
      <c r="A4" s="2" t="n">
        <v>3</v>
      </c>
      <c r="B4" s="2" t="inlineStr">
        <is>
          <t>B1 - CAD-CAM ve CNC Simülasyon Lab.</t>
        </is>
      </c>
      <c r="C4" s="2" t="inlineStr">
        <is>
          <t>CNC TORNA TEZGAHI</t>
        </is>
      </c>
      <c r="D4" s="2" t="inlineStr">
        <is>
          <t>NG 400 G EDU</t>
        </is>
      </c>
      <c r="E4" s="2" t="inlineStr">
        <is>
          <t>-</t>
        </is>
      </c>
      <c r="F4" s="2" t="inlineStr">
        <is>
          <t>1001-2008</t>
        </is>
      </c>
      <c r="G4" s="3" t="inlineStr">
        <is>
          <t>Çalışıyor</t>
        </is>
      </c>
      <c r="H4" s="2" t="inlineStr"/>
    </row>
    <row r="5" ht="35" customHeight="1">
      <c r="A5" s="2" t="n">
        <v>4</v>
      </c>
      <c r="B5" s="2" t="inlineStr">
        <is>
          <t>B3 - İmalat İşlemleri Atölyesi</t>
        </is>
      </c>
      <c r="C5" s="2" t="inlineStr">
        <is>
          <t>FREZE TEZGAHI</t>
        </is>
      </c>
      <c r="D5" s="2" t="inlineStr">
        <is>
          <t>SMARC</t>
        </is>
      </c>
      <c r="E5" s="2" t="inlineStr">
        <is>
          <t>ZX6350ZA</t>
        </is>
      </c>
      <c r="F5" s="2" t="inlineStr">
        <is>
          <t>022</t>
        </is>
      </c>
      <c r="G5" s="3" t="inlineStr">
        <is>
          <t>Çalışıyor</t>
        </is>
      </c>
      <c r="H5" s="2" t="inlineStr">
        <is>
          <t>Üretim: 2012, 1500kg</t>
        </is>
      </c>
    </row>
    <row r="6" ht="35" customHeight="1">
      <c r="A6" s="2" t="n">
        <v>5</v>
      </c>
      <c r="B6" s="2" t="inlineStr">
        <is>
          <t>B3 - İmalat İşlemleri Atölyesi</t>
        </is>
      </c>
      <c r="C6" s="2" t="inlineStr">
        <is>
          <t>MATKAP FREZE</t>
        </is>
      </c>
      <c r="D6" s="2" t="inlineStr">
        <is>
          <t>JETCO</t>
        </is>
      </c>
      <c r="E6" s="2" t="inlineStr">
        <is>
          <t>JTM-3</t>
        </is>
      </c>
      <c r="F6" s="2" t="inlineStr">
        <is>
          <t>2M-32-912</t>
        </is>
      </c>
      <c r="G6" s="3" t="inlineStr">
        <is>
          <t>Çalışıyor</t>
        </is>
      </c>
      <c r="H6" s="2" t="inlineStr">
        <is>
          <t>Made in Taiwan, 1200kg</t>
        </is>
      </c>
    </row>
    <row r="7" ht="35" customHeight="1">
      <c r="A7" s="2" t="n">
        <v>6</v>
      </c>
      <c r="B7" s="2" t="inlineStr">
        <is>
          <t>B3 - İmalat İşlemleri Atölyesi</t>
        </is>
      </c>
      <c r="C7" s="2" t="inlineStr">
        <is>
          <t>BİLEME TAŞI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Çalışıyor</t>
        </is>
      </c>
      <c r="H7" s="2" t="inlineStr">
        <is>
          <t>Çift taraflı zımpara taşı</t>
        </is>
      </c>
    </row>
    <row r="8" ht="35" customHeight="1">
      <c r="A8" s="2" t="n">
        <v>7</v>
      </c>
      <c r="B8" s="2" t="inlineStr">
        <is>
          <t>B3 - İmalat İşlemleri Atölyesi</t>
        </is>
      </c>
      <c r="C8" s="2" t="inlineStr">
        <is>
          <t>ÜNİVERSAL TORNA TEZGAHI</t>
        </is>
      </c>
      <c r="D8" s="2" t="inlineStr">
        <is>
          <t>JETCO</t>
        </is>
      </c>
      <c r="E8" s="2" t="inlineStr">
        <is>
          <t>JML-3310</t>
        </is>
      </c>
      <c r="F8" s="2" t="inlineStr">
        <is>
          <t>2012020016</t>
        </is>
      </c>
      <c r="G8" s="3" t="inlineStr">
        <is>
          <t>Çalışıyor</t>
        </is>
      </c>
      <c r="H8" s="2" t="inlineStr">
        <is>
          <t>Made in China, 650kg, Üretim: 2012</t>
        </is>
      </c>
    </row>
    <row r="9" ht="35" customHeight="1">
      <c r="A9" s="2" t="n">
        <v>8</v>
      </c>
      <c r="B9" s="2" t="inlineStr">
        <is>
          <t>B3 - İmalat İşlemleri Atölyesi</t>
        </is>
      </c>
      <c r="C9" s="2" t="inlineStr">
        <is>
          <t>ÜNİVERSAL TORNA TEZGAHI</t>
        </is>
      </c>
      <c r="D9" s="2" t="inlineStr">
        <is>
          <t>JETCO</t>
        </is>
      </c>
      <c r="E9" s="2" t="inlineStr">
        <is>
          <t>JML-3310Y</t>
        </is>
      </c>
      <c r="F9" s="2" t="inlineStr">
        <is>
          <t>120771</t>
        </is>
      </c>
      <c r="G9" s="3" t="inlineStr">
        <is>
          <t>Çalışıyor</t>
        </is>
      </c>
      <c r="H9" s="2" t="inlineStr">
        <is>
          <t>Üretim: 04/2011</t>
        </is>
      </c>
    </row>
    <row r="10" ht="35" customHeight="1">
      <c r="A10" s="2" t="n">
        <v>9</v>
      </c>
      <c r="B10" s="2" t="inlineStr">
        <is>
          <t>B3 - İmalat İşlemleri Atölyesi</t>
        </is>
      </c>
      <c r="C10" s="2" t="inlineStr">
        <is>
          <t>ÜNİVERSAL TORNA TEZGAHI</t>
        </is>
      </c>
      <c r="D10" s="2" t="inlineStr">
        <is>
          <t>JETCO</t>
        </is>
      </c>
      <c r="E10" s="2" t="inlineStr">
        <is>
          <t>JML-3610Y</t>
        </is>
      </c>
      <c r="F10" s="2" t="inlineStr">
        <is>
          <t>320040</t>
        </is>
      </c>
      <c r="G10" s="3" t="inlineStr">
        <is>
          <t>Çalışıyor</t>
        </is>
      </c>
      <c r="H10" s="2" t="inlineStr">
        <is>
          <t>Üretim: 03/2013</t>
        </is>
      </c>
    </row>
    <row r="11" ht="35" customHeight="1">
      <c r="A11" s="2" t="n">
        <v>10</v>
      </c>
      <c r="B11" s="2" t="inlineStr">
        <is>
          <t>B3 - İmalat İşlemleri Atölyesi</t>
        </is>
      </c>
      <c r="C11" s="2" t="inlineStr">
        <is>
          <t>ÜNİVERSAL TORNA TEZGAHI</t>
        </is>
      </c>
      <c r="D11" s="2" t="inlineStr">
        <is>
          <t>JETCO</t>
        </is>
      </c>
      <c r="E11" s="2" t="inlineStr">
        <is>
          <t>JML-3610Y</t>
        </is>
      </c>
      <c r="F11" s="2" t="inlineStr">
        <is>
          <t>320043</t>
        </is>
      </c>
      <c r="G11" s="3" t="inlineStr">
        <is>
          <t>Çalışıyor</t>
        </is>
      </c>
      <c r="H11" s="2" t="inlineStr">
        <is>
          <t>Üretim: 03/2013</t>
        </is>
      </c>
    </row>
    <row r="12" ht="35" customHeight="1">
      <c r="A12" s="2" t="n">
        <v>11</v>
      </c>
      <c r="B12" s="2" t="inlineStr">
        <is>
          <t>B3 - İmalat İşlemleri Atölyesi</t>
        </is>
      </c>
      <c r="C12" s="2" t="inlineStr">
        <is>
          <t>ISIL İŞLEM FIRINI</t>
        </is>
      </c>
      <c r="D12" s="2" t="inlineStr">
        <is>
          <t>ELEKTRO-MAG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Çalışıyor</t>
        </is>
      </c>
      <c r="H12" s="2" t="inlineStr">
        <is>
          <t>Sertleştirme Fırını</t>
        </is>
      </c>
    </row>
    <row r="13" ht="35" customHeight="1">
      <c r="A13" s="2" t="n">
        <v>12</v>
      </c>
      <c r="B13" s="2" t="inlineStr">
        <is>
          <t>B3 - İmalat İşlemleri Atölyesi</t>
        </is>
      </c>
      <c r="C13" s="2" t="inlineStr">
        <is>
          <t>TESTERE</t>
        </is>
      </c>
      <c r="D13" s="2" t="inlineStr">
        <is>
          <t>EGE MAKİNA İZMİR</t>
        </is>
      </c>
      <c r="E13" s="2" t="inlineStr">
        <is>
          <t>-</t>
        </is>
      </c>
      <c r="F13" s="2" t="inlineStr">
        <is>
          <t>706037147</t>
        </is>
      </c>
      <c r="G13" s="3" t="inlineStr">
        <is>
          <t>Çalışıyor</t>
        </is>
      </c>
      <c r="H13" s="2" t="inlineStr">
        <is>
          <t>Şerit testere</t>
        </is>
      </c>
    </row>
    <row r="14" ht="35" customHeight="1">
      <c r="A14" s="2" t="n">
        <v>13</v>
      </c>
      <c r="B14" s="2" t="inlineStr">
        <is>
          <t>B3 - İmalat İşlemleri Atölyesi</t>
        </is>
      </c>
      <c r="C14" s="2" t="inlineStr">
        <is>
          <t>TESTERE</t>
        </is>
      </c>
      <c r="D14" s="2" t="inlineStr">
        <is>
          <t>JETCO</t>
        </is>
      </c>
      <c r="E14" s="2" t="inlineStr">
        <is>
          <t>JBS180T</t>
        </is>
      </c>
      <c r="F14" s="2" t="inlineStr">
        <is>
          <t>47I0767</t>
        </is>
      </c>
      <c r="G14" s="3" t="inlineStr">
        <is>
          <t>Çalışıyor</t>
        </is>
      </c>
      <c r="H14" s="2" t="inlineStr">
        <is>
          <t>Made in Taiwan, 140kg, Üretim: 2010</t>
        </is>
      </c>
    </row>
    <row r="15" ht="35" customHeight="1">
      <c r="A15" s="2" t="n">
        <v>14</v>
      </c>
      <c r="B15" s="2" t="inlineStr">
        <is>
          <t>B3 - İmalat İşlemleri Atölyesi</t>
        </is>
      </c>
      <c r="C15" s="2" t="inlineStr">
        <is>
          <t>CNC TORNA TEZGAHI</t>
        </is>
      </c>
      <c r="D15" s="2" t="inlineStr">
        <is>
          <t>ECOCA / BORSAN</t>
        </is>
      </c>
      <c r="E15" s="2" t="inlineStr">
        <is>
          <t>SL-8</t>
        </is>
      </c>
      <c r="F15" s="2" t="inlineStr">
        <is>
          <t>1 TACO 170</t>
        </is>
      </c>
      <c r="G15" s="3" t="inlineStr">
        <is>
          <t>Çalışıyor</t>
        </is>
      </c>
      <c r="H15" s="2" t="inlineStr">
        <is>
          <t>Made in Taiwan, Üretim: 2014</t>
        </is>
      </c>
    </row>
    <row r="16" ht="35" customHeight="1">
      <c r="A16" s="2" t="n">
        <v>15</v>
      </c>
      <c r="B16" s="2" t="inlineStr">
        <is>
          <t>B3 - İmalat İşlemleri Atölyesi</t>
        </is>
      </c>
      <c r="C16" s="2" t="inlineStr">
        <is>
          <t>MATKAP TEZGAHI</t>
        </is>
      </c>
      <c r="D16" s="2" t="inlineStr">
        <is>
          <t>ŞAHİN / CHİRON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Çalışıyor</t>
        </is>
      </c>
      <c r="H16" s="2" t="inlineStr">
        <is>
          <t>32mm, 1400 dev/dk, 1.5 Hp, Chiron bağışı</t>
        </is>
      </c>
    </row>
    <row r="17" ht="35" customHeight="1">
      <c r="A17" s="2" t="n">
        <v>16</v>
      </c>
      <c r="B17" s="2" t="inlineStr">
        <is>
          <t>B4 - İmalat Yöntemleri Atölyesi</t>
        </is>
      </c>
      <c r="C17" s="2" t="inlineStr">
        <is>
          <t>YÜZEY TAŞLAMA TEZGAHI</t>
        </is>
      </c>
      <c r="D17" s="2" t="inlineStr">
        <is>
          <t>TAKSAN</t>
        </is>
      </c>
      <c r="E17" s="2" t="inlineStr">
        <is>
          <t>BPH 320 A</t>
        </is>
      </c>
      <c r="F17" s="2" t="inlineStr">
        <is>
          <t>052</t>
        </is>
      </c>
      <c r="G17" s="4" t="inlineStr">
        <is>
          <t>ARIZALI</t>
        </is>
      </c>
      <c r="H17" s="2" t="inlineStr">
        <is>
          <t>Üretim: 1990, 86kg - Çalışmıyor</t>
        </is>
      </c>
    </row>
    <row r="18" ht="35" customHeight="1">
      <c r="A18" s="2" t="n">
        <v>17</v>
      </c>
      <c r="B18" s="2" t="inlineStr">
        <is>
          <t>B4 - İmalat Yöntemleri Atölyesi</t>
        </is>
      </c>
      <c r="C18" s="2" t="inlineStr">
        <is>
          <t>SİLİNDİRİK TAŞLAMA TEZGAHI</t>
        </is>
      </c>
      <c r="D18" s="2" t="inlineStr">
        <is>
          <t>TAKSAN</t>
        </is>
      </c>
      <c r="E18" s="2" t="inlineStr">
        <is>
          <t>BU 28/1000</t>
        </is>
      </c>
      <c r="F18" s="2" t="inlineStr">
        <is>
          <t>106701</t>
        </is>
      </c>
      <c r="G18" s="4" t="inlineStr">
        <is>
          <t>ARIZALI</t>
        </is>
      </c>
      <c r="H18" s="2" t="inlineStr">
        <is>
          <t>Ağırlık: 2450kg, Envanter No: B258 - Çalışmıyor</t>
        </is>
      </c>
    </row>
    <row r="19" ht="35" customHeight="1">
      <c r="A19" s="2" t="n">
        <v>18</v>
      </c>
      <c r="B19" s="2" t="inlineStr">
        <is>
          <t>B4 - İmalat Yöntemleri Atölyesi</t>
        </is>
      </c>
      <c r="C19" s="2" t="inlineStr">
        <is>
          <t>ÜNİVERSAL TORNA TEZGAHI</t>
        </is>
      </c>
      <c r="D19" s="2" t="inlineStr">
        <is>
          <t>TRENS</t>
        </is>
      </c>
      <c r="E19" s="2" t="inlineStr">
        <is>
          <t>SN 50 C/1000</t>
        </is>
      </c>
      <c r="F19" s="2" t="inlineStr">
        <is>
          <t>0473</t>
        </is>
      </c>
      <c r="G19" s="3" t="inlineStr">
        <is>
          <t>Çalışıyor</t>
        </is>
      </c>
      <c r="H19" s="2" t="inlineStr">
        <is>
          <t>Made in Slovakia, Üretim: 2005</t>
        </is>
      </c>
    </row>
    <row r="20" ht="35" customHeight="1">
      <c r="A20" s="2" t="n">
        <v>19</v>
      </c>
      <c r="B20" s="2" t="inlineStr">
        <is>
          <t>B4 - İmalat Yöntemleri Atölyesi</t>
        </is>
      </c>
      <c r="C20" s="2" t="inlineStr">
        <is>
          <t>HİDROLİK PNÖMATİK EĞİTİM SETİ</t>
        </is>
      </c>
      <c r="D20" s="2" t="inlineStr">
        <is>
          <t>MODÜL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Çalışıyor</t>
        </is>
      </c>
      <c r="H20" s="2" t="inlineStr">
        <is>
          <t>Elektrik/Elektronik Eğitim Paneli</t>
        </is>
      </c>
    </row>
    <row r="21" ht="35" customHeight="1">
      <c r="A21" s="2" t="n">
        <v>20</v>
      </c>
      <c r="B21" s="2" t="inlineStr">
        <is>
          <t>B4 - İmalat Yöntemleri Atölyesi</t>
        </is>
      </c>
      <c r="C21" s="2" t="inlineStr">
        <is>
          <t>OTOMATİK KUMANDA EĞİTİM SETİ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3" t="inlineStr">
        <is>
          <t>Çalışıyor</t>
        </is>
      </c>
      <c r="H21" s="2" t="inlineStr">
        <is>
          <t>Kocaeli Anadolu Teknik Lisesi Bağışı - 2004</t>
        </is>
      </c>
    </row>
    <row r="22" ht="35" customHeight="1">
      <c r="A22" s="2" t="n">
        <v>21</v>
      </c>
      <c r="B22" s="2" t="inlineStr">
        <is>
          <t>B4 - İmalat Yöntemleri Atölyesi</t>
        </is>
      </c>
      <c r="C22" s="2" t="inlineStr">
        <is>
          <t>MATKAP TEZGAHI</t>
        </is>
      </c>
      <c r="D22" s="2" t="inlineStr">
        <is>
          <t>FRITZ WERNER</t>
        </is>
      </c>
      <c r="E22" s="2" t="inlineStr">
        <is>
          <t>-</t>
        </is>
      </c>
      <c r="F22" s="2" t="inlineStr">
        <is>
          <t>-</t>
        </is>
      </c>
      <c r="G22" s="4" t="inlineStr">
        <is>
          <t>ARIZALI</t>
        </is>
      </c>
      <c r="H22" s="2" t="inlineStr">
        <is>
          <t>Almanya menşeili - Çalışmıyor</t>
        </is>
      </c>
    </row>
    <row r="23" ht="35" customHeight="1">
      <c r="A23" s="2" t="n">
        <v>22</v>
      </c>
      <c r="B23" s="2" t="inlineStr">
        <is>
          <t>B4 - İmalat Yöntemleri Atölyesi</t>
        </is>
      </c>
      <c r="C23" s="2" t="inlineStr">
        <is>
          <t>ŞERİT TESTERE</t>
        </is>
      </c>
      <c r="D23" s="2" t="inlineStr">
        <is>
          <t>BUMER</t>
        </is>
      </c>
      <c r="E23" s="2" t="inlineStr">
        <is>
          <t>GAML16-6</t>
        </is>
      </c>
      <c r="F23" s="2" t="inlineStr">
        <is>
          <t>-</t>
        </is>
      </c>
      <c r="G23" s="4" t="inlineStr">
        <is>
          <t>ARIZALI</t>
        </is>
      </c>
      <c r="H23" s="2" t="inlineStr">
        <is>
          <t>Üretim: 1993 - Çalışmıyor</t>
        </is>
      </c>
    </row>
    <row r="24" ht="35" customHeight="1">
      <c r="A24" s="2" t="n">
        <v>23</v>
      </c>
      <c r="B24" s="2" t="inlineStr">
        <is>
          <t>B4 - İmalat Yöntemleri Atölyesi</t>
        </is>
      </c>
      <c r="C24" s="2" t="inlineStr">
        <is>
          <t>BİLEME TAŞI</t>
        </is>
      </c>
      <c r="D24" s="2" t="inlineStr">
        <is>
          <t>MERAM TEKNİK LİSESİ</t>
        </is>
      </c>
      <c r="E24" s="2" t="inlineStr">
        <is>
          <t>-</t>
        </is>
      </c>
      <c r="F24" s="2" t="inlineStr">
        <is>
          <t>B48</t>
        </is>
      </c>
      <c r="G24" s="3" t="inlineStr">
        <is>
          <t>Çalışıyor</t>
        </is>
      </c>
      <c r="H24" s="2" t="inlineStr">
        <is>
          <t>Üretim: 1994, Konya, 0.75kW, 2800 d/dk</t>
        </is>
      </c>
    </row>
    <row r="25" ht="35" customHeight="1">
      <c r="A25" s="2" t="n">
        <v>24</v>
      </c>
      <c r="B25" s="2" t="inlineStr">
        <is>
          <t>B4 - İmalat Yöntemleri Atölyesi</t>
        </is>
      </c>
      <c r="C25" s="2" t="inlineStr">
        <is>
          <t>ÜNİVERSAL TORNA TEZGAHI</t>
        </is>
      </c>
      <c r="D25" s="2" t="inlineStr">
        <is>
          <t>MAS</t>
        </is>
      </c>
      <c r="E25" s="2" t="inlineStr">
        <is>
          <t>165 S</t>
        </is>
      </c>
      <c r="F25" s="2" t="inlineStr">
        <is>
          <t>-</t>
        </is>
      </c>
      <c r="G25" s="3" t="inlineStr">
        <is>
          <t>Çalışıyor</t>
        </is>
      </c>
      <c r="H25" s="2" t="inlineStr">
        <is>
          <t>Dijital göstergeli (1)</t>
        </is>
      </c>
    </row>
    <row r="26" ht="35" customHeight="1">
      <c r="A26" s="2" t="n">
        <v>25</v>
      </c>
      <c r="B26" s="2" t="inlineStr">
        <is>
          <t>B4 - İmalat Yöntemleri Atölyesi</t>
        </is>
      </c>
      <c r="C26" s="2" t="inlineStr">
        <is>
          <t>ÜNİVERSAL TORNA TEZGAHI</t>
        </is>
      </c>
      <c r="D26" s="2" t="inlineStr">
        <is>
          <t>MAS</t>
        </is>
      </c>
      <c r="E26" s="2" t="inlineStr">
        <is>
          <t>165 S</t>
        </is>
      </c>
      <c r="F26" s="2" t="inlineStr">
        <is>
          <t>-</t>
        </is>
      </c>
      <c r="G26" s="3" t="inlineStr">
        <is>
          <t>Çalışıyor</t>
        </is>
      </c>
      <c r="H26" s="2" t="inlineStr">
        <is>
          <t>Dijital göstergeli (2)</t>
        </is>
      </c>
    </row>
    <row r="27" ht="35" customHeight="1">
      <c r="A27" s="2" t="n">
        <v>26</v>
      </c>
      <c r="B27" s="2" t="inlineStr">
        <is>
          <t>B4 - İmalat Yöntemleri Atölyesi</t>
        </is>
      </c>
      <c r="C27" s="2" t="inlineStr">
        <is>
          <t>ÜNİVERSAL TORNA TEZGAHI</t>
        </is>
      </c>
      <c r="D27" s="2" t="inlineStr">
        <is>
          <t>MAS</t>
        </is>
      </c>
      <c r="E27" s="2" t="inlineStr">
        <is>
          <t>165 S</t>
        </is>
      </c>
      <c r="F27" s="2" t="inlineStr">
        <is>
          <t>-</t>
        </is>
      </c>
      <c r="G27" s="3" t="inlineStr">
        <is>
          <t>Çalışıyor</t>
        </is>
      </c>
      <c r="H27" s="2" t="inlineStr">
        <is>
          <t>Dijital göstergeli (3)</t>
        </is>
      </c>
    </row>
    <row r="28" ht="35" customHeight="1">
      <c r="A28" s="2" t="n">
        <v>27</v>
      </c>
      <c r="B28" s="2" t="inlineStr">
        <is>
          <t>B4 - İmalat Yöntemleri Atölyesi</t>
        </is>
      </c>
      <c r="C28" s="2" t="inlineStr">
        <is>
          <t>ALET TAŞLAMA MAKİNESİ</t>
        </is>
      </c>
      <c r="D28" s="2" t="inlineStr">
        <is>
          <t>GÜNGÖR / KRASINÇ</t>
        </is>
      </c>
      <c r="E28" s="2" t="inlineStr">
        <is>
          <t>MY-30</t>
        </is>
      </c>
      <c r="F28" s="2" t="inlineStr">
        <is>
          <t>-</t>
        </is>
      </c>
      <c r="G28" s="4" t="inlineStr">
        <is>
          <t>ARIZALI</t>
        </is>
      </c>
      <c r="H28" s="2" t="inlineStr">
        <is>
          <t>Takım bileme makinesi - Çalışmıyor</t>
        </is>
      </c>
    </row>
    <row r="29" ht="35" customHeight="1">
      <c r="A29" s="2" t="n">
        <v>28</v>
      </c>
      <c r="B29" s="2" t="inlineStr">
        <is>
          <t>B4 - İmalat Yöntemleri Atölyesi</t>
        </is>
      </c>
      <c r="C29" s="2" t="inlineStr">
        <is>
          <t>FREZE TEZGAHI</t>
        </is>
      </c>
      <c r="D29" s="2" t="inlineStr">
        <is>
          <t>TAKSAN</t>
        </is>
      </c>
      <c r="E29" s="2" t="inlineStr">
        <is>
          <t>FU 400 V/2</t>
        </is>
      </c>
      <c r="F29" s="2" t="inlineStr">
        <is>
          <t>-</t>
        </is>
      </c>
      <c r="G29" s="4" t="inlineStr">
        <is>
          <t>ARIZALI</t>
        </is>
      </c>
      <c r="H29" s="2" t="inlineStr">
        <is>
          <t>Universal Freze, 2350kg - Çalışmıyor</t>
        </is>
      </c>
    </row>
    <row r="30" ht="35" customHeight="1">
      <c r="A30" s="2" t="n">
        <v>29</v>
      </c>
      <c r="B30" s="2" t="inlineStr">
        <is>
          <t>B4 - İmalat Yöntemleri Atölyesi</t>
        </is>
      </c>
      <c r="C30" s="2" t="inlineStr">
        <is>
          <t>MATKAP TEZGAHI</t>
        </is>
      </c>
      <c r="D30" s="2" t="inlineStr">
        <is>
          <t>TEZSAN</t>
        </is>
      </c>
      <c r="E30" s="2" t="inlineStr">
        <is>
          <t>M35 ES</t>
        </is>
      </c>
      <c r="F30" s="2" t="inlineStr">
        <is>
          <t>25104093</t>
        </is>
      </c>
      <c r="G30" s="3" t="inlineStr">
        <is>
          <t>Çalışıyor</t>
        </is>
      </c>
      <c r="H30" s="2" t="inlineStr">
        <is>
          <t>Çayırova-Gebze, Üretim: 1990</t>
        </is>
      </c>
    </row>
    <row r="31" ht="35" customHeight="1">
      <c r="A31" s="2" t="n">
        <v>30</v>
      </c>
      <c r="B31" s="2" t="inlineStr">
        <is>
          <t>B4 - İmalat Yöntemleri Atölyesi</t>
        </is>
      </c>
      <c r="C31" s="2" t="inlineStr">
        <is>
          <t>MATKAP TEZGAHI</t>
        </is>
      </c>
      <c r="D31" s="2" t="inlineStr">
        <is>
          <t>-</t>
        </is>
      </c>
      <c r="E31" s="2" t="inlineStr">
        <is>
          <t>-</t>
        </is>
      </c>
      <c r="F31" s="2" t="inlineStr">
        <is>
          <t>-</t>
        </is>
      </c>
      <c r="G31" s="3" t="inlineStr">
        <is>
          <t>Çalışıyor</t>
        </is>
      </c>
      <c r="H31" s="2" t="inlineStr">
        <is>
          <t>Tezgah tipi kolonlu matkap</t>
        </is>
      </c>
    </row>
    <row r="33">
      <c r="A33" s="5" t="inlineStr">
        <is>
          <t>ÖZET</t>
        </is>
      </c>
    </row>
    <row r="34">
      <c r="A34" t="inlineStr">
        <is>
          <t>Toplam Makine:</t>
        </is>
      </c>
      <c r="B34" s="6">
        <f>COUNTA(A2:A31)</f>
        <v/>
      </c>
    </row>
    <row r="35">
      <c r="A35" t="inlineStr">
        <is>
          <t>Çalışan:</t>
        </is>
      </c>
      <c r="B35" s="7">
        <f>COUNTIF(G2:G31,"Çalışıyor")</f>
        <v/>
      </c>
    </row>
    <row r="36">
      <c r="A36" t="inlineStr">
        <is>
          <t>Arızalı:</t>
        </is>
      </c>
      <c r="B36" s="8">
        <f>COUNTIF(G2:G31,"ARIZALI")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2026-02-02T13:51:29Z</dcterms:created>
  <dcterms:modified xmlns:dcterms="http://purl.org/dc/terms/" xmlns:xsi="http://www.w3.org/2001/XMLSchema-instance" xsi:type="dcterms:W3CDTF">2026-02-02T13:51:29Z</dcterms:modified>
</cp:coreProperties>
</file>