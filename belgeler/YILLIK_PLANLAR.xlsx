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8.xml.rels" ContentType="application/vnd.openxmlformats-package.relationships+xml"/>
  <Override PartName="/xl/drawings/_rels/drawing17.xml.rels" ContentType="application/vnd.openxmlformats-package.relationships+xml"/>
  <Override PartName="/xl/drawings/_rels/drawing2.xml.rels" ContentType="application/vnd.openxmlformats-package.relationships+xml"/>
  <Override PartName="/xl/drawings/_rels/drawing7.xml.rels" ContentType="application/vnd.openxmlformats-package.relationships+xml"/>
  <Override PartName="/xl/drawings/_rels/drawing16.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13.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4.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19.xml.rels" ContentType="application/vnd.openxmlformats-package.relationships+xml"/>
  <Override PartName="/xl/drawings/_rels/drawing1.xml.rels" ContentType="application/vnd.openxmlformats-package.relationships+xml"/>
  <Override PartName="/xl/drawings/_rels/drawing5.xml.rels" ContentType="application/vnd.openxmlformats-package.relationships+xml"/>
  <Override PartName="/xl/drawings/_rels/drawing10.xml.rels" ContentType="application/vnd.openxmlformats-package.relationships+xml"/>
  <Override PartName="/xl/drawings/_rels/drawing15.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KVİM" sheetId="1" state="visible" r:id="rId3"/>
    <sheet name="TEMEL İMALAT İŞLEM AMP 9A" sheetId="2" state="visible" r:id="rId4"/>
    <sheet name="MESLEKİ GELİŞİM AT AMP 9A" sheetId="3" state="visible" r:id="rId5"/>
    <sheet name="TEKNİK RESİM AMP 9A" sheetId="4" state="visible" r:id="rId6"/>
    <sheet name="ÖLÇME VE KONTROL AMP 10-A" sheetId="5" state="visible" r:id="rId7"/>
    <sheet name="BAKIM ONARIM MESLE AMP 10-A" sheetId="6" state="visible" r:id="rId8"/>
    <sheet name="İMALAT YÖNTEMLERİ AMP 10-A" sheetId="7" state="visible" r:id="rId9"/>
    <sheet name="MALZEME BİLGİSİ AMP 10-A" sheetId="8" state="visible" r:id="rId10"/>
    <sheet name="SOSYAL MEDYA AMP 11-A" sheetId="9" state="visible" r:id="rId11"/>
    <sheet name="WEB UYGULAMALARI AMP 11-A" sheetId="10" state="visible" r:id="rId12"/>
    <sheet name="TEMEL ELEKTRİK BİL AMP 11-A" sheetId="11" state="visible" r:id="rId13"/>
    <sheet name="MEKANİK BAKIM ONAR AMP 11-A" sheetId="12" state="visible" r:id="rId14"/>
    <sheet name="MEKANİZMALAR AMP 11-A" sheetId="13" state="visible" r:id="rId15"/>
    <sheet name="OTOMATİK KONTROL S AMP 11-A" sheetId="14" state="visible" r:id="rId16"/>
    <sheet name="CNC TEZGÂHLARINDA  AMP 11-A" sheetId="15" state="visible" r:id="rId17"/>
    <sheet name="DİJİTAL TASARIM AMP 11-A" sheetId="16" state="visible" r:id="rId18"/>
    <sheet name="KALIPLAMA TEKNİĞİ AMP 11-A" sheetId="17" state="visible" r:id="rId19"/>
    <sheet name="MEKANİZMA ÇİZİMLER AMP 12-A" sheetId="18" state="visible" r:id="rId20"/>
    <sheet name="HİDROLİK-PNÖMATİK AMP 12-A" sheetId="19" state="visible" r:id="rId21"/>
    <sheet name="MAKİNE ELEMANLARI AMP 12-A" sheetId="20" state="visible" r:id="rId22"/>
  </sheets>
  <definedNames>
    <definedName function="false" hidden="false" localSheetId="5" name="_xlnm.Print_Area" vbProcedure="false">'BAKIM ONARIM MESLE AMP 10-A'!$A$1:$AE$93</definedName>
    <definedName function="false" hidden="false" localSheetId="5" name="_xlnm.Print_Titles" vbProcedure="false">'BAKIM ONARIM MESLE AMP 10-A'!$37:$37</definedName>
    <definedName function="false" hidden="false" localSheetId="14" name="_xlnm.Print_Area" vbProcedure="false">'CNC TEZGÂHLARINDA  AMP 11-A'!$A$1:$AE$93</definedName>
    <definedName function="false" hidden="false" localSheetId="14" name="_xlnm.Print_Titles" vbProcedure="false">'CNC TEZGÂHLARINDA  AMP 11-A'!$37:$37</definedName>
    <definedName function="false" hidden="false" localSheetId="15" name="_xlnm.Print_Area" vbProcedure="false">'DİJİTAL TASARIM AMP 11-A'!$A$1:$AE$93</definedName>
    <definedName function="false" hidden="false" localSheetId="15" name="_xlnm.Print_Titles" vbProcedure="false">'DİJİTAL TASARIM AMP 11-A'!$37:$37</definedName>
    <definedName function="false" hidden="false" localSheetId="18" name="_xlnm.Print_Area" vbProcedure="false">'HİDROLİK-PNÖMATİK AMP 12-A'!$A$1:$AE$93</definedName>
    <definedName function="false" hidden="false" localSheetId="18" name="_xlnm.Print_Titles" vbProcedure="false">'HİDROLİK-PNÖMATİK AMP 12-A'!$37:$37</definedName>
    <definedName function="false" hidden="false" localSheetId="6" name="_xlnm.Print_Area" vbProcedure="false">'İMALAT YÖNTEMLERİ AMP 10-A'!$A$1:$AE$93</definedName>
    <definedName function="false" hidden="false" localSheetId="6" name="_xlnm.Print_Titles" vbProcedure="false">'İMALAT YÖNTEMLERİ AMP 10-A'!$37:$37</definedName>
    <definedName function="false" hidden="false" localSheetId="16" name="_xlnm.Print_Area" vbProcedure="false">'KALIPLAMA TEKNİĞİ AMP 11-A'!$A$1:$AE$93</definedName>
    <definedName function="false" hidden="false" localSheetId="16" name="_xlnm.Print_Titles" vbProcedure="false">'KALIPLAMA TEKNİĞİ AMP 11-A'!$37:$37</definedName>
    <definedName function="false" hidden="false" localSheetId="19" name="_xlnm.Print_Area" vbProcedure="false">'MAKİNE ELEMANLARI AMP 12-A'!$A$1:$AE$93</definedName>
    <definedName function="false" hidden="false" localSheetId="19" name="_xlnm.Print_Titles" vbProcedure="false">'MAKİNE ELEMANLARI AMP 12-A'!$37:$37</definedName>
    <definedName function="false" hidden="false" localSheetId="7" name="_xlnm.Print_Area" vbProcedure="false">'MALZEME BİLGİSİ AMP 10-A'!$A$1:$AE$93</definedName>
    <definedName function="false" hidden="false" localSheetId="7" name="_xlnm.Print_Titles" vbProcedure="false">'MALZEME BİLGİSİ AMP 10-A'!$37:$37</definedName>
    <definedName function="false" hidden="false" localSheetId="11" name="_xlnm.Print_Area" vbProcedure="false">'MEKANİK BAKIM ONAR AMP 11-A'!$A$1:$AE$93</definedName>
    <definedName function="false" hidden="false" localSheetId="11" name="_xlnm.Print_Titles" vbProcedure="false">'MEKANİK BAKIM ONAR AMP 11-A'!$37:$37</definedName>
    <definedName function="false" hidden="false" localSheetId="17" name="_xlnm.Print_Area" vbProcedure="false">'MEKANİZMA ÇİZİMLER AMP 12-A'!$A$1:$AE$93</definedName>
    <definedName function="false" hidden="false" localSheetId="17" name="_xlnm.Print_Titles" vbProcedure="false">'MEKANİZMA ÇİZİMLER AMP 12-A'!$37:$37</definedName>
    <definedName function="false" hidden="false" localSheetId="12" name="_xlnm.Print_Area" vbProcedure="false">'MEKANİZMALAR AMP 11-A'!$A$1:$AE$93</definedName>
    <definedName function="false" hidden="false" localSheetId="12" name="_xlnm.Print_Titles" vbProcedure="false">'MEKANİZMALAR AMP 11-A'!$37:$37</definedName>
    <definedName function="false" hidden="false" localSheetId="2" name="_xlnm.Print_Area" vbProcedure="false">'MESLEKİ GELİŞİM AT AMP 9A'!$A$1:$AE$93</definedName>
    <definedName function="false" hidden="false" localSheetId="2" name="_xlnm.Print_Titles" vbProcedure="false">'MESLEKİ GELİŞİM AT AMP 9A'!$37:$37</definedName>
    <definedName function="false" hidden="false" localSheetId="4" name="_xlnm.Print_Area" vbProcedure="false">'ÖLÇME VE KONTROL AMP 10-A'!$A$1:$AE$93</definedName>
    <definedName function="false" hidden="false" localSheetId="4" name="_xlnm.Print_Titles" vbProcedure="false">'ÖLÇME VE KONTROL AMP 10-A'!$37:$37</definedName>
    <definedName function="false" hidden="false" localSheetId="13" name="_xlnm.Print_Area" vbProcedure="false">'OTOMATİK KONTROL S AMP 11-A'!$A$1:$AE$93</definedName>
    <definedName function="false" hidden="false" localSheetId="13" name="_xlnm.Print_Titles" vbProcedure="false">'OTOMATİK KONTROL S AMP 11-A'!$37:$37</definedName>
    <definedName function="false" hidden="false" localSheetId="8" name="_xlnm.Print_Area" vbProcedure="false">'SOSYAL MEDYA AMP 11-A'!$A$1:$AE$93</definedName>
    <definedName function="false" hidden="false" localSheetId="8" name="_xlnm.Print_Titles" vbProcedure="false">'SOSYAL MEDYA AMP 11-A'!$37:$37</definedName>
    <definedName function="false" hidden="false" localSheetId="3" name="_xlnm.Print_Area" vbProcedure="false">'TEKNİK RESİM AMP 9A'!$A$1:$AE$93</definedName>
    <definedName function="false" hidden="false" localSheetId="3" name="_xlnm.Print_Titles" vbProcedure="false">'TEKNİK RESİM AMP 9A'!$37:$37</definedName>
    <definedName function="false" hidden="false" localSheetId="10" name="_xlnm.Print_Area" vbProcedure="false">'TEMEL ELEKTRİK BİL AMP 11-A'!$A$1:$AE$93</definedName>
    <definedName function="false" hidden="false" localSheetId="10" name="_xlnm.Print_Titles" vbProcedure="false">'TEMEL ELEKTRİK BİL AMP 11-A'!$37:$37</definedName>
    <definedName function="false" hidden="false" localSheetId="1" name="_xlnm.Print_Area" vbProcedure="false">'TEMEL İMALAT İŞLEM AMP 9A'!$A$1:$AE$93</definedName>
    <definedName function="false" hidden="false" localSheetId="1" name="_xlnm.Print_Titles" vbProcedure="false">'TEMEL İMALAT İŞLEM AMP 9A'!$37:$37</definedName>
    <definedName function="false" hidden="false" localSheetId="9" name="_xlnm.Print_Area" vbProcedure="false">'WEB UYGULAMALARI AMP 11-A'!$A$1:$AE$93</definedName>
    <definedName function="false" hidden="false" localSheetId="9" name="_xlnm.Print_Titles" vbProcedure="false">'WEB UYGULAMALARI AMP 11-A'!$37:$37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<sst xmlns="http://schemas.openxmlformats.org/spreadsheetml/2006/main" count="4099" uniqueCount="1224">
  <si>
    <t xml:space="preserve">ÇALIŞMA TAKVİMİ — Bu sayfadaki tarihleri her yıl güncelleyin; diğer tüm ders sayfaları otomatik güncellenir</t>
  </si>
  <si>
    <t xml:space="preserve">OKUL</t>
  </si>
  <si>
    <t xml:space="preserve">Soma Mesleki ve Teknik Anadolu Lisesi</t>
  </si>
  <si>
    <t xml:space="preserve">ÖĞRETİM YILI SEÇ</t>
  </si>
  <si>
    <t xml:space="preserve">2026-2027</t>
  </si>
  <si>
    <t xml:space="preserve">EĞİTİM-ÖĞRETİM YILI</t>
  </si>
  <si>
    <t xml:space="preserve">2026-2027  Eğitim-Öğretim Yılı</t>
  </si>
  <si>
    <t xml:space="preserve">1.Yarıyıl Başlangıcı (elle değiştirilebilir)</t>
  </si>
  <si>
    <t xml:space="preserve">Not: Ramazan/Kurban Bayramı otomatik hesaplanamaz, elle güncellenmeli.</t>
  </si>
  <si>
    <t xml:space="preserve">SINAV TARİHLERİ</t>
  </si>
  <si>
    <t xml:space="preserve">1.Dönem 1.Sınav Tarihi</t>
  </si>
  <si>
    <t xml:space="preserve">13.11.2026</t>
  </si>
  <si>
    <t xml:space="preserve">1.Dönem 2.Sınav Tarihi</t>
  </si>
  <si>
    <t xml:space="preserve">08.01.2027</t>
  </si>
  <si>
    <t xml:space="preserve">2.Dönem 1.Sınav Tarihi</t>
  </si>
  <si>
    <t xml:space="preserve">19.03.2027</t>
  </si>
  <si>
    <t xml:space="preserve">2.Dönem 2.Sınav Tarihi</t>
  </si>
  <si>
    <t xml:space="preserve">14.05.2027</t>
  </si>
  <si>
    <t xml:space="preserve">ÖNEMLİ GÜN VE HAFTALAR</t>
  </si>
  <si>
    <t xml:space="preserve">1.Yarıyıl Başlangıcı</t>
  </si>
  <si>
    <t xml:space="preserve">2026-09-14 00:00:00</t>
  </si>
  <si>
    <t xml:space="preserve">2.Yarıyıl Başlangıcı</t>
  </si>
  <si>
    <t xml:space="preserve">2027-02-08 00:00:00</t>
  </si>
  <si>
    <t xml:space="preserve">Cumhuriyet Bayramı</t>
  </si>
  <si>
    <t xml:space="preserve">29.10.2026</t>
  </si>
  <si>
    <t xml:space="preserve">1. Dönem Ara Tatil</t>
  </si>
  <si>
    <t xml:space="preserve">16-20 Kasım</t>
  </si>
  <si>
    <t xml:space="preserve">Atatürk'ü Anma Günü ve Atatürk Haftası</t>
  </si>
  <si>
    <t xml:space="preserve">10.11.2026</t>
  </si>
  <si>
    <t xml:space="preserve">23 Nisan Ulusal Egemenlik ve Çocuk Bayramı</t>
  </si>
  <si>
    <t xml:space="preserve">23.04.2027</t>
  </si>
  <si>
    <t xml:space="preserve">2. Dönem Ara Tatil</t>
  </si>
  <si>
    <t xml:space="preserve">08-12 Mart</t>
  </si>
  <si>
    <t xml:space="preserve">19 Mayıs Atatürk'ü Anma Gençlik ve Spor Bayramı</t>
  </si>
  <si>
    <t xml:space="preserve">19.05.2027</t>
  </si>
  <si>
    <t xml:space="preserve">Yılbaşı Tatili</t>
  </si>
  <si>
    <t xml:space="preserve">01.01.2027</t>
  </si>
  <si>
    <t xml:space="preserve">Ramazan Bayramı</t>
  </si>
  <si>
    <t xml:space="preserve">20.03.2027</t>
  </si>
  <si>
    <t xml:space="preserve">Yarıyıl Tatili</t>
  </si>
  <si>
    <t xml:space="preserve">25 OCAK - 05 ŞUBAT 2027</t>
  </si>
  <si>
    <t xml:space="preserve">Eğitim-Öğretim Yılının Sonu</t>
  </si>
  <si>
    <t xml:space="preserve">25.06.2027</t>
  </si>
  <si>
    <t xml:space="preserve">37 HAFTALIK DERS TAKVİMİ (tüm ders sayfaları bu tabloyu kullanır)</t>
  </si>
  <si>
    <t xml:space="preserve">Hafta No</t>
  </si>
  <si>
    <t xml:space="preserve">Tarih Aralığı</t>
  </si>
  <si>
    <t xml:space="preserve">Tatil mi?</t>
  </si>
  <si>
    <t xml:space="preserve">Tatil/Not Adı</t>
  </si>
  <si>
    <t xml:space="preserve">14-18 Eylül</t>
  </si>
  <si>
    <t xml:space="preserve">HAYIR</t>
  </si>
  <si>
    <t xml:space="preserve">21-25 Eylül</t>
  </si>
  <si>
    <t xml:space="preserve">28 Eylül - 02 Ekim</t>
  </si>
  <si>
    <t xml:space="preserve">05-09 Ekim</t>
  </si>
  <si>
    <t xml:space="preserve">12-16 Ekim</t>
  </si>
  <si>
    <t xml:space="preserve">19-23 Ekim</t>
  </si>
  <si>
    <t xml:space="preserve">26-30 Ekim</t>
  </si>
  <si>
    <t xml:space="preserve">02-06 Kasım</t>
  </si>
  <si>
    <t xml:space="preserve">09-13 Kasım</t>
  </si>
  <si>
    <t xml:space="preserve">EVET</t>
  </si>
  <si>
    <t xml:space="preserve">1.DÖNEM ARA TATİL</t>
  </si>
  <si>
    <t xml:space="preserve">23-27 Kasım</t>
  </si>
  <si>
    <t xml:space="preserve">30 Kasım - 04 Aralık</t>
  </si>
  <si>
    <t xml:space="preserve">07-11 Aralık</t>
  </si>
  <si>
    <t xml:space="preserve">14-18 Aralık</t>
  </si>
  <si>
    <t xml:space="preserve">21-25 Aralık</t>
  </si>
  <si>
    <t xml:space="preserve">28 Aralık - 01 Ocak</t>
  </si>
  <si>
    <t xml:space="preserve">04-08 Ocak</t>
  </si>
  <si>
    <t xml:space="preserve">11-15 Ocak</t>
  </si>
  <si>
    <t xml:space="preserve">18-22 Ocak</t>
  </si>
  <si>
    <t xml:space="preserve">25-29 Ocak</t>
  </si>
  <si>
    <t xml:space="preserve">YARI YIL TATİLİ</t>
  </si>
  <si>
    <t xml:space="preserve">08-12 Şubat</t>
  </si>
  <si>
    <t xml:space="preserve">15-19 Şubat</t>
  </si>
  <si>
    <t xml:space="preserve">22-26 Şubat</t>
  </si>
  <si>
    <t xml:space="preserve">01-05 Mart</t>
  </si>
  <si>
    <t xml:space="preserve">2. DÖNEM ARA TATİL</t>
  </si>
  <si>
    <t xml:space="preserve">15-19 Mart</t>
  </si>
  <si>
    <t xml:space="preserve">22-26 Mart</t>
  </si>
  <si>
    <t xml:space="preserve">29 Mart - 02 Nisan</t>
  </si>
  <si>
    <t xml:space="preserve">05-09 Nisan</t>
  </si>
  <si>
    <t xml:space="preserve">12-16 Nisan</t>
  </si>
  <si>
    <t xml:space="preserve">19-23 Nisan</t>
  </si>
  <si>
    <t xml:space="preserve">26-30 Nisan</t>
  </si>
  <si>
    <t xml:space="preserve">03-07 Mayıs</t>
  </si>
  <si>
    <t xml:space="preserve">10-14 Mayıs</t>
  </si>
  <si>
    <t xml:space="preserve">17-21 Mayıs</t>
  </si>
  <si>
    <t xml:space="preserve">24-28 Mayıs</t>
  </si>
  <si>
    <t xml:space="preserve">31 Mayıs - 04 Haziran</t>
  </si>
  <si>
    <t xml:space="preserve">07-11 Haziran</t>
  </si>
  <si>
    <t xml:space="preserve">14-18 Haziran</t>
  </si>
  <si>
    <t xml:space="preserve">21-25 Haziran</t>
  </si>
  <si>
    <t xml:space="preserve">Günler</t>
  </si>
  <si>
    <t xml:space="preserve">Pazartesi</t>
  </si>
  <si>
    <t xml:space="preserve">Salı</t>
  </si>
  <si>
    <t xml:space="preserve">Çarşamba</t>
  </si>
  <si>
    <t xml:space="preserve">Perşembe</t>
  </si>
  <si>
    <t xml:space="preserve">Cuma</t>
  </si>
  <si>
    <t xml:space="preserve">Cumartesi</t>
  </si>
  <si>
    <t xml:space="preserve">Pazar</t>
  </si>
  <si>
    <t xml:space="preserve">YILLIK DERS PLANI</t>
  </si>
  <si>
    <t xml:space="preserve">DERS</t>
  </si>
  <si>
    <t xml:space="preserve">: TEMEL İMALAT İŞLEMLERİ</t>
  </si>
  <si>
    <t xml:space="preserve">ALAN/DAL</t>
  </si>
  <si>
    <t xml:space="preserve">: Makine ve Tasarım Teknolojisi Alanı</t>
  </si>
  <si>
    <t xml:space="preserve">DERS SAATİ</t>
  </si>
  <si>
    <t xml:space="preserve">: 6 SAAT</t>
  </si>
  <si>
    <t xml:space="preserve">SINIF</t>
  </si>
  <si>
    <t xml:space="preserve">: AMP 9A</t>
  </si>
  <si>
    <t xml:space="preserve">1.DÖNEM SINAV TARİHLERİ</t>
  </si>
  <si>
    <t xml:space="preserve">2.DÖNEM SINAV TARİHLERİ</t>
  </si>
  <si>
    <t xml:space="preserve">1.DÖNEM ÖNEMLİ GÜN VE HAFTALAR</t>
  </si>
  <si>
    <t xml:space="preserve">2.DÖNEM ÖNEMLİ GÜN VE HAFTALAR</t>
  </si>
  <si>
    <t xml:space="preserve">2026-2027 EĞİTİM-ÖĞRETİM YILI İŞGÜNÜ TAKVİMİ</t>
  </si>
  <si>
    <t xml:space="preserve">TARİH</t>
  </si>
  <si>
    <t xml:space="preserve">KAZANIMLAR</t>
  </si>
  <si>
    <t xml:space="preserve">KONULAR</t>
  </si>
  <si>
    <t xml:space="preserve">ÖĞRENME-ÖĞRETME
YÖNTEM VE TEKNİKLERİ</t>
  </si>
  <si>
    <t xml:space="preserve">KULLANILAN EĞİTİM TEKNOLOJİLERİ,
ARAÇ VE GEREÇLER</t>
  </si>
  <si>
    <t xml:space="preserve">DEĞERLENDİRME</t>
  </si>
  <si>
    <t xml:space="preserve">1. Atölyede iş güvenliği tedbirlerini alır.
• Atölyede uyması gereken kurallar açıklanır.
• Tezgâhlardan meydana gelebilecek iş kazaları açıklanır.
• Çalışma sırasında meydana gelebilecek iş kazalarına karşı tedbirleri açıklanır.
• İş güvenliği ve emniyet kuralları açıklanır.</t>
  </si>
  <si>
    <t xml:space="preserve">EL İŞLEMLERİ
1. Atölyede İş Güvenliği Tedbirleri</t>
  </si>
  <si>
    <t xml:space="preserve">Gösteri, Soru-Cevap, Programlı Öğretim, Bireyselleştirilmiş Öğretim, Temrin Çalışmaları</t>
  </si>
  <si>
    <t xml:space="preserve">Temel İmalat Atölyesi, torna tezgahları, freze tezgahları, matkap tezgahları, kesici takımlar, akıllı tahta</t>
  </si>
  <si>
    <t xml:space="preserve">1. Atölyede iş güvenliği tedbirlerini alır.
• Atölye temizlik ve düzeni açıklanır.
• Yapılan işe uygun iş elbiseleri ve kişisel koruyucu donanımları hazırlatılır.
• Yanıcı ve parlayıcı malzemelerin güvenli bir şekilde tutulması sağlanır.</t>
  </si>
  <si>
    <t xml:space="preserve">1. Atölyede İş Güvenliği Tedbirleri</t>
  </si>
  <si>
    <t xml:space="preserve">2. Verilen resme uygun olarak düzlem yüzey eğeleme yapar.
• Eğe çeşitleri sıralanır.
• İşi parçasını bağlama yöntemleri açıklanır.
• Düzlem yüzey kontrol aletleri sıralanır.
• Öğrencilerin doğru pozisyonda olmaları sağlanır.</t>
  </si>
  <si>
    <t xml:space="preserve">2. Düzlem Yüzey Eğeleme</t>
  </si>
  <si>
    <t xml:space="preserve">3. Markalama ekipmanları ile verilen resme uygun olarak iş parçasını markalar.
• Markalamanın amacı üzerinde durulur.
• Markalama yöntemleri üzerinde durulur.</t>
  </si>
  <si>
    <t xml:space="preserve">3. Markalama Yapma</t>
  </si>
  <si>
    <t xml:space="preserve">4. Verilen resme uygun olarak profil yüzey eğeleme işlemleri yapar.
• Profil yüzey eğeleme yöntemlerini açıklanır.
• Yüzey kontrol aletleri tanımlanır.
• İç ve dış yüzey eğeleme yaptırılır.
• Delik ve kanal eğeleme yaptırılır.
• Eğe ile pah kırma işlemi yaptırılır.</t>
  </si>
  <si>
    <t xml:space="preserve">4. Profil Yüzey Eğeleme</t>
  </si>
  <si>
    <t xml:space="preserve">4. Verilen resme uygun olarak profil yüzey eğeleme işlemleri yapar.
• Profil yüzey eğeleme yöntemlerini açıklanır.
• Yüzey kontrol aletleri tanımlanır.
• İç ve dış yüzey eğeleme yaptırılır.
• Delik ve kanal eğeleme yaptırılır.
• Eğe ile pah kırma işlemi yaptırılır.
29 EKİM Cumhuriyet Bayramı</t>
  </si>
  <si>
    <t xml:space="preserve">5. Verilen resme uygun olarak kesme işlemlerini yapar.
• Testere ile kesmeyi tarif edilir.
• Testere ile kesme yaparken kazalardan korunma açıklanır.
• Keski ile kesme açıklanır.
• Keski çeşitleri sıralanır.
• Keski ile kesmede dikkat edilecek hususlar açıklanır.</t>
  </si>
  <si>
    <t xml:space="preserve">5. Kesme İşlemleri Yapma</t>
  </si>
  <si>
    <t xml:space="preserve">5. Verilen resme uygun olarak kesme işlemlerini yapar.
• Testere lamasını testere koluna doğru olarak bağlatılır.
• Güvenlik tedbirlerine dikkat ederek testere ile değişik kalınlık ve profildeki parçalar kestirilir.
• Düz keski ile keskileme yaptırılır.
• Kanal keskisi ile çeşitli kanallar açtırılır.
• El makası ile saç kesme yaptırılır.
• Kol makasları ile kesme yaptırılır.
10 KASIM Atatürk'ü Anma Günü ve Atatürk Haftası</t>
  </si>
  <si>
    <t xml:space="preserve">1. İşin özelliklerine göre uygun malzeme seçer.
• Malzeme ve özellikleri açıklanır.
• Metal ve metal alaşımlı malzemeler (Çelik, Alüminyum ve alaşımları, bakır ve alaşımları, dökme demir) üzerinde durulur.
• Metal olmayan malzemeler (Plastik ve kompozit malzemeler) üzerinde durulur.</t>
  </si>
  <si>
    <t xml:space="preserve">MALZEME
1. Malzeme Seçme</t>
  </si>
  <si>
    <t xml:space="preserve">1. İşin özelliklerine göre uygun malzeme seçer.
• İşe göre malzeme seçtirilir.
• Çelik standart katalogları kullandırılır.
• Çelik standartlarına göre malzeme seçtirilir.</t>
  </si>
  <si>
    <t xml:space="preserve">1. Malzeme Seçme</t>
  </si>
  <si>
    <t xml:space="preserve">2. Malzemeyi test eder.
• Malzeme muayene yöntemleri açıklanır.
• Sertlik ölçme tanımlanır.
• Sertlik ölçme yöntemleri örneklerle açıklanır.
• Malzeme muayene yöntemleri uygulanır.
• Sertlik ölçme yöntemleriyle test yaptırılır.</t>
  </si>
  <si>
    <t xml:space="preserve">2. Malzemeyi Test Etme</t>
  </si>
  <si>
    <t xml:space="preserve">1. Bileme açılarına uygun olarak matkap ucunu biler.
• Zımpara tezgâhlarının özellikleri açıklanır.
• Zımpara tezgâhlarında çalışırken kullanılan koruyucu aletleri sıralanır.
• Matkap bilemede dikkat edilecek kuralları açıklanır.
• Zımpara taşı dayama tablasını kontrol eder ve ayar yaptırılır.
• Güvenlik kurallarına dikkat ederek matkap ucunu, taşa doğru açılı tutarak biletilir.
• Bilenen matkabın kontrolünü yaptırılır.
• Bilemede soğutma sıvısı kullandırılır.</t>
  </si>
  <si>
    <t xml:space="preserve">DELME VE VİDA İŞLEMLERİ
1. Matkap Bileme</t>
  </si>
  <si>
    <t xml:space="preserve">2. Matkap tezgâhında verilen resme uygun olarak delik deler.
• Matkap tezgâhları ve matkap çeşitleri açıklanır.
• Matkap bilemede dikkat edilecek hususlar açıklanır.
• Matkap tezgâhında soğutma sıvısı kullanarak çeşitli delik delme işlemleri yaptırılır.
• Matkap tezgâhında havşa açtırılır.</t>
  </si>
  <si>
    <t xml:space="preserve">2. Delik Delme</t>
  </si>
  <si>
    <t xml:space="preserve">2. Matkap tezgâhında verilen resme uygun olarak delik deler.
• Matkap tezgâhında soğutma sıvısı kullanarak çeşitli delik delme işlemleri yaptırılır.
• Matkap tezgâhında havşa açtırılır.</t>
  </si>
  <si>
    <t xml:space="preserve">3. Verilen resme uygun olarak raybalama yapar.
• Rayba çeşitlerini sıralanır.
• Raybalama da işlem sırasını açıklanır.
• Güvenlik kurallarına dikkat ederek raybalama işlemleri yaptırır.</t>
  </si>
  <si>
    <t xml:space="preserve">3. Rayba Çekme</t>
  </si>
  <si>
    <t xml:space="preserve">4. Verilen resme uygun olarak elle kılavuz çekme işlemleri yapar.
• Vida çeşitleri sıralanır.
• Kılavuzlar tanımlanır.
• Kılavuzlar kısımlarını açıklanır.
• Kılavuz çekmede dikkat edilecek hususlar açıklanır.
• Öğrencilerin kılavuz kullanırken kesme yağı kullanmaları sağlanır.</t>
  </si>
  <si>
    <t xml:space="preserve">4. Elle Kılavuz Çekme</t>
  </si>
  <si>
    <t xml:space="preserve">5. Verilen resme uygun olarak elle pafta çekme işlemleri yapar.
• Paftayı tanımlar, pafta çeşitleri sıralanır.
• Pafta çekmede işlem sırası açıklanır.
• Paftayı doğru ağızlatır.
• Öğrencilerin pafta kullanırken kesme yağı kullanmaları sağlanır.</t>
  </si>
  <si>
    <t xml:space="preserve">5. Elle Pafta Çekme</t>
  </si>
  <si>
    <t xml:space="preserve">1. Torna Tezgâhlarını tanır.
• Torna tezgâhı tanımlanır.
• Torna tezgâh çeşitlerini listelenir.
• Torna tezgâhlarında iş güvenliği önlemleri örneklerle açıklanır.</t>
  </si>
  <si>
    <t xml:space="preserve">TEMEL TORNALAMA İŞLEMLERİ
1. Torna Tezgâhlarını Tanıma</t>
  </si>
  <si>
    <t xml:space="preserve">1. Torna Tezgâhlarını Tanıma</t>
  </si>
  <si>
    <t xml:space="preserve">2. Kesici takımlarını hazırlar ve bağlar.
• Torna tezgâhında kullanılacak kesiciler sınıflandırılır.
• Torna kesicileri malzemelerine göre sınıflandırılır.
• Torna kesicilerini biçimlerine göre listeler, kaleme verilen kesme açıları açıklanır.</t>
  </si>
  <si>
    <t xml:space="preserve">2. Kesici Takımları Hazırlamak ve Bağlama</t>
  </si>
  <si>
    <t xml:space="preserve">3. İş Parçalarını tezgâha bağlar.
• İş parçasını tezgâha bağlama çeşitleri tarif edilir.
• Bağlama araçları sınıflandırılır.
• Komparatör ile iş parçasının salgı kontrolü açıklanır.
• Emniyetli bağlama kuralları açıklanır.
• Gerektiğinde bağlama aracı söktürülür veya taktırılır.
• İş kalıplarını aynaya bağlatılır.</t>
  </si>
  <si>
    <t xml:space="preserve">3. İş Parçalarını Bağlama</t>
  </si>
  <si>
    <t xml:space="preserve">3. İş Parçalarını tezgâha bağlar.
• İş parçasını tezgâha bağlama çeşitleri tarif edilir.
• Bağlama araçları sınıflandırılır.
• Komparatör ile iş parçasının salgı kontrolü açıklanır.
• Emniyetli bağlama kuralları açıklanır.</t>
  </si>
  <si>
    <t xml:space="preserve">4. İş parçası üzerinde tornalama işlemleri yapar.
• Alın tornalama işlemi açıklanır.
• Öğrencinin kesiciyi punta ekseninde bağlaması ve devir hesabı yapması sağlanır.
• İlerleme hızına dikkat edilerek, alın tornalama işlemi yaptırılır.
• Punta deliği açma tanımlanır.
• Öğrenciye uygun devirle punta deliği açtırılır.</t>
  </si>
  <si>
    <t xml:space="preserve">4. İş Parçası Üzerinde Tornalama İşlemleri Yapma</t>
  </si>
  <si>
    <t xml:space="preserve">4. İş parçası üzerinde tornalama işlemleri yapar.
• Silindirik tornalama işlemini açıklanır.
• Uzun parçaları ayna punta arasında yapması gerektiği vurgulanır.
• Salgı kontrolü yapılarak, uygun devirle silindirik tornalama işlemi yaptırılır.
• Kademeli tornalamayı tanımlanır.
• Uygun devir ve ilerleme ile kademeli tornalama yaptırılır.
23 NİSAN Ulusal Egemenlik ve Çocuk Bayramı</t>
  </si>
  <si>
    <t xml:space="preserve">4. İş parçası üzerinde tornalama işlemleri yapar.
• Tornada kanal açma tanımlanır.
• Devir hesabı yapılarak, soğutma sıvısı kullandırılır.
• Tornada kanal açma işlemi yaptırılır.
• Konik tornalama tanımlanır.
• Konik hesabı yaptırılır.
• Uygun devir ve ilerleme ile konik tornalama yaptırılır.</t>
  </si>
  <si>
    <t xml:space="preserve">4. İş parçası üzerinde tornalama işlemleri yapar.
• Tırtıl çekme tanımlanır.
• Tırtıl çekme işlemi yaptırılır.
• Torna tezgâhında kılavuz ve pafta çekme açıklanır.
• Torna tezgâhında kılavuz ve pafta çekme işlemi yaptırılır.</t>
  </si>
  <si>
    <t xml:space="preserve">1. Freze Tezgâhlarını tanır.
• Freze Tezgâhlarını tanımlanır.
• Freze tezgâhı çeşitlerini sınıflandırır.
• Freze tezgâhı kısımları sıralanır.
• Freze Tezgâhları çalışma sistemini açıklanır.
• Freze tezgâhlarında uyulacak iş güvenliği kuralları sıralanır.</t>
  </si>
  <si>
    <t xml:space="preserve">TEMEL FREZELEME İŞLEMLERİ
1. Freze Tezgâhlarını Tanıma</t>
  </si>
  <si>
    <t xml:space="preserve">1. Freze Tezgâhlarını tanır.
• Freze tezgâhı panosunu kullandırır.
• Freze tezgâhında yapılabilecek işleri tasarlatır.
• Freze tezgâhı devir sayısını ayarlatır.
• Freze tezgâhı ilerleme hızını ayarlatır.
• Freze tezgâhı tablasına mengene bağlatır.
• Freze tezgâhına kesiciyi bağlatır.
• Freze tezgâhının otomatik ayarlarını yaptırır.
• Öğrenci freze tezgâhını çalıştırır.</t>
  </si>
  <si>
    <t xml:space="preserve">1. Freze Tezgâhlarını Tanıma</t>
  </si>
  <si>
    <t xml:space="preserve">2. Kesicileri bağlar.
• Freze çakıları biçimlerine göre tanıtılır ve kullanıldığı yerler açıklanır.
• Freze çakılarını yapıldığı malzemelere göre sıralanır.
• Freze çakılarını tezgâha bağlama tekniklerini açıklanır.
• İşe uygun özellikte freze çakısı seçtirilir.
• Çakıya uygun bağlama aracını seçtirilir.
• Malafa ve başlığı tezgâha bağlatılır.
• Dönüş yönünü dikkate alarak frezeyi takım tutucuya bağlatılır.
19 MAYIS Atatürk'ü Anma Gençlik ve Spor Bayramı</t>
  </si>
  <si>
    <t xml:space="preserve">2. Kesicileri Bağlama</t>
  </si>
  <si>
    <t xml:space="preserve">2. Kesicileri bağlar.
• Freze çakıları biçimlerine göre tanıtılır ve kullanıldığı yerler açıklanır.
• Freze çakılarını yapıldığı malzemelere göre sıralanır.
• Freze çakılarını tezgâha bağlama tekniklerini açıklanır.</t>
  </si>
  <si>
    <t xml:space="preserve">3. İş Parçalarını tezgâha bağlar.
• İş parçalarını freze tezgâhına bağlama şekilleri örneklerle izah edilir.
• Mengenenin tezgâha bağlanma teknikleri açıklanır.
• Komparatör ile mengenenin tezgâha bağlanması örnekle açıklanır.
• İşlerin tezgâha mengene ile bağlama tekniği açıklanır.
• İşlerin tezgâha pabuç ve cıvatalarla bağlama tekniği açıklanır.</t>
  </si>
  <si>
    <t xml:space="preserve">3. İş Parçalarını tezgâha bağlar.
• Özel bağlama kalıp ve araçlarıyla bağlama açıklanır.
• Divizörle iş parçasını bağlama tarif eder.
• Döner tablayla iş parçasını bağlama açıklanır.
• Mengeneyi tezgâha bağlatılır.
• Mengene paralelliğini komparatör ile kontrol ettirilir.
• İşleri tezgâh mengenesine bağlatılır.
• İşleri tezgâh tablasına pabuç ve cıvatalarla bağlatılır.
• Divizörle iş parçasını bağlatılır.
• Döner tablayla iş parçasını bağlatılır.</t>
  </si>
  <si>
    <t xml:space="preserve">4. Frezeleme işlemleri yapar.
• Düzlem yüzey frezeleme tekniği açıklanır.
• İmalat resmine uygunluğunu, kumpas ve gönye ile kontrolü açıklanır.
• Freze çakısı seçtirilir.
• Freze çakılarını freze tezgâhına malafa ile bağlatılır.
• İş parçalarını özelliklerine uygun bağlama araçları ile freze tezgâhına bağlatılır.
• İşe uygun talaş derinliği ve ilerleme ayarı yaptırılır.
• İş parçası malzemesine göre soğutma sıvısı kullandırılır.
• İşin imalat resmine uygunluğunu, ölçme ve kontrolü yaptırılır.</t>
  </si>
  <si>
    <t xml:space="preserve">4. Frezeleme İşlemleri Yapma</t>
  </si>
  <si>
    <t xml:space="preserve">4. Frezeleme işlemleri yapar.
• Eğik yüzey frezeleme tanımlanır.
• Eğik yüzeye göre freze çakısı seçme açıklanır.
• Eğik yüzey frezeleme tekniği açıklanır.
• Düşey ve eğik yüzeylerin frezelenmesinde dikkat edilecek kuralları açıklanır.
• Eğik yüzey frezeleme için işleri freze tablasına bağlatır.
• Yüzeyin durumuna göre freze çakısı seçtirilir.
• İşe uygun tezgâh ayarı yaptırılır.
• Keskin yüzeylere pah kırdırılır.
• Ölçme ve kontrol yaptırılır.</t>
  </si>
  <si>
    <t xml:space="preserve">4. Frezeleme işlemleri yapar.
• Kanal açmak için iş parçasını, freze tezgâhı tablasına bağlama yöntemi açıklanır.
• Parmak freze ile cep açma açıklanır.
• Kanal açma için işi tablaya bağlatılır.
• Kanal durumu ve büyüklüğüne göre kanal freze çakısı seçtirir.
• Kanal açtırılır.
• Ölçme ve kontrol yaptırılır.</t>
  </si>
  <si>
    <t xml:space="preserve">Seyit Ömer ŞEKER</t>
  </si>
  <si>
    <t xml:space="preserve">Arzu KIRICI</t>
  </si>
  <si>
    <t xml:space="preserve">Gökhan ARSLAN</t>
  </si>
  <si>
    <t xml:space="preserve">Makine ve Tasarım Teknolojisi</t>
  </si>
  <si>
    <t xml:space="preserve">Alan Öğretmeni</t>
  </si>
  <si>
    <t xml:space="preserve">Laboratuvar Şefi</t>
  </si>
  <si>
    <t xml:space="preserve">İmalat Yöntemleri Atölye Şefi</t>
  </si>
  <si>
    <t xml:space="preserve">Şerif YETİM</t>
  </si>
  <si>
    <t xml:space="preserve">Ali Osman KOÇ</t>
  </si>
  <si>
    <t xml:space="preserve">Levent ERGİN</t>
  </si>
  <si>
    <t xml:space="preserve">İmalat İşlemleri Atölye Şefi</t>
  </si>
  <si>
    <t xml:space="preserve">Alan Şefi</t>
  </si>
  <si>
    <t xml:space="preserve">Teknik Müdür Yardımcısı</t>
  </si>
  <si>
    <t xml:space="preserve">…./09/2026</t>
  </si>
  <si>
    <t xml:space="preserve">UYGUNDUR</t>
  </si>
  <si>
    <t xml:space="preserve">AHMET AÇAR</t>
  </si>
  <si>
    <t xml:space="preserve">OKUL MÜDÜRÜ</t>
  </si>
  <si>
    <t xml:space="preserve">: MESLEKİ GELİŞİM ATÖLYESİ</t>
  </si>
  <si>
    <t xml:space="preserve">: 2 SAAT</t>
  </si>
  <si>
    <t xml:space="preserve">1. Kuralların gerekliliğini ve işlevini toplumsal fayda açısından tartışır.
• Sınıf ortamında sunum yapmalarına yönelik bir etkinlik planlanarak öğrencilerin iletişim engellerini deneyimlemeleri sağlanır.
• Öğrencilerin, etkili iletişim için sınıfta uyulması gereken kurallara arkadaşlarıyla birlikte karar vermeleri sağlanır.
• Öğrencilerle birlikte oluşturulacak sınıf anlaşmasının görünür ve kalıcı olması için gerekli önlemler alınır.</t>
  </si>
  <si>
    <t xml:space="preserve">MESLEK ETİĞİ VE AHİLİK
1. Kurallar ve İşlevi</t>
  </si>
  <si>
    <t xml:space="preserve">Soru-Cevap, Grup Çalışması, Tartışma, Proje Tabanlı Öğrenme, Bireyselleştirilmiş Öğretim</t>
  </si>
  <si>
    <t xml:space="preserve">Etkileşimli tahta/projeksiyon, mesleki gelişim dersi tasarım odaklı çalışma defteri, internet, kütüphane</t>
  </si>
  <si>
    <t xml:space="preserve">2. Meslek etiği ve ahilik ile ilgili temel kavramları ve ahilik ilkelerini açıklar.
• Meslek etiği ve ahilik ile ilgili temel kavram ve ilkelerin görselleri sınıfta paylaşılarak bu kavramların hayatımızdaki yeri tartışılır.
• Öğrencilerin, meslek etiği ve ahilik ile ilgili örnek hikâyelerden hareketle ahilik ve meslek etiği ilkelerini kavraması sağlanır.</t>
  </si>
  <si>
    <t xml:space="preserve">2. Meslek Etiği ve Ahilik İle İlgili Temel Kavramlar</t>
  </si>
  <si>
    <t xml:space="preserve">3. Geçmişten günümüze meslek kuruluşları ve ahiliğin tarihsel gelişimini açıklar.
• Sınıfta ahilik teşkilatını anlatan örnek bir video izletilerek öğrencilerin ahiliğin temel ilke ve amaçlarını açıklaması sağlanır.
• Öğrencilerden, ahiliğin tarihçesi hakkında araştırma yapmaları ve elde ettikleri bilgileri sınıfta sunmaları istenir.</t>
  </si>
  <si>
    <t xml:space="preserve">3. Ahiliğin Tarihsel Gelişimi</t>
  </si>
  <si>
    <t xml:space="preserve">1. Tasarım odaklı düşünme yaklaşımının ilkelerini ve basamaklarını kullanır.
• Öğrencilerin, tasarım odaklı düşünmenin temel ilkelerini kavramaları sağlanır.
• Öğrenciler, ders dışı zamanlarda da süreci takip etmeleri için teşvik edilir.</t>
  </si>
  <si>
    <t xml:space="preserve">İŞ SAĞLIĞI VE GÜVENLİĞİ
1. Tasarım Odaklı Düşünme</t>
  </si>
  <si>
    <t xml:space="preserve">2. İş yerinde sağlık ve güvenliği tehdit eden unsurları ve giderici tedbirleri açıklar.
• İş sağlığı ve güvenliği ile ilgili bir senaryo üzerinden işyerinde sağlık ve güvenliği tehdit eden unsurları analiz etmeleri sağlanır.
• Öğrencilerden, iş sağlığı ve güvenliğine uygun şartlar için dikkate alınması gereken unsurları bir sunumla açıklamaları istenir.</t>
  </si>
  <si>
    <t xml:space="preserve">2. İş Sağlığı ve Güvenliğini Tehdit Eden Unsurlar</t>
  </si>
  <si>
    <t xml:space="preserve">3. İş yerinde ortaya çıkabilecek kaza, yaralanma ve yangınlara karşı alınması gereken tedbirleri açıklar.
• Öğrencilerin, gözlem, görüşme gibi veri toplama yöntemleriyle iş yerlerinde veya atölyelerde alınan tedbirler hakkında bilgi sahibi olmaları sağlanır.</t>
  </si>
  <si>
    <t xml:space="preserve">3. İş Yerinde Ortaya Çıkabilecek Kaza, Yaralanma ve Yangınlara Karşı Alınması Gereken Tedbirler</t>
  </si>
  <si>
    <t xml:space="preserve">4. Meslek hastalıklarının sebeplerini, alınması gereken önlemleri açıklar.
• Öğrencilerin, meslek hastalıkları ile ilgili bir senaryo aracılığıyla meslek hastalıkları ile güvenli atölye ortamı arasındaki ilişkiyi kavramaları sağlanır.
29 EKİM Cumhuriyet Bayramı</t>
  </si>
  <si>
    <t xml:space="preserve">4. Meslek Hastalıkları ve Alınması Gereken Önlemler</t>
  </si>
  <si>
    <t xml:space="preserve">• Bireysel olarak İSG ile ilgili fikirlerini planlayarak kendi öğrenmesinin sorumluluğunu alır.
• İSG ile ilgili önlem ve tedbirleri artırmak için bir senaryodan yola çıkarak kendi önerilerini geliştirmeleri ve süreçte sorumluluk almaları sağlanır.</t>
  </si>
  <si>
    <t xml:space="preserve">5. Bireysel İSG Planlaması ile Öğrenme Sorumluluğu Alma</t>
  </si>
  <si>
    <t xml:space="preserve">• İSG ile ilgili yapılan grup çalışmasında kendini yazılı ve sözlü ifade eder.
• İSG ile ilgili yapılan grup çalışmasında arkadaşları ile iş birliği içinde çalışır.
• İSG ile ilgili bir senaryo çerçevesinde kendisinin ve grup arkadaşlarının güçlü ve zayıf yanlarını belirler.
10 KASIM Atatürk'ü Anma Günü ve Atatürk Haftası</t>
  </si>
  <si>
    <t xml:space="preserve">6. İSG Grup Çalışmalarının Yazılı ve Sözlü İfadesi
7. İSG Grup Çalışmalarında İşbirliğinin Önemi
8. İSG Grup Çalışmalarında Ekip Ruhunun Önemi</t>
  </si>
  <si>
    <t xml:space="preserve">1. Teknolojik gelişmeler ve endüstriyel dönüşüm ile ilgili kavramları açıklar.
• Öğrencilerin, teknolojinin ne anlama geldiği üzerine verilen farklı görüşleri değerlendirerek kendi teknoloji tanımlarını bir e-posta yazarak açıklamaları sağlanır.
• Öğrencilerin, farklı endüstriyel dönemlerdeki yenilikleri sınıflandırarak arkadaşları ile iş birliği içerisinde endüstriyel değişim ile ilgili kavramları açıklamaları sağlanır.</t>
  </si>
  <si>
    <t xml:space="preserve">TEKNOLOJİK GELİŞMELER VE ENDÜSTRİYEL DÖNÜŞÜM
1. Teknolojik Gelişmeler ve Endüstriyel Dönüşüm İle İlgili Kavramlar</t>
  </si>
  <si>
    <t xml:space="preserve">2. Geçmişten günümüze endüstriyel değişimin ve dönüşümün tarihsel gelişimini açıklar.
3. Ülkemizdeki ve dünyadaki teknolojik gelişmeleri değerlendirir.
• Öğrencilerin, verilen metinler üzerinden farklı endüstriyel dönemleri değerlendirmeleri sağlanır.</t>
  </si>
  <si>
    <t xml:space="preserve">2. Endüstriyel Değişimin ve Dönüşümün Tarihsel Gelişimi
3. Dünyada ve Ülkemizdeki Teknolojik Gelişmeler</t>
  </si>
  <si>
    <t xml:space="preserve">• Teknolojik gelişmeler ve endüstriyel dönüşüm ile ilgili farklı fikirleri ve düşünceleri dikkate alır.
• Teknolojik gelişmeler ve endüstriyel dönüşüm ile ilgili verilen yönergeye uygun iletişim araçlarını kullanır.</t>
  </si>
  <si>
    <t xml:space="preserve">4. Teknolojik Gelişmeler ve Endüstriyel Dönüşüm ile İlgili Grup Çalışması
5. Teknolojik Gelişmeler ve Endüstriyel Dönüşüm ile İlgili İletişim Araçlarını Kullanma</t>
  </si>
  <si>
    <t xml:space="preserve">• Teknolojinin kullanımı ile ilgili bir sunumda sözlü iletişimi destekleyen sözsüz iletişim unsurlarının önemini tartışır.
• Teknolojik gelişmeler ve endüstriyel dönüşüm ile ilgili grup çalışmaları sırasında arkadaşları ile iş birliği içinde çalışır.</t>
  </si>
  <si>
    <t xml:space="preserve">6. Teknolojinin Kullanımı ile İlgili Sunu Hazırlama
7. Teknolojik Gelişmeler ve Endüstriyel Dönüşüm ile İlgili Grup Çalışmaları ve İşbirliği</t>
  </si>
  <si>
    <t xml:space="preserve">• Bireysel olarak teknolojik gelişmeler ve endüstriyel dönüşüm ile ilgili fikirlerini planlayarak kendi öğrenmesinin sorumluluğunu alır.
• Teknolojik gelişmeler ve endüstriyel dönüşüm ile ilgili yapılan grup çalışmasında kendini ve öğrendiklerini yazılı ve sözlü ifade eder.</t>
  </si>
  <si>
    <t xml:space="preserve">8. Teknolojik Gelişmeler ve Endüstriyel Dönüşüm ile İlgili Fikir Planlama ve Öğrenme Sorumluluğu Alma
9. Teknolojik Gelişmeler ve Endüstriyel Dönüşüm ile İlgili Grup Çalışmalarının Yazılı ve Sözlü İfadesi</t>
  </si>
  <si>
    <t xml:space="preserve">• Teknolojinin kullanımı ile ilgili örnek bir videoyu sözsüz iletişim unsurları açısından analiz eder.
• Teknolojik gelişmeler ve endüstriyel dönüşüm ile ilgili problemleri çözer.</t>
  </si>
  <si>
    <t xml:space="preserve">10. Teknolojinin Kullanımında Sözsüz İletişim Unsurlarının Analizi
11. Teknolojik Gelişmeler ve Endüstriyel Dönüşüm ile İlgili Problem Çözme</t>
  </si>
  <si>
    <t xml:space="preserve">• Teknolojik gelişmeler ve endüstriyel dönüşüm ile ilgili verilenleri benzerlik ve farklılıklara göre sınıflandırır.</t>
  </si>
  <si>
    <t xml:space="preserve">12. Teknolojik Gelişmeler ve Endüstriyel Dönüşüm İle İlgili Benzerlik ve Farklılıkları Sınıflandırma</t>
  </si>
  <si>
    <t xml:space="preserve">1. 'Azalt, yeniden kullan, geri dönüştür' ilkeleri çerçevesinde çevre ile ilgili kavramları açıklar.
• Öğrencilerin grup çalışması hâlinde atık ve çöp kavramları üzerine düşünmeleri sağlanır.
• Öğrencilerin, geri dönüşüm sembollerini, kodlarını ve işaretlerini fark ederek bunların temsil ettikleri anlamları kavramaları sağlanır.</t>
  </si>
  <si>
    <t xml:space="preserve">ÇEVRE KORUMA
1. Çevre ile İlgili Kavramlar</t>
  </si>
  <si>
    <t xml:space="preserve">2. İnsan faaliyetlerinin hava, su ve toprak kirliliğine etkisini açıklar.
3. Her bireyin ürettiği atığın sorumluluğunu almasının ülke ekonomisine ve yaban hayata katkısını araştırır.
• Öğrencilerin atık yönetiminde öncelik sırası üzerine düşünmeleri sağlanır.</t>
  </si>
  <si>
    <t xml:space="preserve">2. İnsan Faaliyetlerinin Çevre Kirliliğine Etkileri
3. Üretilen Atığın Bireysel Sorumluluğu</t>
  </si>
  <si>
    <t xml:space="preserve">• Çevresindeki ve kendi oluşturduğu atıkların farkına vararak geri dönüşüm süreçlerini açıklar.
• Çevre koruma ile ilgili verilen senaryo çalışmasında kendini yazılı ve sözlü olarak ifade eder.
• Sahip olduğu değerlerin çevre korumaya yönelik davranışlarına etkisini fark eder.</t>
  </si>
  <si>
    <t xml:space="preserve">4. Geri Dönüşüm Süreçleri
5. Çevre Koruma ile İlgili Senaryo Çalışması
6. Çevre Korumaya Yönelik Değerler</t>
  </si>
  <si>
    <t xml:space="preserve">• Çevre koruma ile ilgili farklı fikirleri ve düşünceleri dikkate alır.
• Grup çalışmaları sırasında arkadaşları ile işbirliği içinde çalışır.
• Bireysel olarak çevre koruma ile ilgili fikirlerini planlayarak kendi öğrenmesinin sorumluluğunu alır.
• Çevre koruma ile ilgili verilen problemin farklı çözüm yollarını araştırır.
• Çevre koruma ile ilgili verilenleri benzerlik ve farklılıklara göre sınıflandırır.
• Çevre koruma ile ilgili problemi çözmek için yenilikçi düşünmeyle strateji geliştirir.
• Çevre koruma ile ilgili metinlerdeki problem durumunu eleştirel okuma ile analiz eder.
• Neden sonuç ilişkisi kurarak çevre koruma ile ilgili bir probleme çözüm yolları bulur.</t>
  </si>
  <si>
    <t xml:space="preserve">7. Çevre Koruma ile İlgili Münazara
8. Grup Çalışmasında Zamanı Etkili Kullanma ve İşbirliğinin Önemi
9. Çevre Koruma ile İlgili Bireysel Öğrenme Sorumluluğu
10. Çevre Koruma ile İlgili Problem ve Çözüm Yolları
11. Çevre Koruma ile İlgili Verilerde Sınıflandırma
12. Çevre Koruma ile İlgili Yenilikçi Düşünmeyle Strateji Geliştirme
13. Çevre Koruma ile İlgili Problemin Analizi
14. Çevre Koruma ile İlgili Problemin Neden Sonuç İlişkisi ile Çözümü</t>
  </si>
  <si>
    <t xml:space="preserve">1. Girişimcilikle ilgili temel kavramları açıklar.
• Öğrencilerin tartışma soruları ve video üzerinden ekonomi ile girişimcilik arasındaki ilişkiyi kavramaları sağlanır.</t>
  </si>
  <si>
    <t xml:space="preserve">GİRİŞİMCİ FİKİRLER, İŞ KURMA VE YÜRÜTME
1. Girişimcilikle İlgili Temel Kavramlar</t>
  </si>
  <si>
    <t xml:space="preserve">2. Meslek grubuyla ilgili iş fikirleri oluşturarak bu fikirleri değerlendirir.
• Öğrencilerin günlük hayatta karşılaştıkları başarılı iş fikirlerini tartışarak değerlendirmeleri sağlanır.
• Öğrencilerin başarılı bir iş fikrinin oluşması sürecinde etkili olan unsurları sınıf içinde tartışması sağlanır.</t>
  </si>
  <si>
    <t xml:space="preserve">2. İş Fikri Oluşturma</t>
  </si>
  <si>
    <t xml:space="preserve">3. İşletme ve işletme türleri ile ilgili temel kavramları açıklar.
• Öğrencilerin günlük hayatta karşılaştıkları kurum ve kuruluşları tartışması sağlanır.
• Öğrencilerin işletme türleri hakkında beyin fırtınası yaparak işletme türlerinin ortak ve ayırt edici özelliklerini kavraması sağlanır.</t>
  </si>
  <si>
    <t xml:space="preserve">3. İşletme ve İşletme Türleri</t>
  </si>
  <si>
    <t xml:space="preserve">4. İşletme kurma süreci ile ilgili planlama yapar.
• Öğrencilerin bir işletmenin kurulması sürecindeki aşamaları grup çalışması yaparak iş birliği içinde kavraması sağlanır.
• Öğrencilerin verilen iş planı şablonunu kullanarak uygulamalı bir şekilde bir işletmenin kuruluş aşamalarını adım adım planlamaları sağlanır.</t>
  </si>
  <si>
    <t xml:space="preserve">4. İşletme Kurma Süreci</t>
  </si>
  <si>
    <t xml:space="preserve">5. İşletmenin faaliyet alanını ve kapasitesini açıklar.
• Öğrencilerin işletmelerin faaliyet alanlarına göre birbirinden farklılık gösterme sebeplerini açıklamaları sağlanır.
6. İşletmenin faaliyet alanına uygun pazarlama karması oluşturur.</t>
  </si>
  <si>
    <t xml:space="preserve">5. Faaliyet Alanına Göre İşletmeler
6. Pazarlama Karması Öğeleri</t>
  </si>
  <si>
    <t xml:space="preserve">7. Yönetimin alt fonksiyonları doğrultusunda yönetim planı hazırlar.
• Öğrencilerin okullarında var olan yönetim planını inceleyerek işletmelerin neden bir yönetim planına ihtiyaç duyduklarını kavramaları sağlanır.</t>
  </si>
  <si>
    <t xml:space="preserve">7. Yönetim Planı Hazırlama</t>
  </si>
  <si>
    <t xml:space="preserve">8. Kendi sektörüne uygun stok ve kalite yöntemini seçer.
• Öğrencilerin örnek senaryo üzerinde tartışarak stok ve kalite kontrol yöntemlerinin önemini kavraması sağlanır.</t>
  </si>
  <si>
    <t xml:space="preserve">8. Stok ve Kalite Yönetimi</t>
  </si>
  <si>
    <t xml:space="preserve">9. İşletmenin mali kaynaklarını ve finans yönetimi ile ilgili faaliyetlerini planlar.
10. İşletmenin personel bulma, işe alma ve performans değerlendirme süreçlerini planlar.
23 NİSAN Ulusal Egemenlik ve Çocuk Bayramı</t>
  </si>
  <si>
    <t xml:space="preserve">9. İşletmenin Finans Yönetimi
10. Personel Alım Süreci</t>
  </si>
  <si>
    <t xml:space="preserve">• Girişimcilik ve iş kurma ile ilgili farklı fikirleri dikkate alır.
• Bireysel olarak girişimcilik ve iş kurma ile ilgili fikirlerini planlayarak kendi öğrenmesinin sorumluluğunu alır.
• Girişimcilik ve iş kurma ile ilgili yapılan grup çalışmasında kendini yazılı ve sözlü ifade eder.
• Girişimcilik ve iş kurma ile ilgili grup çalışmaları sırasında arkadaşları ile iş birliği içinde çalışır.</t>
  </si>
  <si>
    <t xml:space="preserve">11. Girişimcilik ve İş Kurma ile İlgili Farklı Fikirleri Alma
12. Girişimcilik ve İş Kurma ile İlgili Bireysel Öğrenme Sorumluluğunu Alma
13. Girişimcilik ve İş Kurma ile İlgili Grup Çalışması
14. İş Kurma ile İlgili Grup Çalışmalarında İş birliğinin Önemi</t>
  </si>
  <si>
    <t xml:space="preserve">• Girişimcilik, iş kurma ve yürütme ile ilgili verilen problemin farklı çözüm yollarını araştırır.
• Girişimcilik, iş kurma ve yürütme ile ilgili verilen metni evrensel etik prensiplerini dikkate alarak değerlendirir.
• Girişimcilik, iş kurma ve yürütme ile ilgili problemin çözümü için neden sonuç ilişkisi kurar.
• Küçük ölçekli bir işletme kurulabilmesi için gerekli olan fizibilite çalışmasının prototipini geliştirir.</t>
  </si>
  <si>
    <t xml:space="preserve">15. Girişimcilik, İş Kurma ve Yürütme İle İlgili Problemlere Farklı Çözüm Yollarını Araştırma
16. Evrensel Etik Prensiplerini Değerlendirme
17. Girişimcilik, İş Kurma ve Yürütme ile İlgili Problem Çözümünde Neden-Sonuç İlişkisi
18. Küçük Ölçekli İşletme Kurma Prototipi</t>
  </si>
  <si>
    <t xml:space="preserve">1. Fikrî hak, sınai hak, telif hakkı ve fikir ürünleri kavramlarını açıklar.
• Öğrencilerin grup çalışması hâlinde yeni bir oyun tasarlamaları sağlanarak buluş, icat, yenilik gibi kavramların anlamları üzerinde düşünmeleri sağlanır.
• Öğrencilerin bazı nesne ya da ürünlerin üzerinde bulunan ve telif haklarına işaret eden simgelere dikkat çekilerek bu uyarıları kavramaları sağlanır.</t>
  </si>
  <si>
    <t xml:space="preserve">FİKRÎ VE SINAİ MÜLKİYET HAKLARI
1. Fikrî Hak, Sınai Hak, Telif Hakkı ve Fikir Ürünler</t>
  </si>
  <si>
    <t xml:space="preserve">2. Patent ve faydalı model ile ilgili tanımları, hakları ve başvuru süreçlerini açıklar.
• Öğrencilerin örnek bir okuma metni üzerinden ülkemizdeki patent tarihini, fikrî ve sınai hakların tarihsel gelişimini kavramaları sağlanır.
19 MAYIS Atatürk'ü Anma Gençlik ve Spor Bayramı</t>
  </si>
  <si>
    <t xml:space="preserve">2. Patent ve Faydalı Model Tanımı ve Başvuru Süreçleri</t>
  </si>
  <si>
    <t xml:space="preserve">3. Endüstriyel tasarım ve patent arasında ilişki kurar.
4. Fikirlerin ürüne dönüşme süreçlerini fikrî ve sınai haklar çerçevesinde açıklar.
5. Patent veri tabanının kullanımını açıklar.</t>
  </si>
  <si>
    <t xml:space="preserve">3. Endüstriyel Tasarım Ve Patent Arasında İlişki
4. Fikrî ve Sınai Haklar Çerçevesinde Fikirlerin Ürüne Dönüşme Süreçleri
5. Patent Veri Tabanı</t>
  </si>
  <si>
    <t xml:space="preserve">6. Marka ile ilgili tanımları, hakları, başvuru ve tescil sürecini açıklar.
7. Bilim, edebiyat ve sanat eserleri ile ilgili hakları açıklar.</t>
  </si>
  <si>
    <t xml:space="preserve">6. Marka Başvuru Süreci
7. Bilim, Edebiyat ve Sanat Eserleri ile İlgili Haklar</t>
  </si>
  <si>
    <t xml:space="preserve">8. Coğrafi işaretler ile ilgili tanımları, hakları ve tescil süreçlerini açıklar.
• Öğrencilerin, bir bölge ya da şehir adıyla birlikte tescillenmiş ürünlerden yola çıkarak coğrafi işaretler, menşe adı ve mahreç işareti kavramlarını açıklamaları sağlanır.</t>
  </si>
  <si>
    <t xml:space="preserve">8. Coğrafi İşaretler ve Tescil Süreçleri</t>
  </si>
  <si>
    <t xml:space="preserve">• Fikrî ve sınai mülkiyet hakları ile ilgili farklı fikir ve düşünceleri dikkate alır.
• Fikrî ve sınai mülkiyet hakları ile ilgili grup çalışmaları sırasında arkadaşları ile iş birliği içinde çalışır.
• Fikrî ve sınai mülkiyet hakları ile ilgili yapılan çalışmalar sırasında kendini yazılı ve sözlü ifade eder.
• Bireysel olarak fikirlerini planlayarak kendi öğrenmesinin sorumluluğunu alır.</t>
  </si>
  <si>
    <t xml:space="preserve">9. Fikrî ve Sınai Mülkiyet Hakları İle İlgili Farklı Fikirleri Alma
10. Fikrî ve Sınai Mülkiyet Hakları ile İlgili Grup Çalışmalarında İş Birliği
11. Fikrî ve Sınai Mülkiyet Hakları ile İlgili Senaryo Çalışması
12. Fikrî ve Sınai Mülkiyet Hakları ile İlgili Bireysel Öğrenme Sorumluluğunu Alma</t>
  </si>
  <si>
    <t xml:space="preserve">• Fikrî ve sınai mülkiyet hakları ile ilgili verilen problemi çözer.
• Anahtar kelimeler kullanarak kaynak taraması yapar.
• Fikrî ve sınai mülkiyet hakları ile ilgili verilen metni evrensel etik prensipleri dikkate alarak değerlendirir.</t>
  </si>
  <si>
    <t xml:space="preserve">13. Fikrî ve Sınai Mülkiyet Hakları İle İlgili Problem Çözme
14. Anahtar Kelimeler ile Kaynak Tarama
15. Fikri ve Sınai Mülkiyet Hakları ile Evrensel Etik Prensiplerini Değerlendirme</t>
  </si>
  <si>
    <t xml:space="preserve">: TEKNİK RESİM</t>
  </si>
  <si>
    <t xml:space="preserve">: 3 SAAT</t>
  </si>
  <si>
    <t xml:space="preserve">1. Teknik resim kurallarına (TS EN ISO standartlarına) uygun olarak eğik ve dik standart yazı yazar.
• Teknik resmin endüstrideki önemi üzerinde durulur.
• Teknik resim araç gereçleri ve çizim kâğıtları üzerinde durulur.</t>
  </si>
  <si>
    <t xml:space="preserve">GEOMETRİK ÇİZİMLER
1. Eğik ve Dik Standart Yazı</t>
  </si>
  <si>
    <t xml:space="preserve">Gösteri, Soru-Cevap, Bireyselleştirilmiş Öğretim, Temrin Çalışmaları</t>
  </si>
  <si>
    <t xml:space="preserve">Teknik Resim Atölyesi, çizim masası, gönye, T cetveli, daire şablonu, akıllı tahta</t>
  </si>
  <si>
    <t xml:space="preserve">1. Teknik resim kurallarına (TS EN ISO standartlarına) uygun olarak eğik ve dik standart yazı yazar.
• Standart yazı ve norm yazı örnekleri verilir.
• Norm yazı temrinleri verilir.</t>
  </si>
  <si>
    <t xml:space="preserve">1. Eğik ve Dik Standart Yazı</t>
  </si>
  <si>
    <t xml:space="preserve">2. Teknik resim kurallarına uygun olarak serbest elle ve çizim takımlarıyla çizgi çalışmaları yapar.
• Çizgi çeşitleri ve çizgi kalınlıkları üzerinde durulur.
• Çizgi çeşitlerinin kullanım alanları ile ilgili örnekler verilir.
• Çizgi çalışması temrinleri verilir.</t>
  </si>
  <si>
    <t xml:space="preserve">2. Çizgi Çalışmaları</t>
  </si>
  <si>
    <t xml:space="preserve">3. Teknik resim kurallarına uygun olarak geometrik şekiller çizer.
• Teknik resimde açı, paralellik ve diklik kavramları üzerinde durulur.
• Çember ve teğet doğrular üzerinde durulur.
• Teğet çizim örnekleri verilir.</t>
  </si>
  <si>
    <t xml:space="preserve">3. Geometrik Şekiller</t>
  </si>
  <si>
    <t xml:space="preserve">3. Teknik resim kurallarına uygun olarak geometrik şekiller çizer.
• Çokgen çizim yöntemleri üzerinde durulur.
• Açılı çizimler, çember ve teğet çizimleri, çokgen çizim temrinleri verilir.
29 EKİM Cumhuriyet Bayramı</t>
  </si>
  <si>
    <t xml:space="preserve">3. Teknik resim kurallarına uygun olarak geometrik şekiller çizer.
• Çokgen çizim örnekleri verilir.
• Açılı çizimler, çember ve teğet çizimleri, çokgen çizim temrinleri verilir.</t>
  </si>
  <si>
    <t xml:space="preserve">3. Teknik resim kurallarına uygun olarak geometrik şekiller çizer.
• Çokgen çizim örnekleri verilir.
• Açılı çizimler, çember ve teğet çizimleri, çokgen çizim temrinleri verilir.
10 KASIM Atatürk'ü Anma Günü ve Atatürk Haftası</t>
  </si>
  <si>
    <t xml:space="preserve">1. Teknik resim kurallarına uygun olarak serbest elle ve çizim takımlarıyla çeşitli iş parçalarına ait görünüşleri çizer.
• İzdüşüm ve görünüş çeşitleri üzerinde durulur.
• Görünüş sayısı, yardımcı, detay ve özel görünüş belirleme üzerinde durulur.</t>
  </si>
  <si>
    <t xml:space="preserve">GÖRÜNÜŞ ÇIKARMA
1. Teknik Resim Görünüşler</t>
  </si>
  <si>
    <t xml:space="preserve">1. Teknik resim kurallarına uygun olarak serbest elle ve çizim takımlarıyla çeşitli iş parçalarına ait görünüşleri çizer.
• Dik izdüşüm örnekleri ve temrinleri verilir.
• Tek görünüşün yeterli olduğu temrinler verilir.</t>
  </si>
  <si>
    <t xml:space="preserve">1. Teknik Resim Görünüşler</t>
  </si>
  <si>
    <t xml:space="preserve">1. Teknik resim kurallarına uygun olarak serbest elle ve çizim takımlarıyla çeşitli iş parçalarına ait görünüşleri çizer.
• İki veya daha fazla görünüş isteyen temrinler verilir.</t>
  </si>
  <si>
    <t xml:space="preserve">1. Teknik resim kurallarına uygun olarak serbest elle ve çizim takımlarıyla çeşitli iş parçalarına ait görünüşleri çizer.
• Yardımcı, detay ve özel görünüş temrinleri verilir.</t>
  </si>
  <si>
    <t xml:space="preserve">2. Teknik resim kurallarına uygun olarak serbest elle ve çizim takımlarıyla çeşitli iş parçalarına ait kesit görünüşleri çizer.
• Kesit alma ve kesit görünüş almanın gerekliliği üzerinde durulur.
• Kesit görünüş çeşitleri ve kesit görünüş almada uyulacak çizim kuralları üzerinde durulur.</t>
  </si>
  <si>
    <t xml:space="preserve">2. Kesit Görünüşler</t>
  </si>
  <si>
    <t xml:space="preserve">2. Teknik resim kurallarına uygun olarak serbest elle ve çizim takımlarıyla çeşitli iş parçalarına ait kesit görünüşleri çizer.
• Parçanın özelliğine uygun türde kesit alma örnekleri ve temrinleri verilir.</t>
  </si>
  <si>
    <t xml:space="preserve">2. Teknik resim kurallarına uygun olarak serbest elle ve çizim takımlarıyla çeşitli iş parçalarına ait kesit görünüşleri çizer.
• Kesit elemanlarını çizim kurallarına göre görünüşler üzerinde gösterme örnekleri verilir.</t>
  </si>
  <si>
    <t xml:space="preserve">1. Teknik resim kurallarına uygun olarak resmini çizdiği iş parçalarının ölçülendirme işlemini yapar.
• Ölçülendirme işlemi, doğru ölçülendirmenin önemi üzerinde durulur.
• Ölçülendirme sistemleri, çeşitleri ve yöntemleri üzerinde durulur.</t>
  </si>
  <si>
    <t xml:space="preserve">ÖLÇÜLENDİRME VE YÜZEY İŞLEMLERİ
1. Ölçülendirme</t>
  </si>
  <si>
    <t xml:space="preserve">1. Teknik resim kurallarına uygun olarak resmini çizdiği iş parçalarının ölçülendirme işlemini yapar.
• Ölçek türleri ve ölçeklendirme oranlarına örnekler verilir.
• Ölçülendirme ve ölçeklendirme temrinleri verilir.</t>
  </si>
  <si>
    <t xml:space="preserve">1. Ölçülendirme</t>
  </si>
  <si>
    <t xml:space="preserve">1. Teknik resim kurallarına uygun olarak resmini çizdiği iş parçalarının ölçülendirme işlemini yapar.
• Ölçülendirme ve ölçeklendirme temrinleri verilir.</t>
  </si>
  <si>
    <t xml:space="preserve">2. Teknik resim kurallarına uygun olarak resmini çizdiği iş parçalarına ait yüzey pürüzlülük değerlerini uygun sembolleri kullanarak resim üzerinde gösterir.
• İmalatta yüzey pürüzlülüğü, yüzey kalite çeşitleri ve yüzey pürüzlülük değerinin ölçülme yöntemleri üzerinde durulur.
• Yüzey kalite sembolündeki değer ve işaretler ile ilgili temrinler verilir.</t>
  </si>
  <si>
    <t xml:space="preserve">2. Yüzey Pürüzlülük İşlemleri</t>
  </si>
  <si>
    <t xml:space="preserve">2. Teknik resim kurallarına uygun olarak resmini çizdiği iş parçalarına ait yüzey pürüzlülük değerlerini uygun sembolleri kullanarak resim üzerinde gösterir.
• Yüzey kalite sembolündeki değer ve işaretler ile ilgili temrinler verilir.</t>
  </si>
  <si>
    <t xml:space="preserve">3. Teknik resim kurallarına uygun olarak resmini çizdiği iş parçalarına ait tolerans değerlerini uygun sembolleri kullanarak resim üzerinde gösterir.
• İmalatta tolerans kavramı, tolerans türleri, önemi üzerinde durulur.
• Boyut toleranslarına örnekler verilir.</t>
  </si>
  <si>
    <t xml:space="preserve">3. Tolerans İşlemleri</t>
  </si>
  <si>
    <t xml:space="preserve">3. Teknik resim kurallarına uygun olarak resmini çizdiği iş parçalarına ait tolerans değerlerini uygun sembolleri kullanarak resim üzerinde gösterir.
• Şekil ve konum toleranslarına örnekler verilir.
• Tolerans çizelgelerine örnekler verilir.
• Tolerans temrinleri verilir.</t>
  </si>
  <si>
    <t xml:space="preserve">1. Teknik resim kurallarına uygun olarak standart resim kâğıtlarına çeşitli iş parçalarının kroki resimlerini çizer.
• İmalatta kroki resmi, kroki çizmenin önemi üzerinde durulur.
• Kroki çiziminde işlem sırası üzerinde durulur.</t>
  </si>
  <si>
    <t xml:space="preserve">KROKİ, PERSPEKTİF VE YAPIM RESMİ
1. Kroki Çizimi</t>
  </si>
  <si>
    <t xml:space="preserve">1. Teknik resim kurallarına uygun olarak standart resim kâğıtlarına çeşitli iş parçalarının kroki resimlerini çizer.
• Makine parçalarında kroki çizme temrinleri verilir.
23 NİSAN Ulusal Egemenlik ve Çocuk Bayramı</t>
  </si>
  <si>
    <t xml:space="preserve">1. Kroki Çizimi</t>
  </si>
  <si>
    <t xml:space="preserve">1. Teknik resim kurallarına uygun olarak standart resim kâğıtlarına çeşitli iş parçalarının kroki resimlerini çizer.
• Makine parçalarında kroki çizme temrinleri verilir.</t>
  </si>
  <si>
    <t xml:space="preserve">2. Teknik resim kurallarına uygun olarak standart resim kâğıtlarına çeşitli iş parçalarının perspektif resimlerini çizer.
• Perspektif kavramı, perspektif çizmenin önemi üzerinde durulur.
• Perspektif resim türleri ve perspektif resim özellikleri üzerinde durulur.</t>
  </si>
  <si>
    <t xml:space="preserve">2. Perspektif Çizimi</t>
  </si>
  <si>
    <t xml:space="preserve">2. Teknik resim kurallarına uygun olarak standart resim kâğıtlarına çeşitli iş parçalarının perspektif resimlerini çizer.
• İzometrik, eğik ve merkezi perspektif üzerinde durulur.
• İmalatta kullanılan perspektif temrinleri verilir.
19 MAYIS Atatürk'ü Anma Gençlik ve Spor Bayramı</t>
  </si>
  <si>
    <t xml:space="preserve">2. Teknik resim kurallarına uygun olarak standart resim kâğıtlarına çeşitli iş parçalarının perspektif resimlerini çizer.
• İmalatta kullanılan perspektif temrinleri verilir.</t>
  </si>
  <si>
    <t xml:space="preserve">3. Teknik resim kurallarına uygun olarak standart resim kâğıtlarına çeşitli iş parçalarının imalat resimlerini çizer.
• İmalat resmi, imalat resminin özellikleri üzerinde durulur.
• İmalat resim ölçeği, görünüş sayısı, kesit ve detaylarla ilgili örnekler verilir.</t>
  </si>
  <si>
    <t xml:space="preserve">3. İmalat Resmi Çizimi</t>
  </si>
  <si>
    <t xml:space="preserve">3. Teknik resim kurallarına uygun olarak standart resim kâğıtlarına çeşitli iş parçalarının imalat resimlerini çizer.
• İmalat resim temrinleri verilir.</t>
  </si>
  <si>
    <t xml:space="preserve">: ÖLÇME VE KONTROL</t>
  </si>
  <si>
    <t xml:space="preserve">: Makine ve Tasarım Teknolojisi Alanı / Makine Bakım Onarım</t>
  </si>
  <si>
    <t xml:space="preserve">: AMP 10-A</t>
  </si>
  <si>
    <t xml:space="preserve">1. Ölçülecek profile ve ölçü büyüklüğüne göre kumpas seçer.
2. Kumpas çene hassasiyetini kontrol eder.</t>
  </si>
  <si>
    <t xml:space="preserve">KUMPASLA ÖLÇÜM YAPMA
1. Kumpaslar ve Çeşitleri</t>
  </si>
  <si>
    <t xml:space="preserve">Gösteri, Soru-Cevap, Bireyselleştirilmiş Öğretim, Uygulama</t>
  </si>
  <si>
    <t xml:space="preserve">İmalat atölyesi, kumpas, mikrometre, komparatör, açıölçer, sinüs çubuğu, yüzey profilometresi, mastarlar, optik cam</t>
  </si>
  <si>
    <t xml:space="preserve">1. Kumpaslar ve Çeşitleri</t>
  </si>
  <si>
    <t xml:space="preserve">3. Kumpası parça geometrisine göre konumlandırır.
4. Tespit vidası yardımıyla hareketli çeneyi tespit eder.</t>
  </si>
  <si>
    <t xml:space="preserve">2. Kumpasla Ölçüm Yapma</t>
  </si>
  <si>
    <t xml:space="preserve">3. Kumpası parça geometrisine göre konumlandırır.
4. Tespit vidası yardımıyla hareketli çeneyi tespit eder.
5. Kumpastan değer okur.</t>
  </si>
  <si>
    <t xml:space="preserve">5. Kumpastan değer okur.
29 EKİM Cumhuriyet Bayramı</t>
  </si>
  <si>
    <t xml:space="preserve">1. Ölçülecek profile ve ölçü büyüklüğüne göre mikrometre seçer.
2. Mikrometre örslerinin temizlik kontrolünü yapar.</t>
  </si>
  <si>
    <t xml:space="preserve">MİKROMETRE ÖLÇÜM YAPMA
1. Mikrometreler ve Çeşitleri</t>
  </si>
  <si>
    <t xml:space="preserve">1. Ölçülecek profile ve ölçü büyüklüğüne göre mikrometre seçer.
2. Mikrometre örslerinin temizlik kontrolünü yapar.
10 KASIM Atatürk'ü Anma Günü ve Atatürk Haftası</t>
  </si>
  <si>
    <t xml:space="preserve">1. Mikrometreler ve Çeşitleri</t>
  </si>
  <si>
    <t xml:space="preserve">3. Kontrol mastarlarıyla ölçü hassasiyeti kontrolünü yapar.
4. Mikrometreyi parça geometrisine göre konumlandırır.</t>
  </si>
  <si>
    <t xml:space="preserve">2. Mikrometre İle Ölçüm Yapma</t>
  </si>
  <si>
    <t xml:space="preserve">5. Tespit mandalı yardımıyla hareketli mili tespit eder.
6. Mikrometreden değer okur.</t>
  </si>
  <si>
    <t xml:space="preserve">1. Verniyerli açıölçerlerle ölçüm yapar.
2. Sinüs çubuğu ve ölçü mastarıyla ölçüm yapar.</t>
  </si>
  <si>
    <t xml:space="preserve">AÇI ÖLÇME
1. Açı Ölçme</t>
  </si>
  <si>
    <t xml:space="preserve">1. Açı Ölçme</t>
  </si>
  <si>
    <t xml:space="preserve">3. Silindirik makaralar ve bilyeler yardımıyla koniklik açısı ölçer.
4. Optik açı ölçüm cihazıyla açı ölçer.</t>
  </si>
  <si>
    <t xml:space="preserve">1. Yüzey profilometresi ile yüzey pürüzlülüğünü ölçer.</t>
  </si>
  <si>
    <t xml:space="preserve">YÜZEY PÜRÜZLÜLÜĞÜ ÖLÇME
1. Yüzey Profilometresi</t>
  </si>
  <si>
    <t xml:space="preserve">2. Yüzey pürüzlülük mastarlarıyla ölçüm yapar.</t>
  </si>
  <si>
    <t xml:space="preserve">2. Yüzey Pürüzlülük Mastarları</t>
  </si>
  <si>
    <t xml:space="preserve">1. Kumpas ile vidanın metrik veya withworth vida cinslerinden hangisi olduğunu belirler.</t>
  </si>
  <si>
    <t xml:space="preserve">VİDALARI ÖLÇME
1. Vida Türlerinin Belirlenmesi</t>
  </si>
  <si>
    <t xml:space="preserve">2. Kumpas veya mikrometre ile diş üstü çapını ölçer.
3. Mikrometreyle diş dibi çapını ölçer.</t>
  </si>
  <si>
    <t xml:space="preserve">2. Vida Diş Üstü ve Diş Dibi Çapı Ölçme</t>
  </si>
  <si>
    <t xml:space="preserve">4. Vida tarağıyla vida adımını ölçer.</t>
  </si>
  <si>
    <t xml:space="preserve">1. Diş büyüklüğüne göre modül tahmin eder.</t>
  </si>
  <si>
    <t xml:space="preserve">DİŞLİ ÇARKLARI ÖLÇME
1. Dişlilerde Modül Tahmini</t>
  </si>
  <si>
    <t xml:space="preserve">2. Yapılan tahmine göre modül kumpasının ağzını ayarlar.
3. Modül kumpasını diş üzerine yerleştirip ölçüm yapar.</t>
  </si>
  <si>
    <t xml:space="preserve">2. Dişli Çark Ölçümleri</t>
  </si>
  <si>
    <t xml:space="preserve">1. Ölçülecek profile göre mastarı seçer.
2. Mastarları birleştirir.</t>
  </si>
  <si>
    <t xml:space="preserve">MASTARLAR VE OPTİK CAMLARLA YÜZEY KONTROLÜ YAPMA
1. Mastar Türleri ve Mastar Seçimi</t>
  </si>
  <si>
    <t xml:space="preserve">1. Ölçülecek profile göre mastarı seçer.
2. Mastarları birleştirir.
23 NİSAN Ulusal Egemenlik ve Çocuk Bayramı</t>
  </si>
  <si>
    <t xml:space="preserve">1. Mastar Türleri ve Mastar Seçimi</t>
  </si>
  <si>
    <t xml:space="preserve">3. Mastarları iş parçasına yerleştirir.
4. Mastarlar ile kontrol işlemleri yapar.</t>
  </si>
  <si>
    <t xml:space="preserve">2. Mastarlarla Ölçüm Yapma</t>
  </si>
  <si>
    <t xml:space="preserve">1. İmalat resmine bakılarak uygun şekil kontrol aracı seçer.
19 MAYIS Atatürk'ü Anma Gençlik ve Spor Bayramı</t>
  </si>
  <si>
    <t xml:space="preserve">ŞEKİL TOLERANS KONTROLÜ YAPMA
1. Şekil Konum Kontrol Aracı Seçimi</t>
  </si>
  <si>
    <t xml:space="preserve">2. Kontrolü yapılacak iş parçasını hazırlar.
3. Kontrol işlemi yapar ve sonucu kaydeder.</t>
  </si>
  <si>
    <t xml:space="preserve">2. Şekil Konum Kontrolü</t>
  </si>
  <si>
    <t xml:space="preserve">1. İmalat resmine bakarak uygun mastar seçer.</t>
  </si>
  <si>
    <t xml:space="preserve">BOYUT TOLERANS KONTROLÜ YAPMA
1. Boyut Tolerans Kontrol Aracı Seçimi</t>
  </si>
  <si>
    <t xml:space="preserve">2. Boyut Tolerans Kontrolü</t>
  </si>
  <si>
    <t xml:space="preserve">: BAKIM ONARIM MESLEK RESMİ</t>
  </si>
  <si>
    <t xml:space="preserve">1. Standart çizelgelerden yararlanarak vida ölçülerini bulur ve vida dişi resmi çizer.
• Vidalarla ilgili araştırma yapması istenir.
• Öğrenciye vida ile cıvata arasındaki fark açıklanır.
• Diş dibi ve diş üstü çapı kavramları üzerinde durulur.
• Standart tablolardan ölçü alma işlemi açıklanır.</t>
  </si>
  <si>
    <t xml:space="preserve">VİDA, CIVATA VE SOMUN RESMİ ÇİZİMİ
1. Vida Dişleri Çizimleri</t>
  </si>
  <si>
    <t xml:space="preserve">Meslek Resim Salonu, resim masası, çizim araç gereçleri, çizim kâğıtları, örnek model parçalar, standart tablolar ve çizelgeler, akıllı tahta</t>
  </si>
  <si>
    <t xml:space="preserve">1. Standart çizelgelerden yararlanarak vida ölçülerini bulur ve vida dişi resmi çizer.
• Çizgi kalınlıklarına dikkat etmeleri sağlanır.
• Öğrencinin çizdiği her örnek bir port folyo dosyasına kaydedilir.</t>
  </si>
  <si>
    <t xml:space="preserve">1. Vida Dişleri Çizimleri</t>
  </si>
  <si>
    <t xml:space="preserve">2. Standart çizelgelerden yararlanarak cıvata ölçülerini bularak resimlerini çizer.
• Cıvata başı ve cıvata boyu kavramları açıklanır.
• Tablolardan standart cıvata ölçülerini tespit etmesi sağlanır.
• Anahtar ağzı kavramı açıklanır.</t>
  </si>
  <si>
    <t xml:space="preserve">2. Cıvata Resmi Çizimleri</t>
  </si>
  <si>
    <t xml:space="preserve">3. Standart çizelgelerden yararlanarak somun ölçülerini bularak resimlerini çizer.
• Tablolardan standart somun ölçülerini doğru tespit etmesi sağlanır.
• Somunun altıgenini çizerken daire içine çokgen çizme yöntemi kullanılır.</t>
  </si>
  <si>
    <t xml:space="preserve">3. Somun Resmi Çizimleri</t>
  </si>
  <si>
    <t xml:space="preserve">4. Vidalı birleştirme resimleri çizer.
• Vidalı birleştirmelerle ilgili araştırma yapması istenir.
• Cıvatalı birleştirme çizimlerinde birleştirme örnekleri görsel olarak anlatılır.
• Tablolardan standart cıvata ölçülerini doğru tespit etmesi sağlanır.</t>
  </si>
  <si>
    <t xml:space="preserve">4. Vidalı Birleştirme Çizimleri</t>
  </si>
  <si>
    <t xml:space="preserve">4. Vidalı birleştirme resimleri çizer.
• Vidalı birleştirmelerin ön ve yan görünüşlerinin kesit olarak çizilmesi sağlanır.</t>
  </si>
  <si>
    <t xml:space="preserve">4. Vidalı birleştirme resimleri çizer.
• Öğrencilerin kendi seçtikleri bir birleştirme tipini kullanarak uygulama yapmasına fırsat verilir.
29 EKİM Cumhuriyet Bayramı</t>
  </si>
  <si>
    <t xml:space="preserve">1. Standart çizelgelerden rondela ölçülerini belirleyerek rondela resmi çizer.
• Tablolardan standart rondela ölçülerini doğru tespit etmesi sağlanır.
• Rondelaların ön görünüşünün kesit olarak çizilmesi sağlanır.</t>
  </si>
  <si>
    <t xml:space="preserve">EMNİYETLİ BAĞLAMA ELEMANLARI ÇİZİMİ
1. Rondela Çizimi</t>
  </si>
  <si>
    <t xml:space="preserve">1. Standart çizelgelerden rondela ölçülerini belirleyerek rondela resmi çizer.
• Öğrencinin çizdiği her örnek bir port folyo dosyasına kaydedilir.
10 KASIM Atatürk'ü Anma Günü ve Atatürk Haftası</t>
  </si>
  <si>
    <t xml:space="preserve">1. Rondela Çizimi</t>
  </si>
  <si>
    <t xml:space="preserve">2. Standart ölçülerini dikkate alarak emniyet sacı resmi çizer.
• Emniyet sacının birleştirmede önemi ile ilgili araştırma yapması istenir.
• Emniyet sacı birleştirme çizimlerinde birleştirme örnekleri görsel olarak anlatılır.</t>
  </si>
  <si>
    <t xml:space="preserve">2. Emniyet Sacı Resmi Çizimi</t>
  </si>
  <si>
    <t xml:space="preserve">2. Standart ölçülerini dikkate alarak emniyet sacı resmi çizer.
• Öğrencinin çizdiği her örnek bir port folyo dosyasına kaydedilir.
3. Ayar bileziği resmi çizer.
• Ayar bileziğinin birleştirmede önemi ile ilgili araştırma yapması istenir.</t>
  </si>
  <si>
    <t xml:space="preserve">2. Emniyet Sacı Resmi Çizimi
3. Ayar Bileziği Resmi Çizimi</t>
  </si>
  <si>
    <t xml:space="preserve">3. Ayar bileziği resmi çizer.
4. Gupilya resmi çizer.
• Tablolardan gupilya ölçülerini doğru tespit etmesi sağlanır.
• Gupilya çapı, kullanılacağı perno veya cıvatanın delik çapına göre seçilmesi üzerinde durulur.</t>
  </si>
  <si>
    <t xml:space="preserve">3. Ayar Bileziği Resmi Çizimi
4. Gupilya Resmi Çizimi</t>
  </si>
  <si>
    <t xml:space="preserve">4. Gupilya resmi çizer.
• Öğrencinin çizdiği her örnek bir port folyo dosyasına kaydedilir.
5. Emniyet segmanı resmi çizer.
• Emniyet segmanı ile ilgili araştırma yapması istenir.</t>
  </si>
  <si>
    <t xml:space="preserve">4. Gupilya Resmi Çizimi
5. Emniyet Segmanı Resmi Çizimi</t>
  </si>
  <si>
    <t xml:space="preserve">5. Emniyet segmanı resmi çizer.
6. Mil tespit plakası resmi çizer.
• Mil tespit plakası ile ilgili araştırma yapması istenir.</t>
  </si>
  <si>
    <t xml:space="preserve">5. Emniyet Segmanı Resmi Çizimi
6. Mil Tespit Plakası Resmi Çizimi</t>
  </si>
  <si>
    <t xml:space="preserve">6. Mil tespit plakası resmi çizer.
• Mil tespit plakası çizimlerinde birleştirme örnekleri görsel olarak anlatılır.</t>
  </si>
  <si>
    <t xml:space="preserve">6. Mil Tespit Plakası Resmi Çizimi</t>
  </si>
  <si>
    <t xml:space="preserve">1. Standart çizelgelerden yararlanarak perno resmi çizer.
• Tablolardan standart perno ölçülerini doğru tespit etmesi sağlanır.</t>
  </si>
  <si>
    <t xml:space="preserve">BİRLEŞTİRME RESİMLERİ ÇİZİMİ
1. Perno Resmi Çizimi</t>
  </si>
  <si>
    <t xml:space="preserve">1. Standart çizelgelerden yararlanarak perno resmi çizer.
• Öğrencinin çizdiği her örnek bir port folyo dosyasına kaydedilir.
2. Standart çizelgelerden pim resmi çizer.
• Tablolardan standart pim ölçülerini doğru tespit etmesi sağlanır.</t>
  </si>
  <si>
    <t xml:space="preserve">1. Perno Resmi Çizimi
2. Pim Resmi Çizimi</t>
  </si>
  <si>
    <t xml:space="preserve">2. Standart çizelgelerden pim resmi çizer.
• Öğrencinin çizdiği her örnek bir port folyo dosyasına kaydedilir.</t>
  </si>
  <si>
    <t xml:space="preserve">2. Pim Resmi Çizimi</t>
  </si>
  <si>
    <t xml:space="preserve">3. Standart çizelgelerden yararlanarak kama resmi çizer.
• Tablolardan standart kama ölçülerini doğru tespit etmesi sağlanır.
• Kamalı birleştirme resimlerinde bırakılacak boşluğa dikkat etmesi istenir.</t>
  </si>
  <si>
    <t xml:space="preserve">3. Kama Resmi Çizimi</t>
  </si>
  <si>
    <t xml:space="preserve">3. Standart çizelgelerden yararlanarak kama resmi çizer.
• Kamalı birleştirmenin ön görünüşünün kesit olarak çizilmesi sağlanır.
• Öğrencinin çizdiği her örnek bir port folyo dosyasına kaydedilir.</t>
  </si>
  <si>
    <t xml:space="preserve">3. Standart çizelgelerden yararlanarak kama resmi çizer.
• Kamalı birleştirmenin ön görünüşünün kesit olarak çizilmesi sağlanır.</t>
  </si>
  <si>
    <t xml:space="preserve">4. Yay boyunu hesaplayarak yay resmi çizer.
• Tablolardan yay ölçülerini doğru tespit etmesi sağlanır.
• Birleştirme resimlerinde yaylar kesit görünüş olarak çizilir.</t>
  </si>
  <si>
    <t xml:space="preserve">4. Yay Resmi Çizimi</t>
  </si>
  <si>
    <t xml:space="preserve">5. Perçin ölçülerini belirleyerek perçinli birleştirme resimleri çizer.
• Perçinli birleştirmelerde ön görünüşlerin kesit olarak çizilmesi sağlanır.</t>
  </si>
  <si>
    <t xml:space="preserve">5. Perçin Resmi Çizimleri</t>
  </si>
  <si>
    <t xml:space="preserve">5. Perçin ölçülerini belirleyerek perçinli birleştirme resimleri çizer.
• Öğrencinin çizdiği her örnek bir port folyo dosyasına kaydedilir.
6. Kaynaklı birleştirme çeşitlerini belirleyerek kaynaklı birleştirme resimleri çizer.
• Kaynaklı birleştirmeler ile ilgili araştırma yapması istenir.</t>
  </si>
  <si>
    <t xml:space="preserve">5. Perçin Resmi Çizimleri
6. Kaynaklı Birleştirme Resmi Çizimleri</t>
  </si>
  <si>
    <t xml:space="preserve">6. Kaynaklı birleştirme çeşitlerini belirleyerek kaynaklı birleştirme resimleri çizer.
• Kaynak sembolleri gösterilirken sembollerle beraber kılavuz çizgi ve referans çizgilerin kullanılması sağlanır.</t>
  </si>
  <si>
    <t xml:space="preserve">6. Kaynaklı Birleştirme Resmi Çizimleri</t>
  </si>
  <si>
    <t xml:space="preserve">1. Ölçülerini dikkate alarak kasnak resimleri çizer.
• Kasnakların hesaplar yardımıyla çizilmesi sağlanır.
• Kasnağın kol durumunu ifade etmek için kollar döndürülmüş kesit olarak çizilir.</t>
  </si>
  <si>
    <t xml:space="preserve">MAKİNE ELEMANLARI RESMİ ÇİZİMİ
1. Kasnak Çizimi</t>
  </si>
  <si>
    <t xml:space="preserve">1. Ölçülerini dikkate alarak kasnak resimleri çizer.
• Kasnağın ön görünüşü kesit olarak çizilmesi gerektiği açıklanır.
• Öğrencinin çizdiği her örnek bir port folyo dosyasına kaydedilir.
23 NİSAN Ulusal Egemenlik ve Çocuk Bayramı</t>
  </si>
  <si>
    <t xml:space="preserve">1. Kasnak Çizimi</t>
  </si>
  <si>
    <t xml:space="preserve">1. Ölçülerini dikkate alarak kasnak resimleri çizer.
• Öğrencinin çizdiği her örnek bir port folyo dosyasına kaydedilir.</t>
  </si>
  <si>
    <t xml:space="preserve">2. Ölçülerini dikkate alarak kayma dirençli yatak yapım resimleri çizer.
• Tablolardan kayma dirençli yatak ölçülerini doğru tespit etmesi sağlanır.
• Kayma dirençli yataklar resimlerde tek görünüşle ifade edilmesi gerektiği anlatılır.</t>
  </si>
  <si>
    <t xml:space="preserve">2. Kayma Dirençli Yatak Çizimi</t>
  </si>
  <si>
    <t xml:space="preserve">3. Standart ölçülerini dikkate alarak yuvarlanma dirençli yatak yapım resimleri çizer.
• Tablolardan yuvarlanma dirençli yatak ölçülerini doğru tespit etmesi sağlanır.
• Yuvarlanmalı dirençli yatak resimleri montaj resimlerinde kesit görünüş olarak çizilmesi sağlanır.</t>
  </si>
  <si>
    <t xml:space="preserve">3. Yuvarlanma Dirençli Yatak Resmi Çizimi</t>
  </si>
  <si>
    <t xml:space="preserve">1. İşlem sırasına göre komple montaj resimler çizer.
• Komple resimlere ölçü verilmediği gibi toleranslarında verilmediği açıklanır.
• Montaj resimleri önce çizilerek gösterilir sonra öğrencilerin çizmesi sağlanır.
19 MAYIS Atatürk'ü Anma Gençlik ve Spor Bayramı</t>
  </si>
  <si>
    <t xml:space="preserve">KOMPLE RESİMLER
1. Parçaların Birleştirme Resmi Çizimi</t>
  </si>
  <si>
    <t xml:space="preserve">1. İşlem sırasına göre komple montaj resimler çizer.
• Montaj resimleri önce çizilerek gösterilir sonra öğrencilerin çizmesi sağlanır.</t>
  </si>
  <si>
    <t xml:space="preserve">1. Parçaların Birleştirme Resmi Çizimi</t>
  </si>
  <si>
    <t xml:space="preserve">2. Komple montaj resimlerinden grup montaj resimlerini çizer.
• Grup montajlarının tek başına çalışan bölümler olduğu açıklanır.
• Komple resim incelenerek grup montaj resmi çizilmesi sağlanır.</t>
  </si>
  <si>
    <t xml:space="preserve">2. Grup Montaj Resimleri Çizimi</t>
  </si>
  <si>
    <t xml:space="preserve">2. Komple montaj resimlerinden grup montaj resimlerini çizer.
• Montaj resimlerinden grup resimlerinin çizilmesi önce gösterilir sonra öğrencilerin çizmesi sağlanır.</t>
  </si>
  <si>
    <t xml:space="preserve">3. Grup montaj resimlerinden organ montaj resimlerini çizer.
• Organ montaj resimleri grup montaj resimlerinin ayrı ayrı çizilmiş parçaları olduğu açıklanır.
• Grup montaj resmi incelenerek organ resmi çizilmesi sağlanır.
• Organ montaj resimleri önce çizilerek gösterilir sonra öğrencilerin çizmesi sağlanır.</t>
  </si>
  <si>
    <t xml:space="preserve">3. Komple Resimler Çizimi</t>
  </si>
  <si>
    <t xml:space="preserve">3. Grup montaj resimlerinden organ montaj resimlerini çizer.
• Organ montaj resimleri önce çizilerek gösterilir sonra öğrencilerin çizmesi sağlanır.</t>
  </si>
  <si>
    <t xml:space="preserve">: İMALAT YÖNTEMLERİ</t>
  </si>
  <si>
    <t xml:space="preserve">İş Sağlığı ve Güvenliği Eğitimi
• Atölyede uyulması gereken kurallar açıklanır.
• Tezgâhlardan meydana gelebilecek iş kazaları açıklanır.
• İş güvenliği ve emniyet kuralları açıklanır.
• Kişisel koruyucu donanımlar tanıtılır.</t>
  </si>
  <si>
    <t xml:space="preserve">İŞ SAĞLIĞI VE GÜVENLİĞİ EĞİTİMİ
• Atölye İş Güvenliği Kuralları
• Kişisel Koruyucu Donanımlar
• Tezgâh Güvenliği</t>
  </si>
  <si>
    <t xml:space="preserve">Gösteri, Soru-Cevap, Bireyselleştirilmiş Öğretim, Temrin Çalışmaları, Uygulamalı Öğretim</t>
  </si>
  <si>
    <t xml:space="preserve">İmalat İşlemleri Atölyesi, torna tezgahı, freze tezgahı, taşlama tezgahı, kaynak makinesi, oksi-gaz kaynak seti, ölçme ve kontrol aletleri, akıllı tahta</t>
  </si>
  <si>
    <t xml:space="preserve">1. Tornada iş sağlığı ve güvenliği tedbirlerini alarak torna tezgâhında delik delme ve büyütme işlemleri yapar.
• Torna tezgâhında delik büyütme işlemini delik kalemi kullanarak yapar.</t>
  </si>
  <si>
    <t xml:space="preserve">TORNA TEZGÂHLARINDA DELİK DELME VE BÜYÜTME
1. Tornada Delik Delmek ve Büyütme</t>
  </si>
  <si>
    <t xml:space="preserve">• Öğrencilere temrin parçasına delik büyütme işlemlerinin yapılması sağlanır.
2. Torna tezgâhında ölçme ve kontrol yapma
• Kumpas çeşitleri ve kullanılmasındaki hassas noktalar açıklanır.</t>
  </si>
  <si>
    <t xml:space="preserve">1. Tornada Delik Delmek ve Büyütme
2. Ölçme ve Kontrol Yapma</t>
  </si>
  <si>
    <t xml:space="preserve">• Mikrometreler ve kullanılma alanları açıklanarak uygulama yapılır.
• Komparatörler ve kullanılma alanları açıklanarak uygulama yapılır.</t>
  </si>
  <si>
    <t xml:space="preserve">2. Ölçme ve Kontrol Yapma</t>
  </si>
  <si>
    <t xml:space="preserve">2. Torna tezgâhında ölçme ve kontrol yapma
• Kumpas çeşitleri ve kullanılmasındaki hassas noktalar açıklanır.
• Mikrometreler ve kullanılma alanları açıklanarak uygulama yapılır.
• Komparatörler ve kullanılma alanları açıklanarak uygulama yapılır.</t>
  </si>
  <si>
    <t xml:space="preserve">1. Tornada iş sağlığı ve güvenliği tedbirlerini alarak torna tezgâhında delik delme ve büyütme işlemleri yapar.
• Torna tezgâhında delik büyütme işlemini delik kalemi kullanarak yapar.
• Öğrencilere temrin parçasına delik büyütme işlemlerinin yapılması sağlanır.</t>
  </si>
  <si>
    <t xml:space="preserve">1. Tornada iş sağlığı ve güvenliği tedbirlerini alarak üçgen vida ve somunu açma işlemleri yapar.
• Üçgen vida torna tezgâhında açılması sağlanır.
29 EKİM Cumhuriyet Bayramı</t>
  </si>
  <si>
    <t xml:space="preserve">TORNA TEZGÂHLARINDA VİDA AÇMA
1. Üçgen Vida Açma</t>
  </si>
  <si>
    <t xml:space="preserve">• Yapılan vida ve somun iki parça birlikte çalıştırılır.</t>
  </si>
  <si>
    <t xml:space="preserve">1. Üçgen Vida Açma</t>
  </si>
  <si>
    <t xml:space="preserve">1. Tornada iş sağlığı ve güvenliği tedbirlerini alarak üçgen vida ve somunu açma işlemleri yapar.
• Üçgen vida torna tezgâhında açılması sağlanır.
10 KASIM Atatürk'ü Anma Günü ve Atatürk Haftası</t>
  </si>
  <si>
    <t xml:space="preserve">2. Torna tezgâhında kare vida açar.
• Kare vida açılması sağlanır.</t>
  </si>
  <si>
    <t xml:space="preserve">2. Kare Vida Açma</t>
  </si>
  <si>
    <t xml:space="preserve">3. İmalat resmine uygun trapez vida açma işlemlerini yapar.
• İşlem sırasına uygun trapez vida açması sağlanır.</t>
  </si>
  <si>
    <t xml:space="preserve">3. Trapez Vida Açma</t>
  </si>
  <si>
    <t xml:space="preserve">1. Freze tezgâhında delik delme ve delik büyütme işlemleri yapar.
• Freze tezgâhında delik delme ve büyütme işlemleri iş güvenliği tedbirlerini alarak uygulaması sağlanır.</t>
  </si>
  <si>
    <t xml:space="preserve">FREZEDE DELİK DELME VE KAMA KANALI AÇMA
1. Freze Tezgâhında Delik Delmek ve Büyütme</t>
  </si>
  <si>
    <t xml:space="preserve">2. Freze tezgâhında imalatı yapılacak olan iş parçasının üzerine kama kanalı açma işlemlerini yapar.
• Kama kanalının kullanım amacını açıklar.
• Kama kanalı açmada kullanılan kesicileri sınıflandırır.
• Kama kanalı açmada işlem sırasını açıklar.
• Kesicileri tezgâha bağlar.</t>
  </si>
  <si>
    <t xml:space="preserve">2. Freze Tezgâhında Kama Kanalı Açma</t>
  </si>
  <si>
    <t xml:space="preserve">• İş parçasını uygun bağlama aparatları ile tezgâha bağlar.
• Miller üzerine kama kanalını açar.
• Düzlemsel parçalar üzerine kama kanalı açar.
• Düzlemsel parçalar üzerine T kanalı açar.
• Deliklere kama kanalı açar.
• Kama ölçülerine göre kama kanalını kontrol eder.</t>
  </si>
  <si>
    <t xml:space="preserve">3. Freze tezgâhlarının bakım işlemlerini yapar.</t>
  </si>
  <si>
    <t xml:space="preserve">3. Freze Tezgâhlarının Bakım İşlemleri</t>
  </si>
  <si>
    <t xml:space="preserve">1. Freze tezgâhında işlem sırasına dikkat ederek hesaplarına göre düz dişliyi açar.
• Düz dişli hesabının yapılması sağlanır.
• Düz dişli temrinin yapılması sağlanır.
• Açılan düz dişlinin kontrolünü yapar.</t>
  </si>
  <si>
    <t xml:space="preserve">FREZEDE DİŞLİ AÇMA
1. Düz Dişli Açma</t>
  </si>
  <si>
    <t xml:space="preserve">1. Freze tezgâhında işlem sırasına dikkat ederek hesaplarına göre düz dişliyi açar.
• Düz dişli temrinin yapılması sağlanır.
• Açılan düz dişlinin kontrolünü yapar.</t>
  </si>
  <si>
    <t xml:space="preserve">1. Düz Dişli Açma</t>
  </si>
  <si>
    <t xml:space="preserve">2. Freze tezgâhında yapılan hesaba göre kremayer dişli açar.
• Kremayer dişli hesabının yapılması sağlanır.
• Kremayer dişli temrinin yapılması sağlanır.
• Açılan kremayer dişlinin kontrolünü yapar.</t>
  </si>
  <si>
    <t xml:space="preserve">2. Kremayer Dişli Açma</t>
  </si>
  <si>
    <t xml:space="preserve">2. Freze tezgâhında yapılan hesaba göre kremayer dişli açar.
• Kremayer dişli temrinin yapılması sağlanır.
• Açılan kremayer dişlinin kontrolünü yapar.</t>
  </si>
  <si>
    <t xml:space="preserve">1. Zımpara Taşlarını Dengeleyerek Tezgâha Bağlar.
• Taş dengeleme sehbasını kullanma ve balans ayarı yaptırılarak uygulama yaptırılmasına fırsat verilir.</t>
  </si>
  <si>
    <t xml:space="preserve">TEMEL TAŞLAMA İŞLEMLERİ
1. Zımpara Taşlarını Dengelemek ve Tezgâha Bağlama</t>
  </si>
  <si>
    <t xml:space="preserve">1. Zımpara Taşlarını Dengelemek ve Tezgâha Bağlama</t>
  </si>
  <si>
    <t xml:space="preserve">2. Düzlem yüzey taşlama işlemleri yapar.
• Yüzey pürüzlülüğü ve yüzey işleme işaretleri hakkında bilgi toplaması istenir.</t>
  </si>
  <si>
    <t xml:space="preserve">2. Düzlem Yüzey Taşlama</t>
  </si>
  <si>
    <t xml:space="preserve">3. Silindirik Taşlama işlemleri yapar.
• Delik ve Mil geçme sistemleri hakkında bilgi toplaması istenir.</t>
  </si>
  <si>
    <t xml:space="preserve">3. Silindirik Taşlama</t>
  </si>
  <si>
    <t xml:space="preserve">3. Silindirik Taşlama işlemleri yapar.
• Delik ve Mil geçme sistemleri hakkında bilgi toplaması istenir.
23 NİSAN Ulusal Egemenlik ve Çocuk Bayramı</t>
  </si>
  <si>
    <t xml:space="preserve">1. Kaynak makinesini güç kaynağına bağlar.
• Elektrik ark kaynağının tarihçesi ve kullanılan kaynak yöntemleri açıklanır.
• Temel ve yardımcı elemanlar tanıtılır.
• Elektrik ark kaynak makinelerinin özellikleri belirtilir.</t>
  </si>
  <si>
    <t xml:space="preserve">ELEKTRİK ARKI İLE DİKİŞ ÇEKME
1. Kaynak Makinesi Bağlantısı</t>
  </si>
  <si>
    <t xml:space="preserve">2. Elektrik ark kaynağı ile ark yapar.
• Kaynak arkı oluşturma için temel ve yardımcı elemanlar hazırlanır.
• Ark oluşturulacak parça yüzeyini temizlemesi istenir.
• Elektrot çapına uygun amper ayarı seçiminin önemi açıklanır.</t>
  </si>
  <si>
    <t xml:space="preserve">2. Elektrik Ark Kaynağı ile Ark Yapımı</t>
  </si>
  <si>
    <t xml:space="preserve">3. Yatayda düz dikiş çeker.
• Markalama yapmanın önemi açıklanır.
• Başlangıç ve bitiş noktalarında dikkat edilecek hususlar belirtilir.
19 MAYIS Atatürk'ü Anma Gençlik ve Spor Bayramı</t>
  </si>
  <si>
    <t xml:space="preserve">3. Yatayda Düz Dikiş Çekme</t>
  </si>
  <si>
    <t xml:space="preserve">3. Yatayda düz dikiş çeker.
• Markalama yapmanın önemi açıklanır.
• Başlangıç ve bitiş noktalarında dikkat edilecek hususlar belirtilir.</t>
  </si>
  <si>
    <t xml:space="preserve">1. Oksijen ve asetilen tüplerini açıp kapatır ve manometre ayarı yapar.
• Tüplerin taşınma kuralları açıklanır.
• Manometrenin tüplere takılmasında dikkat edilecek hususlar hatırlatılır.
• Çalışma basıncı ayarı ve gaz kaçak kontrolü yapılır.</t>
  </si>
  <si>
    <t xml:space="preserve">OKSİ GAZ İLE DİKİŞ ÇEKME
1. Oksijen ve Asetilen Tüplerini Açıp Kapatma</t>
  </si>
  <si>
    <t xml:space="preserve">2. Alev oluşturarak alev ayarı yapar.
• Normal alev oluşturularak uygulama yapılır.
3. Yatayda telsiz dikiş çeker.
• Hazırlık işlemleri yapılır.
• Gereci markalar ve ön temizliğini yapar.
• Basınç ve normal alev ayarını yaparak telsiz dikiş çeker.</t>
  </si>
  <si>
    <t xml:space="preserve">2. Alev Oluşturma ve Alev Ayarı
3. Yatayda Telsiz Dikiş Çekme</t>
  </si>
  <si>
    <t xml:space="preserve">4. Yatayda telli dikiş çeker.
• Hazırlık işlemleri yapılır.
• Gereci markalar ve ön temizliğini yapar.
• Basınç ve normal alev ayarını yaparak telli dikiş çeker.</t>
  </si>
  <si>
    <t xml:space="preserve">4. Yatayda Telli Dikiş Çekme</t>
  </si>
  <si>
    <t xml:space="preserve">4. Yatayda telli dikiş çeker.
• Yatayda sağdan sola/soldan sağa telli düz kaynak dikişi çekmesi sağlanarak uygulama yapmasına fırsat verilir.</t>
  </si>
  <si>
    <t xml:space="preserve">: MALZEME BİLGİSİ</t>
  </si>
  <si>
    <t xml:space="preserve">1. Malzemenin tanımı ve sınıflandırmasını yapar.
• Malzemenin tanımı ve önemi açıklanır.
• Malzemelerin genel özellikleri açıklanır.
• Malzemeler sınıflandırılır.
• Metaller hakkında bilgi verilir.</t>
  </si>
  <si>
    <t xml:space="preserve">MALZEME BİLİMİ
1. Malzemenin Tanımı ve Sınıflandırılması</t>
  </si>
  <si>
    <t xml:space="preserve">Anlatım, Soru-Cevap, Tartışma, Gösterip Yaptırma, Bireyselleştirilmiş Öğretim</t>
  </si>
  <si>
    <t xml:space="preserve">Etkileşimli tahta/projeksiyon, ders kitabı, malzeme numuneleri, sertlik ölçme cihazları, deney seti</t>
  </si>
  <si>
    <t xml:space="preserve">• Metal olmayan malzemeler hakkında bilgi verilir.
• İletken ve yarı iletken malzemeler açıklanır.
• Modern malzemelerden bahsedilir.
2. İşe uygun malzeme seçimi yapar.
• Atomun yapısı açıklanır.</t>
  </si>
  <si>
    <t xml:space="preserve">1. Malzemenin Tanımı ve Sınıflandırılması
2. Malzemeleri Seçme</t>
  </si>
  <si>
    <t xml:space="preserve">• Atomlar arası bağ açıklanır.
• Malzemelerin moleküler yapısı ve kristal yapısı açıklanır.
3. Alaşımları ve alaşım yapmayı açıklar.
• Çeliği tanımlanır.
• Alaşımı tanımlanır.</t>
  </si>
  <si>
    <t xml:space="preserve">2. Malzemeleri Seçme
3. Alaşımlar</t>
  </si>
  <si>
    <t xml:space="preserve">• Demir alaşımları sınıflandırılır.
• Demir dışı metaller ve alaşımlarını açıklanır.</t>
  </si>
  <si>
    <t xml:space="preserve">3. Alaşımlar</t>
  </si>
  <si>
    <t xml:space="preserve">4. Allatropi-faz dönüşümlerini açıklayarak denge diyagramlarını çizer.
• Allotropi tanımlanır.
• Allotropik alaşımların özellikleri açıklanır.
• Demirin allotropisi açıklanır.</t>
  </si>
  <si>
    <t xml:space="preserve">4. Faz Dönüşümleri</t>
  </si>
  <si>
    <t xml:space="preserve">4. Allatropi-faz dönüşümlerini açıklayarak denge diyagramlarını çizer.
• Demirin allotropisi açıklanır.
• Denge diyagramları çizilir.</t>
  </si>
  <si>
    <t xml:space="preserve">1. Ham demir üretimini açıklar.
• Demirin tanımı yapılır.
• Demir filizleri açıklanır.
• Demirin elde edilmesi açıklanır.
29 EKİM Cumhuriyet Bayramı</t>
  </si>
  <si>
    <t xml:space="preserve">DEMİR ÜRETİMİ
1. Ham Demirler</t>
  </si>
  <si>
    <t xml:space="preserve">2. Dökme demir üretimini açıklar.
• Dökme demir tanımlanır.
• Dökme demir çeşitleri sınıflandırılır.</t>
  </si>
  <si>
    <t xml:space="preserve">2. Dökme Demirler</t>
  </si>
  <si>
    <t xml:space="preserve">2. Dökme demir üretimini açıklar.
• Dökme demir üretim işlemleri açıklanır.
10 KASIM Atatürk'ü Anma Günü ve Atatürk Haftası</t>
  </si>
  <si>
    <t xml:space="preserve">1. Çelik üretim yöntemlerini açıklar.
• Çeliğin tanımı yapılır.
• Çelik üretim yöntemleri sınıflandırılır.
• Çeliklerin haddelenmesi açıklanır.</t>
  </si>
  <si>
    <t xml:space="preserve">ÇELİK ÜRETİMİ
1. Çelik Üretim Yöntemleri</t>
  </si>
  <si>
    <t xml:space="preserve">1. Çelik üretim yöntemlerini açıklar.
2. Çeliklerin sınıflandırmasını yapar.
• Çeliklerin sınıflandırılması yapılır.</t>
  </si>
  <si>
    <t xml:space="preserve">1. Çelik Üretim Yöntemleri
2. Çeliklerin Sınıflandırılması</t>
  </si>
  <si>
    <t xml:space="preserve">3. Çelikte katkı elemanlarının etkilerini ve çelik standartlarını açıklar.
• Katkı elemanlarının çeliklere sağladığı faydalar açıklanır.
• TSE standartları sınıflandırılır.</t>
  </si>
  <si>
    <t xml:space="preserve">3. Çelik Katkı Elemanları ve Çelik Standartları</t>
  </si>
  <si>
    <t xml:space="preserve">3. Çelikte katkı elemanlarının etkilerini ve çelik standartlarını açıklar.
• ISO standartları sınıflandırılır.</t>
  </si>
  <si>
    <t xml:space="preserve">1. Isıl işlemin amaçlarını açıklar.
• Isıl işlem tanımlanır.
• Çeliğe uygulanan ısıl işlemin amacı açıklanır.
• Çeliklere uygulanan ısıl işlemler açıklanır.</t>
  </si>
  <si>
    <t xml:space="preserve">ÇELİKLERİN ISIL İŞLEMLERİ
1. Isıl İşlem</t>
  </si>
  <si>
    <t xml:space="preserve">1. Isıl işlemin amaçlarını açıklar.
• Çeliklerin tavlanması açıklanır.
• Tavlama çeşitleri açıklanır.
• Çeliğin sertleştirilmesi açıklanır.
• Çeliğin sertleştirilmesinin nedeni açıklanır.</t>
  </si>
  <si>
    <t xml:space="preserve">1. Isıl İşlem</t>
  </si>
  <si>
    <t xml:space="preserve">2. Yüzey sertleştirme yöntemlerini açıklar.
• Yüzey sertleştirme işleminin amacı açıklanır.
• Yüzey sertleştirme yöntemleri açıklanır.
• Sementasyon yöntemi açıklanır.
• Alevle yüzey sertleştirme yöntemi açıklanır.</t>
  </si>
  <si>
    <t xml:space="preserve">2. Yüzey Sertleştirme</t>
  </si>
  <si>
    <t xml:space="preserve">2. Yüzey sertleştirme yöntemlerini açıklar.
• Nitrürasyon yöntemi açıklanır.
• Daldırma yöntemi ile yüzey sertleştirme yöntemi açıklanır.
• Elektron bombardımanı ile yüzey sertleştirme yöntemi açıklanır.</t>
  </si>
  <si>
    <t xml:space="preserve">3. Sertlik ölçme yöntemlerini açıklar.
• Dinamik sertlik ölçme yöntemleri açıklanır.
• Rockwell, Brinell, Vickers ve Mikro sertlik ölçme yöntemleri açıklanır.</t>
  </si>
  <si>
    <t xml:space="preserve">3. Sertlik Ölçme Yöntemleri</t>
  </si>
  <si>
    <t xml:space="preserve">3. Sertlik ölçme yöntemlerini açıklar.
• Statik sertlik ölçme yöntemleri açıklanır.
• Shore sertlik ölçme yöntemleri açıklanır.
• Sertlik ölçümü yapılırken dikkat edilecek hususlar açıklanır.</t>
  </si>
  <si>
    <t xml:space="preserve">1. Korozyon çeşitlerini açıklar.
• Korozyon tanımlanır.
• Korozyon çeşitleri açıklanır.</t>
  </si>
  <si>
    <t xml:space="preserve">KOROZYON
1. Korozyon Çeşitleri</t>
  </si>
  <si>
    <t xml:space="preserve">2. Korozyondan korunma yöntemlerini açıklar.
• Korozyona etki eden faktörler açıklanır.</t>
  </si>
  <si>
    <t xml:space="preserve">2. Korozyondan Korunma</t>
  </si>
  <si>
    <t xml:space="preserve">2. Korozyondan korunma yöntemlerini açıklar.
• Korozyondan korunma yöntemleri açıklanır.</t>
  </si>
  <si>
    <t xml:space="preserve">1. Demir olmayan metalleri açıklar.
• Demir olmayan metal çeşitleri açıklanır.
• Ağır metaller ve özellikleri açıklanır.
• Hafif metaller ve özellikleri açıklanır.</t>
  </si>
  <si>
    <t xml:space="preserve">DEMİR DIŞI MALZEMELER
1. Demir Olmayan Metaller</t>
  </si>
  <si>
    <t xml:space="preserve">2. Plastik malzemeleri açıklar.
• Plastik malzemeyi tanımlar.
• Plastik malzemelerin genel özellikleri açıklanır.
• Plastik çeşitlerini açıklar.
• Doğal plastikler açıklanır.
• Yapay plastikler açıklanır.</t>
  </si>
  <si>
    <t xml:space="preserve">2. Plastikler</t>
  </si>
  <si>
    <t xml:space="preserve">3. Kompozit malzemeleri açıklar.
• Kompozit malzeme tanımlanır.
• Kompozit malzemeler ve temel özellikleri açıklanır.
• Kompozit malzemeler sınıflandırılır.</t>
  </si>
  <si>
    <t xml:space="preserve">3. Kompozit Malzemeler</t>
  </si>
  <si>
    <t xml:space="preserve">3. Kompozit malzemeleri açıklar.
• Kompozit malzemelerin uygulama alanları açıklanır.</t>
  </si>
  <si>
    <t xml:space="preserve">1. Tahrip ederek yapılan malzeme muayene yöntemlerini açıklar.
• Malzeme muayenenin amacı ve önemi açıklanır.
• Tahrip ederek yapılan muayene yöntemleri sınıflandırılır.
• Malzeme muayene safhaları açıklanır.</t>
  </si>
  <si>
    <t xml:space="preserve">MALZEME MUAYENE YÖNTEMLERİ
1. Tahrip Ederek Yapılan Muayene Yöntemleri</t>
  </si>
  <si>
    <t xml:space="preserve">1. Tahrip ederek yapılan malzeme muayene yöntemlerini açıklar.
• Kıvılcım deneyi ile muayene yöntemi açıklanır.
• Çekme deneyi ile muayene yöntemi açıklanır.
• Basma deneyi ile muayene yöntemi açıklanır.
23 NİSAN Ulusal Egemenlik ve Çocuk Bayramı</t>
  </si>
  <si>
    <t xml:space="preserve">1. Tahrip Ederek Yapılan Muayene Yöntemleri</t>
  </si>
  <si>
    <t xml:space="preserve">1. Tahrip ederek yapılan malzeme muayene yöntemlerini açıklar.
• Bükme deneyi ile muayene yöntemi açıklanır.
• Burulma deneyi ile muayene yöntemi açıklanır.
• Kesme deneyi ile muayene yöntemi açıklanır.
• Kopma deneyi ile muayene yöntemi açıklanır.</t>
  </si>
  <si>
    <t xml:space="preserve">2. Tahrip etmeden yapılan malzeme muayene yöntemlerini açıklar.
• Gözle muayene yöntemi açıklanır.
• Mikroskopla muayene yöntemi açıklanır.
• Penetrant sıvı ile kontrol yöntemi açıklanır.
• Basınçlı kontrol yöntemi açıklanır.</t>
  </si>
  <si>
    <t xml:space="preserve">2. Tahribatsız Muayene Yöntemleri</t>
  </si>
  <si>
    <t xml:space="preserve">3. Malzemelere uygulanan teknolojik deneyleri açıklar.
• Ultrasonik muayene yöntemleri açıklanır.
• Röntgen ışınları ile kontrol yöntemleri açıklanır.
19 MAYIS Atatürk'ü Anma Gençlik ve Spor Bayramı</t>
  </si>
  <si>
    <t xml:space="preserve">3. Teknolojik Muayene Yöntemleri</t>
  </si>
  <si>
    <t xml:space="preserve">3. Malzemelere uygulanan teknolojik deneyleri açıklar.
• Manyetik kontrol yöntemleri açıklanır.</t>
  </si>
  <si>
    <t xml:space="preserve">1. Toz üretim yöntemlerini açıklar.
• Toz metalürjisinin tanımı yapılır.
• Toz metalürjisinin üretim aşamaları açıklanır.
• Toz metalürjisinin fayda ve zararları açıklanır.
• Toz metalürjisinin kullanım alanları açıklanır.
• Toz metalürjisinde kullanılan kavramlar açıklanır.</t>
  </si>
  <si>
    <t xml:space="preserve">TOZ METALÜRJİSİ
1. Toz Üretim Yöntemleri</t>
  </si>
  <si>
    <t xml:space="preserve">2. Toz şekillendirme yöntemlerini açıklar.
• Toz hazırlama yöntemleri açıklanır.
• Yağlayıcı ve bağlayıcılar açıklanır.
• Presleme yöntemi açıklanır.
• Haddeleme yöntemi açıklanır.
• İzostatik presleme yöntemi açıklanır.
• Ekstrüzyon yöntemi açıklanır.
• Toz enjeksiyon kalıplama tekniği açıklanır.</t>
  </si>
  <si>
    <t xml:space="preserve">2. Toz Şekillendirme Yöntemleri</t>
  </si>
  <si>
    <t xml:space="preserve">3. Sinterleme kavramını açıklar.
• Sinterleme kavramı açıklanır.
• Sinterleme işleminin aşamaları anlatılır.
• Katı faz sinterlemesi açıklanır.
• Sıvı faz sinterlemesi açıklanır.</t>
  </si>
  <si>
    <t xml:space="preserve">3. Sinterleme Kavramı</t>
  </si>
  <si>
    <t xml:space="preserve">3. Sinterleme kavramını açıklar.
• Sinterlemenin uygulama alanları anlatılır.</t>
  </si>
  <si>
    <t xml:space="preserve">: SOSYAL MEDYA (SEÇMELİ)</t>
  </si>
  <si>
    <t xml:space="preserve">: Makine Teknolojisi Alanı / Makine Bakım Onarım Dalı</t>
  </si>
  <si>
    <t xml:space="preserve">: AMP 11-A</t>
  </si>
  <si>
    <t xml:space="preserve">E-ticarete ilişkin temel kavramları açıklar.
E-ticaretin avantaj ve dezavantajlarını açıklar.</t>
  </si>
  <si>
    <t xml:space="preserve">E-Ticaret</t>
  </si>
  <si>
    <t xml:space="preserve">Anlatım, Gösteri, Soru-Cevap, Bireyselleştirilmiş Öğretim, Temrin Çalışmaları</t>
  </si>
  <si>
    <t xml:space="preserve">Bilişim Teknolojileri Laboratuvarı, akıllı tahta/projeksiyon, bilgisayar, yazıcı/tarayıcı, internet, sosyal medya analiz/raporlama araçları, veri görselleştirme yazılımları</t>
  </si>
  <si>
    <t xml:space="preserve">E-ticaret türlerini açıklar.
E-ticaret çalışma şekil ve örneklerini açıklar.</t>
  </si>
  <si>
    <t xml:space="preserve">E-Ticaret Türleri</t>
  </si>
  <si>
    <t xml:space="preserve">E-ticarette pazarlama aşamalarını sıralar.
E-ticaretle yapılacak işin planlamasını açıklar.</t>
  </si>
  <si>
    <t xml:space="preserve">E-Ticarette Pazarlama</t>
  </si>
  <si>
    <t xml:space="preserve">Pazarlama için kullanılacak araçları açıklar.</t>
  </si>
  <si>
    <t xml:space="preserve">Elektronik pazarlama yöntemlerini açıklar.</t>
  </si>
  <si>
    <t xml:space="preserve">E-ticaret için gereken teknik alt yapı ve güvenlik unsurlarını açıklar.
E-ticaret için kullanılacak teknik internet alt yapısı, yazılımı ve hazır yazılım paketlerini açıklar.</t>
  </si>
  <si>
    <t xml:space="preserve">Alt Yapı ve Güvenlik</t>
  </si>
  <si>
    <t xml:space="preserve">Güvenlik sistemlerini açıklar.</t>
  </si>
  <si>
    <t xml:space="preserve">Güvenli ödeme yöntemlerini açıklar.</t>
  </si>
  <si>
    <t xml:space="preserve">E-ticaret ile ilgili hukuki düzenlemeleri takip eder.
E-ticaret kanun ve uygulamalarını açıklar.</t>
  </si>
  <si>
    <t xml:space="preserve">E-Ticarette Hukuki Düzenlemeler</t>
  </si>
  <si>
    <t xml:space="preserve">Sosyal medyayı kullanırken temel hak ve özgürlükler kapsamında etik kurallara uygun paylaşım yapar.
Etik kavramını açıklar.</t>
  </si>
  <si>
    <t xml:space="preserve">Etik ve Bilişim Etiği</t>
  </si>
  <si>
    <t xml:space="preserve">Etik ilkeleri açıklar.
Bilişim etiği ile ilgili bilgi verir.</t>
  </si>
  <si>
    <t xml:space="preserve">Bilişimde temel hak ve özgürlükler kavramları ile ilgili bilgi verir.
Sosyal medya etiği kavramları ile ilgili bilgi verir.</t>
  </si>
  <si>
    <t xml:space="preserve">İnternet etiği kavramları ile ilgili bilgi verir.</t>
  </si>
  <si>
    <t xml:space="preserve">Kimlik gizlemeden hukuki kuralların sorumluluklarını göze alarak sosyal medya kullanır.
Bilgi ve bilgi güvenliği kavramları ile ilgili bilgi verir.</t>
  </si>
  <si>
    <t xml:space="preserve">Bilgi Güvenliği ve Hukuki Kurallar</t>
  </si>
  <si>
    <t xml:space="preserve">Sosyal medya kullanırken siber şiddete karşı kendini korur.
Siber zorbalık kapsamını açıklar.</t>
  </si>
  <si>
    <t xml:space="preserve">Siber Zorbalıktan Korunma Yöntemleri</t>
  </si>
  <si>
    <t xml:space="preserve">Güvenlik yazılımlarını açıklar.
Siber zorbalıktan korunma yöntemlerini açıklar.</t>
  </si>
  <si>
    <t xml:space="preserve">Dijital marka yönetimini ve dijital dönüşüm gerekliliğini açıklar.
Dijital marka yönetimi ve dönüşümü açıklar.</t>
  </si>
  <si>
    <t xml:space="preserve">Dijital Marka Yönetimi ve Dijital Dönüşüm</t>
  </si>
  <si>
    <t xml:space="preserve">Sosyal medya araçlarını açıklar.
Sosyal medyada kullanılan araçları açıklar.</t>
  </si>
  <si>
    <t xml:space="preserve">Sosyal Medya Araçları</t>
  </si>
  <si>
    <t xml:space="preserve">Sosyal medya platformları için içerik planı oluşturur.
Hedef kitlenin tespitini açıklar.</t>
  </si>
  <si>
    <t xml:space="preserve">Sosyal Medya İçerik Planı</t>
  </si>
  <si>
    <t xml:space="preserve">Uygun kategorilerin oluşturulmasını açıklar.
İçerik planı takviminin hazırlanmasını açıklar.</t>
  </si>
  <si>
    <t xml:space="preserve">Sosyal medya analizi ve raporlama yapar.
Hedef kitle ile iletişimin önemini açıklar.</t>
  </si>
  <si>
    <t xml:space="preserve">Sosyal Medya Analiz ve Raporlama</t>
  </si>
  <si>
    <t xml:space="preserve">Sosyal medya analizini açıklar.
Analizde kullanılan bazı siteleri açıklar.</t>
  </si>
  <si>
    <t xml:space="preserve">Sosyal medyada kriz iletişimi kampanyası planlama ve uygulama yapar.
Sosyal medya politikasının oluşumunu açıklar.</t>
  </si>
  <si>
    <t xml:space="preserve">Kriz İletişimi</t>
  </si>
  <si>
    <t xml:space="preserve">Örnek olaylar hakkında açıklamalar yapar.
Kriz iletişim planının oluşturulmasını açıklar.</t>
  </si>
  <si>
    <t xml:space="preserve">Deneyimler araştırılarak uygulamalar yapar.</t>
  </si>
  <si>
    <t xml:space="preserve">Veri ve bilgi kavramını açıklar.
Veri kavramını açıklar.</t>
  </si>
  <si>
    <t xml:space="preserve">Veri ve Bilgi</t>
  </si>
  <si>
    <t xml:space="preserve">Bilgi kavramını açıklar.</t>
  </si>
  <si>
    <t xml:space="preserve">Veri türlerini ve çevresindeki veri kaynaklarını açıklar.
Veri türlerini açıklar.</t>
  </si>
  <si>
    <t xml:space="preserve">Veri Türleri</t>
  </si>
  <si>
    <t xml:space="preserve">Veri kaynaklarını (birincil/ikincil) açıklar.</t>
  </si>
  <si>
    <t xml:space="preserve">Veri toplama araçlarıyla veriyi toplar ve veri kümesi oluşturur.
Veri toplama yöntemlerini açıklar.</t>
  </si>
  <si>
    <t xml:space="preserve">Veri Toplama</t>
  </si>
  <si>
    <t xml:space="preserve">Veri kümesi oluşturmayı açıklar.</t>
  </si>
  <si>
    <t xml:space="preserve">Tablolar halinde veri hazırlar.</t>
  </si>
  <si>
    <t xml:space="preserve">Veri Hazırlama</t>
  </si>
  <si>
    <t xml:space="preserve">Elde edilen verilerin bir tabloya aktarılarak açıklanmasını sağlar.</t>
  </si>
  <si>
    <t xml:space="preserve">Grafik çeşitlerini tanır ve amaca uygun grafik seçimi yapar.
Grafik çeşitlerini açıklar.</t>
  </si>
  <si>
    <t xml:space="preserve">Grafik Çeşitleri</t>
  </si>
  <si>
    <t xml:space="preserve">Amaca uygun grafik seçimini yaptırır.</t>
  </si>
  <si>
    <t xml:space="preserve">Veri görselleştirme araçlarını kullanarak veriye dayalı grafikler oluşturur.
Veri kaynaklarının grafikte kullanımını açıklar.</t>
  </si>
  <si>
    <t xml:space="preserve">Grafik Oluşturma</t>
  </si>
  <si>
    <t xml:space="preserve">Verilerle grafikler oluşturulmasını sağlar.</t>
  </si>
  <si>
    <t xml:space="preserve">: WEB UYGULAMALARI</t>
  </si>
  <si>
    <t xml:space="preserve">Alan adı (Domain) kavramını açıklar.
Hosting (Barındırma) kavramını açıklar.
Web sayfası tasarım editörünü tanır.</t>
  </si>
  <si>
    <t xml:space="preserve">WEB TASARIM EDİTÖRÜ
Alan Adı (Domain) Tanımlama
Hosting (Barındırma) Tanımlama
Web Sayfası Tasarım Editörü Tanıma</t>
  </si>
  <si>
    <t xml:space="preserve">Anlatım, Gösteri, Soru-Cevap, Uygulama, Bireyselleştirilmiş Öğretim</t>
  </si>
  <si>
    <t xml:space="preserve">Tasarım Bilgisayar Laboratuvarı, bilgisayar, etkileşimli tahta/projeksiyon, internet</t>
  </si>
  <si>
    <t xml:space="preserve">Web tasarım editöründe temel işlemler yapar.
Editör arayüz yapısını tanır.
Çalışma ekranlarını tanır.
Site tanımlaması yapar.
Ön izlemede kullanılacak web tarayıcıyı seçer.
Paneller ve araç çubuklarını tanır.
Web sayfası oluşturur ve kaydeder.</t>
  </si>
  <si>
    <t xml:space="preserve">Web Tasarım Editörü Temel İşlemler Yapma</t>
  </si>
  <si>
    <t xml:space="preserve">Web tasarım editöründe temel işlemler yapar.
Editör arayüz yapısını tanır.
Çalışma ekranlarını tanır.
Site tanımlaması yapar.
Web sayfası oluşturur ve kaydeder.</t>
  </si>
  <si>
    <t xml:space="preserve">Metin girişi işlemleri yapar.
Temel metin düzenleme işlemleri yapar.
Satır ve paragraf işlemleri yapar.
Karakter biçimlendirme işlemleri yapar.
Yazı tipini değiştirir.</t>
  </si>
  <si>
    <t xml:space="preserve">Metin Girişi
Temel Metin Düzenleme İşlemleri</t>
  </si>
  <si>
    <t xml:space="preserve">Metin hizalar ve girinti verir.
Listeler oluşturur.
İç içe liste oluşturur.</t>
  </si>
  <si>
    <t xml:space="preserve">Listeler</t>
  </si>
  <si>
    <t xml:space="preserve">Satır ve sütun ekler ve siler.
Satır ve sütun düzenler.
Tablo expanded modunu kavrar ve uygular.
29 EKİM Cumhuriyet Bayramı</t>
  </si>
  <si>
    <t xml:space="preserve">Tablo Expanded Modu</t>
  </si>
  <si>
    <t xml:space="preserve">Satır ve sütun ekler ve siler.
Satır ve sütun düzenler.
Tablo expanded modunu kavrar ve uygular.</t>
  </si>
  <si>
    <t xml:space="preserve">Arka plan resmi kullanır.
Sayfaya resim ekler.
Asset panelinden sayfaya resim ekler.
Görüntü yer tutucu (Image Placeholder) ekler.
10 KASIM Atatürk'ü Anma Günü ve Atatürk Haftası</t>
  </si>
  <si>
    <t xml:space="preserve">Resimlerle Çalışma</t>
  </si>
  <si>
    <t xml:space="preserve">Rollover Image ekler.
Resim düzenleme işlemleri yapar.</t>
  </si>
  <si>
    <t xml:space="preserve">Flash animasyon ekler.
Flash video ekler.
Ses oynatıcısı ekler.
Param ekler.</t>
  </si>
  <si>
    <t xml:space="preserve">Animasyon Ekleme</t>
  </si>
  <si>
    <t xml:space="preserve">Bağlantı özelliklerini düzenler.
Bağlantı adreslerinin açılış şekillerini yapar.
Resimlere bağlantı verme işlemini yapar.</t>
  </si>
  <si>
    <t xml:space="preserve">Metinlere Bağlantı Ekleme
Bağlantı Özellikleri
Bağlantı Adreslerinin Açılış Şekilleri
Resimlere Bağlantı</t>
  </si>
  <si>
    <t xml:space="preserve">Etkin resim noktaları oluşturur.
Named Anchor (çapa) ekleme işlemini yapar.
Eposta Bağlantı işlemlerini yapar.</t>
  </si>
  <si>
    <t xml:space="preserve">Etkin Resim Noktaları
Named Anchor (Çapa)
Eposta Bağlantıları</t>
  </si>
  <si>
    <t xml:space="preserve">Yerel sunucu kurulumunu yapar.
PhpMyAdmin ile Veritabanı oluşturur.
Veri tabanı kullanıcısı oluşturur.</t>
  </si>
  <si>
    <t xml:space="preserve">HAZIR BLOG VE WEB SİTESİ ŞABLONU
Yerel Sunucu Kurulumu</t>
  </si>
  <si>
    <t xml:space="preserve">Hazır blog/şablon dosyalarını internetten indirir ve localhost'a yükler.
Hazır blog/website kurulumunu yapar.</t>
  </si>
  <si>
    <t xml:space="preserve">Yerel Sunucu Kurulumu</t>
  </si>
  <si>
    <t xml:space="preserve">Hazır blog/website kurulumunu yapar.
Kurulum sonrası dil ayarlarını yapar.
Son sürüm dosyalarını indirerek yükler.</t>
  </si>
  <si>
    <t xml:space="preserve">Genel ayarlarda, Site başlığı, slogan, site adresi (url), zaman dilimi, tarih biçimi düzenlemeleri yapar.
Okuma, yazma, tartışma ve ortam ayarlarını düzenler.</t>
  </si>
  <si>
    <t xml:space="preserve">Hazır Blog/Websitesi Yönetim Paneli ve Ayarları</t>
  </si>
  <si>
    <t xml:space="preserve">Kullanıcı tanımlar ve yetkilerini düzenler.
Kalıcı bağlantıları düzenler.</t>
  </si>
  <si>
    <t xml:space="preserve">Yeni tema yükler veya yüklü temaları aktif yapar.
Tema özelliklerinden site başlığını (banner) düzenler.</t>
  </si>
  <si>
    <t xml:space="preserve">Tema Ayarları ve Düzenleme</t>
  </si>
  <si>
    <t xml:space="preserve">Anasayfa blog düzenini ayarlar.
Web sitesi/blog footer sabit bilgilerini düzenler ve görünümünü ayarlar.
Menülere alt başlık ekler ve menü yapısını düzenler.</t>
  </si>
  <si>
    <t xml:space="preserve">Ana sayfa ve sayfalarda kullanılacak bileşenleri düzenler.
Oluşturulacak sayfaların özelliklerini düzenler.
Eklenti yükler ve eklenti ayarlarını yapar.</t>
  </si>
  <si>
    <t xml:space="preserve">Tema Ayarları ve Düzenleme
Eklenti Yüklemek ve Düzenleme</t>
  </si>
  <si>
    <t xml:space="preserve">Kategori ve Etiket oluşturur.
Blog/websitesi için sayfalar oluşturur.
Sayfa oluşturarak içerik ekler ve yayınlar.</t>
  </si>
  <si>
    <t xml:space="preserve">Kategori ve Etiket Oluşturma
Sayfa ve Yazı Oluşturma</t>
  </si>
  <si>
    <t xml:space="preserve">Sayfaları bölümler ekleyerek resim, şekil, tablo ekler.
Sayfaları menülere bağlar.
Sayfa oluştururken öne çıkan görseli ayarlar.</t>
  </si>
  <si>
    <t xml:space="preserve">Sayfa ve Yazı Oluşturma</t>
  </si>
  <si>
    <t xml:space="preserve">Sayfa içinde textbox, banner, düğme ve köprü kullanır.
Sayfa yapısını blog post olarak ayarlar.
Sayfa içine arama kutusu, galeri ve video ekler.</t>
  </si>
  <si>
    <t xml:space="preserve">Sayfa içinde yeni satır ve grid oluşturarak düzenler.
Portfolyo sayfası yapar.
Sayfa içine slider, akordion ve tab menü ekler.</t>
  </si>
  <si>
    <t xml:space="preserve">Ortam kütüphanesine resim, video, animasyon dosyası ekler ve sayfa içinde kullanır.
Sayfa ve yazıların yorum izinlerini düzenler.
Sayfa içine iletişim formu ekler ve menü bağlantısını yapar.</t>
  </si>
  <si>
    <t xml:space="preserve">Ortam Kütüphanesi Oluşturma
Yorum İzinleri Düzenleme
İletişim Formu Oluşturma</t>
  </si>
  <si>
    <t xml:space="preserve">Ortam kütüphanesine resim, video, animasyon dosyası ekler ve sayfa içinde kullanır.
Sayfa ve yazıların yorum izinlerini düzenler.
Sayfa içine iletişim formu ekler ve menü bağlantısını yapar.
23 NİSAN Ulusal Egemenlik ve Çocuk Bayramı</t>
  </si>
  <si>
    <t xml:space="preserve">Güçlü şifre oluşturur.
Blog/websitesini düzenli olarak güncellemesini yapar.</t>
  </si>
  <si>
    <t xml:space="preserve">Web Sitesi Güvenliğini Sağlama</t>
  </si>
  <si>
    <t xml:space="preserve">Güvenlik eklentilerini yükler.
Düzenli yedekleme yapar.
19 MAYIS Atatürk'ü Anma Gençlik ve Spor Bayramı</t>
  </si>
  <si>
    <t xml:space="preserve">Web Sitesi Güvenliğini Sağlama
Blog/Websitesi Yedekleme</t>
  </si>
  <si>
    <t xml:space="preserve">Blok/Websitesini yedekleme yapar.
Veritabanı yedeklemesini yapar.</t>
  </si>
  <si>
    <t xml:space="preserve">Blog/Websitesi Yedekleme</t>
  </si>
  <si>
    <t xml:space="preserve">Ftp bağlantısı oluşturur ve dosya yedeklemesi yapar.</t>
  </si>
  <si>
    <t xml:space="preserve">Güçlü şifre oluşturur.
Blog/websitesini düzenli olarak güncellemesini yapar.
Güvenlik eklentilerini yükler.</t>
  </si>
  <si>
    <t xml:space="preserve">Düzenli yedekleme yapar.
Blok/Websitesini yedekleme yapar.
Veritabanı yedeklemesini yapar.</t>
  </si>
  <si>
    <t xml:space="preserve">: TEMEL ELEKTRİK BİLGİSİ</t>
  </si>
  <si>
    <t xml:space="preserve">: AMP 11/A</t>
  </si>
  <si>
    <t xml:space="preserve">Elektrik ve elektrikte kullanılan birimleri tanımlanır.
İletkenlerin özelliklerini açıklaması istenir.
İletkenleri kesmede kullanılan takımlar hakkında bilgi toplaması istenir.</t>
  </si>
  <si>
    <t xml:space="preserve">İLETKEN HAZIRLAMA
İletken Üzerindeki Yalıtkanı Soyma</t>
  </si>
  <si>
    <t xml:space="preserve">Mekanik Bakım Onarım Atölyesi, temel elektrik malzemeleri, etkileşimli tahta/projeksiyon, bilgisayar</t>
  </si>
  <si>
    <t xml:space="preserve">İletken üzerindeki yalıtkanı soyar.
Soyulacak farklı kalınlıktaki iletken kabloları ve el takımlarının özellikleri açıklanır.</t>
  </si>
  <si>
    <t xml:space="preserve">İletken Üzerindeki Yalıtkanı Soyma</t>
  </si>
  <si>
    <t xml:space="preserve">İletkenleri farklı takımlarla istenilen ölçüde soydurularak uygulama imkânı sağlanmıştır.</t>
  </si>
  <si>
    <t xml:space="preserve">İletken üzerindeki yalıtkanı soyar.
İletkenleri farklı takımlarla istenilen ölçüde soydurularak uygulama imkânı sağlanmıştır.</t>
  </si>
  <si>
    <t xml:space="preserve">İletkenleri büker.
Kablo çeşitlerini ve özelliklerini açıklanır.
Kabloların bükümünde dikkat edilecek hususlar açıklanarak kablo bükme uygulamaları yaptırılır.</t>
  </si>
  <si>
    <t xml:space="preserve">İletkenleri Bükme</t>
  </si>
  <si>
    <t xml:space="preserve">İletkenleri büker.
Kabloların bükümünde dikkat edilecek hususlar açıklanarak kablo bükme uygulamaları yaptırılır.</t>
  </si>
  <si>
    <t xml:space="preserve">İletkenleri büker.
Kablo çeşitlerini ve özelliklerini açıklanır.
29 EKİM Cumhuriyet Bayramı</t>
  </si>
  <si>
    <t xml:space="preserve">İletkenleri büker.
Kablo bükme uygulamaları yaptırılır.
10 KASIM Atatürk'ü Anma Günü ve Atatürk Haftası</t>
  </si>
  <si>
    <t xml:space="preserve">Tek telli iletkenlerle tekli düz ek yapımı açıklanır.
Çok telli iletkenlerle tekli düz ek yapımı açıklanır.</t>
  </si>
  <si>
    <t xml:space="preserve">İLETKEN BİRLEŞTİRME
Çiftli Düz Ek Yapma</t>
  </si>
  <si>
    <t xml:space="preserve">Çiftli düz ek yapar.
Tek telli iletkenlere çiftli düz ek yapması gerçekleştirilir.</t>
  </si>
  <si>
    <t xml:space="preserve">Çiftli Düz Ek Yapma</t>
  </si>
  <si>
    <t xml:space="preserve">Çok telli iletkenlere çiftli düz ek yapması sağlanır.
Çiftli düz ek yerlerine yalıtım yapmanın önemi açıklanır.</t>
  </si>
  <si>
    <t xml:space="preserve">Klemens ile bağlantı yapar.
Klemens bağlantısı için kablo uçları hazırlattırılır.</t>
  </si>
  <si>
    <t xml:space="preserve">Klemens ile Bağlantı Yapma</t>
  </si>
  <si>
    <t xml:space="preserve">Farklı klemens çeşitleri ile bağlantılar yapması sağlanır.</t>
  </si>
  <si>
    <t xml:space="preserve">Klemens ile bağlantı yapar.
Farklı klemens çeşitleri ile bağlantılar yapması sağlanır.</t>
  </si>
  <si>
    <t xml:space="preserve">İletkenlerin terminale bağlantısını yapar.
Terminallere bağlantı için kablo uçları hazırlattırılır.</t>
  </si>
  <si>
    <t xml:space="preserve">İletkenlerin Terminale Bağlantısını Yapma</t>
  </si>
  <si>
    <t xml:space="preserve">İletkenleri pabuç (yüksük) ile terminallere bağlantısı gerçekleştirilir.
İletkenleri jak (soket) ile terminallere bağlaması sağlanarak uygulama yapmasına fırsat tanınır.</t>
  </si>
  <si>
    <t xml:space="preserve">İletkenlerin terminale bağlantısını yapar.
İletkenleri pabuç (yüksük) ile terminallere bağlantısı gerçekleştirilir.</t>
  </si>
  <si>
    <t xml:space="preserve">Topraklı fiş ve prize kablo bağlantısı yapar.
Topraklamanın önemini açıklanarak topraklama çeşitlerini belirtilir.</t>
  </si>
  <si>
    <t xml:space="preserve">Topraklı Fiş ve Prize Kablo Bağlantısı Yapma</t>
  </si>
  <si>
    <t xml:space="preserve">Sıfırlama açıklanarak sıfırlamanın önemi belirtilir.
Topraklı fiş ve priz bağlantısı için kablo uçları hazırlatılarak topraklı fiş ve prize kablo bağlantıları yaptırılır.</t>
  </si>
  <si>
    <t xml:space="preserve">Topraklı fiş ve prize kablo bağlantısı yapar.
Topraklı fiş ve priz bağlantısı için kablo uçları hazırlatılarak topraklı fiş ve prize kablo bağlantıları yaptırılır.</t>
  </si>
  <si>
    <t xml:space="preserve">Topraklamanın önemini açıklanarak topraklama çeşitlerini belirtilir.
Topraklı fiş ve prize kablo bağlantısı yapar.</t>
  </si>
  <si>
    <t xml:space="preserve">Basit elektrik devresi kurarak çalıştırır.
Elektrik devresi için gerekli elemanlar hazırlattırılır.
Açık ve kapalı devre uygulamaları yaptırılır.</t>
  </si>
  <si>
    <t xml:space="preserve">BASİT ELEKTRİK DEVRESİ KURMA VE ÇALIŞTIRMA</t>
  </si>
  <si>
    <t xml:space="preserve">Kısa devre uygulamaları yaptırılır.
Devre bağlantılarını sökmesi sağlanır.</t>
  </si>
  <si>
    <t xml:space="preserve">Basit Elektrik Devresi Kurma ve Çalıştırma</t>
  </si>
  <si>
    <t xml:space="preserve">Basit elektrik devresi kurarak çalıştırır.
Açık ve kapalı devre uygulamaları yaptırılır.
23 NİSAN Ulusal Egemenlik ve Çocuk Bayramı</t>
  </si>
  <si>
    <t xml:space="preserve">Basit faz (enerji) kontrolü yapar.
Enerji kontrol ve ölçü aletlerini hazırlaması sağlanır.
Faz ve nötr tespitinin önemi açıklanır.</t>
  </si>
  <si>
    <t xml:space="preserve">Basit Faz (Enerji) Kontrol Yapma</t>
  </si>
  <si>
    <t xml:space="preserve">Bir fazlı prizlerde faz ile nötr arasındaki gerilim değerleri ölçtürülür.
Üç fazlı prizlerde faz ile nötr arasındaki gerilim değerlerini ölçmesi sağlanır.</t>
  </si>
  <si>
    <t xml:space="preserve">Üç fazlı prizlerde fazlar arasındaki gerilim değerlerini ölçmesi sağlanarak uygulama yapmasına fırsat verilir.
19 MAYIS Atatürk'ü Anma Gençlik ve Spor Bayramı</t>
  </si>
  <si>
    <t xml:space="preserve">Basit faz (enerji) kontrolü yapar.
Üç fazlı prizlerde fazlar arasındaki gerilim değerlerini ölçmesi sağlanarak uygulama yapmasına fırsat verilir.</t>
  </si>
  <si>
    <t xml:space="preserve">Basit müdahale ile motor devir yönünü değiştirir.
Motorların dönüş yönünün tespiti açıklanır.</t>
  </si>
  <si>
    <t xml:space="preserve">Basit Müdahale ile Motor Devir Yönünü Değiştirme</t>
  </si>
  <si>
    <t xml:space="preserve">Tek fazlı motorlarda devir yönü değiştirilir.</t>
  </si>
  <si>
    <t xml:space="preserve">Üç fazlı motorlarda devir yönünü değiştirilerek uygulama yapmasına fırsat verilir.</t>
  </si>
  <si>
    <t xml:space="preserve">Basit müdahale ile motor devir yönünü değiştirir.
Tek fazlı ve üç fazlı motorlarda devir yönü değiştirme uygulamaları yaptırılır.</t>
  </si>
  <si>
    <t xml:space="preserve">: MEKANİK BAKIM ONARIM</t>
  </si>
  <si>
    <t xml:space="preserve">Makinenin kurulum yeri belirleme.
Makinenin alt yapısını hazırlar.
Örnek makine kullanma kılavuzu edinerek makine hakkında araştırma yapması istenir.</t>
  </si>
  <si>
    <t xml:space="preserve">MAKİNE KURMA İŞLEMLERİ
Makinenin Kurulum Yeri Belirleme
Makinenin Alt Yapısı Hazırlama</t>
  </si>
  <si>
    <t xml:space="preserve">Makine Bakım Onarım Atölyesi, anahtar takımları, bakım onarım masası, etkileşimli tahta/projeksiyon, kataloglar, ölçü aletleri</t>
  </si>
  <si>
    <t xml:space="preserve">Makinenin yerleşim planını atölyenin fiziki şartlarına ve makinenin işlevine göre iş sağlığı ve güvenliği tedbirleri alınarak hazırlar.
Makine yerleşim planı yaparak kroki çizimi yapar.
Örnek makine yerleşimi için araştırma yapması istenir.</t>
  </si>
  <si>
    <t xml:space="preserve">Makine Yerleşimi</t>
  </si>
  <si>
    <t xml:space="preserve">Yerleşim planı çizerek basınçlı hava tesisatını hazırlar.
Basınçlı hava tesisatını örneklerle izah eder.
Öğrencilerin kendi seçtikleri bir makine ile basınçlı hava tesisatının montajı ile ilgili uygulama yapmasına fırsat verilir.</t>
  </si>
  <si>
    <t xml:space="preserve">Makine Hidrolik, Pnömatik ve Soğutma Sıvı Bağlantısı</t>
  </si>
  <si>
    <t xml:space="preserve">Makineyi yerleştirerek, elektrik ve basınçlı hava tesisatını bağlar.
İş sağlığı ve güvenliği tedbirlerini alarak elektrikli ve basınçlı hava tesisatını makineye bağlaması sağlanır.</t>
  </si>
  <si>
    <t xml:space="preserve">Makine Sabitleme</t>
  </si>
  <si>
    <t xml:space="preserve">Makinenin uygun yağlama yağlarını koyarak, pnömatik ve soğutma sıvı bağlantısını yapar ve test eder.
Makineyi sabitleyerek koruyucu yağlarını temizler.
Makineye yağlama yağı katar ve gevşeyen parçalarını sıkar.</t>
  </si>
  <si>
    <t xml:space="preserve">Makine Yağlama ve Parçaları Sıkma</t>
  </si>
  <si>
    <t xml:space="preserve">Günlük, haftalık, aylık ve altı aylık bakım takvimini oluşturarak uygulama yapmasına fırsat verilir.
Makine kataloglarını ve atölye yerleşim ve tesisat planlarını okur.
Makine kataloglarından faydalanarak atölye yerleşim ve tesisat planlarını okumasına fırsat verilir.</t>
  </si>
  <si>
    <t xml:space="preserve">MAKİNELERİN DÜZENLİ BAKIMI
Katalog Okuma ve Parça Seçimi</t>
  </si>
  <si>
    <t xml:space="preserve">Sızdırmazlık elemanlarını kullanır.
Sızdırmazlık elemanları ile ilgili araştırma yapması istenir.
Tablolardan standart sızdırmazlık elemanlarının seçimini yapması sağlanır.
29 EKİM Cumhuriyet Bayramı</t>
  </si>
  <si>
    <t xml:space="preserve">Sızdırmazlık Elemanları Kontrolü</t>
  </si>
  <si>
    <t xml:space="preserve">Karter ve boyun sızdırmazlık elemanlarını değiştirir.
Karter sızdırmazlık elemanlarını sınıflandırarak sızdırmazlık elemanlarını değiştirmesi uygulaması yaptırılır.</t>
  </si>
  <si>
    <t xml:space="preserve">Karter ve Boyun Sızdırmazlık Elemanları</t>
  </si>
  <si>
    <t xml:space="preserve">Kataloglardaki makine ve parça resimlerini okuyarak, parça seçimi ve montajını yapar.
Kataloglardan parça seçimi yapması istenir.
Katalogdan seçilen parçayı makineye monte etmesi istenerek uygulama yapmasına fırsat verilir.
10 KASIM Atatürk'ü Anma Günü ve Atatürk Haftası</t>
  </si>
  <si>
    <t xml:space="preserve">Parça Seçimi ve Montajı</t>
  </si>
  <si>
    <t xml:space="preserve">Kataloglardaki makine ve parça resimlerini okuyarak, parça seçimi ve montajını yapar.
Katalogdan seçilen parçayı makineye monte etmesi istenerek uygulama yapmasına fırsat verilir.</t>
  </si>
  <si>
    <t xml:space="preserve">Aktarma organlarının makine ve mekanizmaların hayati sistemleri olduğu izah edilir.
İş sağlığı ve güvenliği tedbirlerini alarak gözle ve test cihazları ile aktarma dişlilerinin, rulman ve burçların kontrolünün yapılması sağlanarak uygulama yapmasına fırsat verilir.</t>
  </si>
  <si>
    <t xml:space="preserve">SİSTEMLERİN DÜZENLİ KONTROLLARI
Kavrama ve Fren Sistemi Kontrolü</t>
  </si>
  <si>
    <t xml:space="preserve">Kavrama ve fren sistemlerinin kontrolünü yapar.
Gözle ve test cihazları ile makine ve mekanizmaların kavrama ve fren sistemini kontrol ederek uygulama yapmasına fırsat verilir.</t>
  </si>
  <si>
    <t xml:space="preserve">Kavrama ve Fren Sistemi Kontrolü</t>
  </si>
  <si>
    <t xml:space="preserve">Kayış kasnak sistemi ve koruyucularının bakımını yapar.
Kayış standartlarına uygun kataloglardan kayış seçimini yapması sağlanır.
Kayış kasnak sistemi ve koruyucuları makine üzerinde söküp takarak kayış gerginliklerinin kontrolü ile uygulama yaptırılmasına fırsat verilir.</t>
  </si>
  <si>
    <t xml:space="preserve">Kayış Kasnak Sistemi ve Koruyucularının Bakımı</t>
  </si>
  <si>
    <t xml:space="preserve">Makine yağlama sistemlerinin kontrolünü yaparak yağ kataloglarını kullanır.
Makine yağlarının özelliklerini ve çeşitleri hakkında bilgi toplaması istenir.
Yağın viskozitesini ayırt etmesi istenir.
Yağlama pompaları ve çeşitlerini açıklanır.</t>
  </si>
  <si>
    <t xml:space="preserve">Makine Yağlama Sistemleri Kontrolü</t>
  </si>
  <si>
    <t xml:space="preserve">Yağ değişimini yapar.
Yağ kataloglarını kullanılması izah edilir.
Makine yağlama sistemlerinin kontrolü yaptırılarak özelliğine göre yağ katılası ile uygulama yapmasına fırsat verilir.</t>
  </si>
  <si>
    <t xml:space="preserve">Yağ Değişimi</t>
  </si>
  <si>
    <t xml:space="preserve">Kaldırılacak ağırlığa uygun şekilde tel halat ve kaldırma zinciri seçimini yapması sağlanır.
Tel halat ve yük kaldırma zincirlerinin hesaplamalarını yapması sağlanır.
Yük ve kaldırma zincirlerinin gereçlerini ayırt etmesi gerçekleştirilir.
Tel halat ve yük kaldırma zincirlerini kullanarak uygulama yapmasına fırsat verilir.
Krikoları sınıflandırarak krikoları kullanır.</t>
  </si>
  <si>
    <t xml:space="preserve">KALDIRMA VE TAŞIMA ARAÇLARI
Krikolar</t>
  </si>
  <si>
    <t xml:space="preserve">Krikoların çalışma sistemi ve çeşitleri hakkında bilgi toplaması sağlanır.
Krikolarla yük kaldırması sağlanarak uygulama yapmasına fırsat tanınır.
Vinçleri sınıflandırarak emniyet tedbirlerini alarak kullanır.
Vinçlerin çalışma sistemi ve çeşitleri hakkında bilgi toplaması sağlanır.</t>
  </si>
  <si>
    <t xml:space="preserve">Krikolar
Vinçler</t>
  </si>
  <si>
    <t xml:space="preserve">Vinçlerin bulunduğu ortamda kullanılması ve/veya görsel video, resim maket gibi eğitim araçları ile uygulama yapması sağlanır.
Forkliftlerle yük taşır.
Forklift çalışma sistemi ve çeşitleri hakkında bilgi toplaması sağlanır.</t>
  </si>
  <si>
    <t xml:space="preserve">Vinçler
Forkliftler</t>
  </si>
  <si>
    <t xml:space="preserve">Forklift'in bulunduğu ortamda kullanılması ve/veya görsel video, resim maket gibi eğitim araçları ile uygulama yapması sağlanır.
Elevatörlerle yük taşır.
Elevatörler çalışma sistemi ve çeşitleri hakkında bilgi toplaması sağlanır.
Elevatör'ün bulunduğu ortamda kullanılması ve/veya görsel video, resim maket gibi eğitim araçları ile uygulama yapması sağlanır.</t>
  </si>
  <si>
    <t xml:space="preserve">Forkliftler
Elevatörler</t>
  </si>
  <si>
    <t xml:space="preserve">Forkliftlerle yük taşır.
Elevatörlerle yük taşır.
Kaldırma ve taşıma araçları ile ilgili uygulama çalışmaları.</t>
  </si>
  <si>
    <t xml:space="preserve">Makine arıza tespit yöntemleri hakkında bilgi toplaması sağlanır.
Arızalı bölüm veya parçayı göz, kulak, temas ve koku gibi duyu organlarını kullanarak tespitini gerçekleştirerek uygulama yapmasına imkân verilir.</t>
  </si>
  <si>
    <t xml:space="preserve">ARIZA TESPİTİ
Arıza Nedenleri</t>
  </si>
  <si>
    <t xml:space="preserve">Arızalı bölüm veya parçayı cihazla tespitini gerçekleştirerek uygulama yapmasına imkân verilir.
Makinanın çalışma sistemini tanıyarak arızalı makinenin arıza sebebini araştırır.
Makinelerin çalışma sistemleri hakkında bilgi toplanması sağlanır.</t>
  </si>
  <si>
    <t xml:space="preserve">Makine Arıza Tespit Yöntemleri</t>
  </si>
  <si>
    <t xml:space="preserve">Arızalı makinenin çalışma ortamını gözden geçirilmesi sağlanarak çevresel şartların arızaya sebebini araştırmasına imkân verilir.
Arızalı bölüm veya parçayı göz, kulak, temas ve koku gibi duyu organlarını kullanarak tespitini gerçekleştirerek uygulama yapmasına imkân verilir.</t>
  </si>
  <si>
    <t xml:space="preserve">Arızalı bölüm veya parçayı cihazla tespitini gerçekleştirerek uygulama yapmasına imkân verilir.
Makinanın çalışma sistemini tanıyarak arızalı makinenin arıza sebebini araştırır.</t>
  </si>
  <si>
    <t xml:space="preserve">Arızalı makinenin çalışma ortamını gözden geçirilmesi sağlanarak çevresel şartların arızaya sebebini araştırmasına imkân verilir.
Makinanın çalışma sistemini tanıyarak arızalı makinenin arıza sebebini araştırır.</t>
  </si>
  <si>
    <t xml:space="preserve">Vakum makinesi ve diğer temizleme malzemelerini (üstüpü, bez, güderi vb.) kullanıp arızalı kısmı temizler.
Vakumla temizlemenin tekniği açıklanır.</t>
  </si>
  <si>
    <t xml:space="preserve">ARIZALI MAKİNENİN ONARIMI
Arızalı Parça Sökümü</t>
  </si>
  <si>
    <t xml:space="preserve">Sökme takma takımlarını kullanarak arızalı parçayı söker.
Sökme ve montaj takımlarının çeşitleri ve kullanılma tekniği hakkında bilgi toplaması gerçekleştirilir.
Arızalı parçayı sökme işleminde söküm sırasının önemi açıklanır.
Montaj resmine göre parça numaralamayı tayin etmesi sağlanır.
Arızalı parçayı sökerek uygulama yapmasına imkân tanınır.
23 NİSAN Ulusal Egemenlik ve Çocuk Bayramı</t>
  </si>
  <si>
    <t xml:space="preserve">Arızalı Parça Sökümü</t>
  </si>
  <si>
    <t xml:space="preserve">Sökme takma takımlarını kullanarak arızalı parçayı söker.
Arızalı parçayı sökerek uygulama yapmasına imkân tanınır.</t>
  </si>
  <si>
    <t xml:space="preserve">Arızalı parçayı onarır veya değiştirir.
Arızalı parça tamiri ve/veya parça değişimi arasındaki ayrıntı açıklanır.
Arızalı parçayı tamir ve parça değişimi işlem sırasının önemi açıklanır.</t>
  </si>
  <si>
    <t xml:space="preserve">Arızalı Parça Tamiri ve Değişimi</t>
  </si>
  <si>
    <t xml:space="preserve">Arızalı parçanın tamiri ve/veya parça değişim yaptırılarak uygulama yapmasına imkân tanınır.</t>
  </si>
  <si>
    <t xml:space="preserve">Arızalı parçayı onarır veya değiştirir.
Arızalı parçanın tamiri ve/veya parça değişim yaptırılarak uygulama yapmasına imkân tanınır.
19 MAYIS Atatürk'ü Anma Gençlik ve Spor Bayramı</t>
  </si>
  <si>
    <t xml:space="preserve">Elle veya ölçü aletleri ile tamir sonrası makine testini yapar.
Tamir sonrası elle veya ölçü aleti ile makine testinin önemi açıklanır.</t>
  </si>
  <si>
    <t xml:space="preserve">Makine Çalışma Testi</t>
  </si>
  <si>
    <t xml:space="preserve">Tamir sonrası elle veya ölçü aleti ile makine testi yaptırılarak uygulama yapmasına imkân tanınır.</t>
  </si>
  <si>
    <t xml:space="preserve">Elle veya ölçü aletleri ile tamir sonrası makine testini yapar.
Tamir sonrası elle veya ölçü aleti ile makine testi yaptırılarak uygulama yapmasına imkân tanınır.</t>
  </si>
  <si>
    <t xml:space="preserve">: MEKANİZMALAR</t>
  </si>
  <si>
    <t xml:space="preserve">Uygun vidayı seçmesi sağlanır.
Cıvata ile iş parçasını bağlamada dikkat edeceği hususlar açıklanır.</t>
  </si>
  <si>
    <t xml:space="preserve">BİRLEŞTİRME ELEMANLARI
Cıvata, Somun ve Rondela ile Makine Parçalarını Birleştirme</t>
  </si>
  <si>
    <t xml:space="preserve">Mekanik Bakım Onarım Atölyesi, mekanizma örnekleri, etkileşimli tahta/projeksiyon, bilgisayar, standart tablolar ve çizelgeler</t>
  </si>
  <si>
    <t xml:space="preserve">Uygun cıvata, somun ve rondela çeşitlerini kullanarak iş parçalarını bağlama yaparak uygulama yapma fırsatı verilir.</t>
  </si>
  <si>
    <t xml:space="preserve">Cıvata, Somun ve Rondela ile Makine Parçalarını Birleştirme</t>
  </si>
  <si>
    <t xml:space="preserve">Saplama kullanarak makine parçalarını birbirine bağlayarak uygulama yapması sağlanır.</t>
  </si>
  <si>
    <t xml:space="preserve">Uygun cıvata, somun ve rondela çeşitlerini kullanarak iş parçalarını bağlama.
Saplama kullanarak makine parçalarını birbirine bağlayarak uygulama yapması sağlanır.</t>
  </si>
  <si>
    <t xml:space="preserve">Pim, perno, kama ve segmanlar ile makine parçalarını birleştirir.
Delik çapına uygun pim seçerek pimi yerine yerleştirmesinde dikkat edilecek hususlar açıklanır.</t>
  </si>
  <si>
    <t xml:space="preserve">Pim, Perno, Kama ve Segmanlar ile Makine Parçalarını Birleştirme</t>
  </si>
  <si>
    <t xml:space="preserve">Uygun pernoyu seçerek pernoyu yerine yerleştirmesi sağlanır.
Uygun kamayı seçerek kama kanalına kamayı yerleştirmesi sağlanır.</t>
  </si>
  <si>
    <t xml:space="preserve">Uygun segmanı seçerek segmanı yerine yerleştirmesi gerçekleştirilir.
Emniyet saclarını kullanarak cıvataları emniyete alınması sağlanır.
29 EKİM Cumhuriyet Bayramı</t>
  </si>
  <si>
    <t xml:space="preserve">Pim, perno, kama ve segmanlar ile makine parçalarını birleştirir.</t>
  </si>
  <si>
    <t xml:space="preserve">Makine parçalarını, perçin ve kaynak ile birleştirir.
İki veya daha fazla makine parçasını perçinleme yaparak uygulama yapmasına fırsat verilir.
10 KASIM Atatürk'ü Anma Günü ve Atatürk Haftası</t>
  </si>
  <si>
    <t xml:space="preserve">Makine Parçalarını Perçin ve Kaynak ile Birleştirme</t>
  </si>
  <si>
    <t xml:space="preserve">İş parçasına kaynak işlemi yaparak birleştirmesi sağlanır.</t>
  </si>
  <si>
    <t xml:space="preserve">Makine parçalarını, perçin ve kaynak ile birleştirir.</t>
  </si>
  <si>
    <t xml:space="preserve">Mil çeşitlerini sınıflandırılarak millerin kullanıldığı yerlere örnekler verilir.
Muyluları sınıflandırılarak muyluların kullanıldığı yerlere örnekler verilir.</t>
  </si>
  <si>
    <t xml:space="preserve">MEKANİZMALAR
Sabit, Kaymalı, Hareketli ve Esnek Kavrama Makine Elemanlarını Kullanma</t>
  </si>
  <si>
    <t xml:space="preserve">Yatakları tanımlanarak yatakları sınıflandırılır.
Sabit, kaymalı, hareketli ve esnek kavrama makine elemanlarını kullanır.</t>
  </si>
  <si>
    <t xml:space="preserve">Sabit, Kaymalı, Hareketli ve Esnek Kavrama Makine Elemanlarını Kullanma</t>
  </si>
  <si>
    <t xml:space="preserve">Uygun kavrama çeşidini seçerek kullanım yerine uygunluğunun kontrolü açıklanır.
Kavrama çeşitleri ve aralarındaki farklar açıklanır.</t>
  </si>
  <si>
    <t xml:space="preserve">Sabit, kaymalı, hareketli ve esnek kavrama makine elemanlarını kullanır.</t>
  </si>
  <si>
    <t xml:space="preserve">Kam, kasnak, kayışlar ile hareket aktarma işlemlerini yapar.
Kamın tanımı yapılarak kamların kullanıldığı yerleri örneklerle açıklanır.</t>
  </si>
  <si>
    <t xml:space="preserve">Kam, Kasnak, Kayışlar ile Hareket Aktarma</t>
  </si>
  <si>
    <t xml:space="preserve">Kasnağın görevini açıklanarak kasnakların kullanıldığı yerlere örnekler verilir.
Kasnak elemanlarını tanımlanarak kayışları sınıflandırması sağlanır.</t>
  </si>
  <si>
    <t xml:space="preserve">Kam, kasnak, kayışlar ile hareket aktarma işlemlerini yapar.</t>
  </si>
  <si>
    <t xml:space="preserve">Kasnak elemanlarını tanımlanarak kayışları sınıflandırması sağlanır.</t>
  </si>
  <si>
    <t xml:space="preserve">Düz dişli çark hesaplamaları yapar.
Mekanizmalarda kullanılan dişli çeşitlerini ve kullanım yerleri arasındaki fark açıklanır.</t>
  </si>
  <si>
    <t xml:space="preserve">Düz Dişli Çarklar ve Dişli Çark Hesaplamaları</t>
  </si>
  <si>
    <t xml:space="preserve">Dişli çark ölçülerini standart çizelgelerden bulup kullanması sağlanır.
Dişli çark sistemini mekanizmalarda montaj ederek uygulama yapmasına fırsat tanınır.</t>
  </si>
  <si>
    <t xml:space="preserve">Düz dişli çark hesaplamaları yapar.
Dişli çark ölçülerini standart çizelgelerden bulup kullanması sağlanır.</t>
  </si>
  <si>
    <t xml:space="preserve">Dişli çark sistemini mekanizmalarda montaj ederek uygulama yapmasına fırsat tanınır.</t>
  </si>
  <si>
    <t xml:space="preserve">Basit mekanizmaları sökme takma işlemlerini yapar.
Mekanizma çeşitlerini kroki olarak çizmesi sağlanır.
Sökülebilir birleştirme elemanlarını standart tablo ve çizelgelerden seçmesi gerçekleştirilir.</t>
  </si>
  <si>
    <t xml:space="preserve">Basit Sökülebilen Mekanizmalar</t>
  </si>
  <si>
    <t xml:space="preserve">Sökülemeyen birleştirme elemanlarını standart tablo ve çizelgelerden seçmesi sağlanır.
Basit sökülebilen mekanizmaların montajı gerçekleştirilerek uygulama yapmasına fırsat tanınır.</t>
  </si>
  <si>
    <t xml:space="preserve">Basit mekanizmaları sökme takma işlemlerini yapar.
23 NİSAN Ulusal Egemenlik ve Çocuk Bayramı</t>
  </si>
  <si>
    <t xml:space="preserve">Mekanizma çeşitlerini kroki olarak çizmesi sağlanır.
Basit sökülebilen mekanizmaların montajı gerçekleştirilerek uygulama yapmasına fırsat tanınır.</t>
  </si>
  <si>
    <t xml:space="preserve">Yağlama sistemi ve arızalarını giderir.
Yağlamanın önemi, yağ çeşitleri vurgulanarak yağlama sisteminin sökülüp takılması gerçekleştirilir.</t>
  </si>
  <si>
    <t xml:space="preserve">Yağlama Sistemi ve Arızaları Giderme</t>
  </si>
  <si>
    <t xml:space="preserve">Yağlama pompalarının arızalarını gidermesi gerçekleştirilir.
Yağ filtrelerini uygun filtrelerle değiştirilmesi sağlanır.</t>
  </si>
  <si>
    <t xml:space="preserve">Yağlama sisteminin arızalarını gidermesi sağlanır.
Uygun yağ seçimini yaparak yağı değişecek kısmın hazır duruma getirilmesi sağlanır.
19 MAYIS Atatürk'ü Anma Gençlik ve Spor Bayramı</t>
  </si>
  <si>
    <t xml:space="preserve">Rulmanların ve kızakların yağlanması sağlanarak uygulama yapmasına fırsat tanınır.</t>
  </si>
  <si>
    <t xml:space="preserve">Yağlama sistemi ve arızalarını giderir.
Yağlama pompalarının arızalarını gidermesi gerçekleştirilir.</t>
  </si>
  <si>
    <t xml:space="preserve">Yağlama sistemi ve arızalarını giderir.
Rulmanların ve kızakların yağlanması sağlanarak uygulama yapmasına fırsat tanınır.</t>
  </si>
  <si>
    <t xml:space="preserve">: OTOMATİK KONTROL SİSTEMLERİ</t>
  </si>
  <si>
    <t xml:space="preserve">Hidrolik sistemin yapısı ve çalışma kuralları açıklanır.
Hidrolik sistemin üstün ve zayıf yönlerini sıralanır.
Hidrolik elemanların görev ve sembolleri hakkında bilgi toplaması istenir.</t>
  </si>
  <si>
    <t xml:space="preserve">HİDROLİK DEVRELERDE BAKIM PLANI HAZIRLAMA
Hidrolik Devre Çizimleri</t>
  </si>
  <si>
    <t xml:space="preserve">Otomatik Kontrol Sistemleri Atölyesi, hidrolik-pnömatik eğitim seti, anahtar takımları, bakım onarım masası, etkileşimli tahta/projeksiyon</t>
  </si>
  <si>
    <t xml:space="preserve">Hidrolik kurallar açıklanır, sistem hesaplamalarını yaparak uygulama yapmasına fırsat verilir.
Hidrolik devre çizimleri yapar.
Hidrolik semboller çizdirilir.</t>
  </si>
  <si>
    <t xml:space="preserve">Hidrolik Devre Çizimleri</t>
  </si>
  <si>
    <t xml:space="preserve">Şematik grafikler hazırlattırılır.
Hidrolik sembollerle devreler çizimi yaptırılarak uygulama yapmasına fırsat verilir.</t>
  </si>
  <si>
    <t xml:space="preserve">Hidrolik devre elemanları montajı yapar.
Montaj yapmada dikkat edilecek hususları örneklerle açıklanır.
Güvenli tesisat yapma izah edilir.
Hidrolik devre elemanlarının montajı yaptırılarak uygulama yapmasına fırsat verilir.</t>
  </si>
  <si>
    <t xml:space="preserve">Hidrolik Devre Elemanları Montajı</t>
  </si>
  <si>
    <t xml:space="preserve">Hidrolik devre elemanları montajı yapar.
Hidrolik devre elemanlarının montajı yaptırılarak uygulama yapmasına fırsat verilir.</t>
  </si>
  <si>
    <t xml:space="preserve">Hidrolik boru montajı yapar.
Hidrolik devrede kullanacağı boruları seçmesi sağlanır.
Boru montajı yaparak uygulama yapmasına fırsat verilir.</t>
  </si>
  <si>
    <t xml:space="preserve">Hidrolik Boru Montajı</t>
  </si>
  <si>
    <t xml:space="preserve">Hidrolik hortum montajı yapması sağlanır.
Boru montajı yaparak uygulama yapmasına fırsat verilir.
29 EKİM Cumhuriyet Bayramı</t>
  </si>
  <si>
    <t xml:space="preserve">Hidrolik akışkan seçimi yapar.
Yağlama ve hidrolik akışkan seçiminin önemi açıklanır.
Yağlama devrelerinde, soğutma sisteminin önem ve gereğini izah edilir.</t>
  </si>
  <si>
    <t xml:space="preserve">Hidrolik Akışkan Seçimi</t>
  </si>
  <si>
    <t xml:space="preserve">Hidrolik akışkan seçimi yapar.
Yağlama devrelerinde, soğutma sisteminin önem ve gereğini izah edilir.
10 KASIM Atatürk'ü Anma Günü ve Atatürk Haftası</t>
  </si>
  <si>
    <t xml:space="preserve">Bakım planı hazırlama açıklanır.
Bakım dosyası hazırlaması istenir.
Tamirat planı yapması istenerek uygulama yapmasına fırsat verilir.</t>
  </si>
  <si>
    <t xml:space="preserve">Hidrolik Sistemlerde Arıza Arama</t>
  </si>
  <si>
    <t xml:space="preserve">Arızalı tesisatları sökerek, bakımını yapar.
Arıza arama çizelgeleri hazırlama yöntemleri açıklanır.
Sistemlerde arıza araması istenir.</t>
  </si>
  <si>
    <t xml:space="preserve">Hidrolik arıza aramalarında kullanılan aletler ve göstergelerin bakımını yapması istenir.
Arızalı tesisatları sökerek, bakımını yapması gerçekleştirilir.</t>
  </si>
  <si>
    <t xml:space="preserve">Valflerde arıza arama yöntemleri açıklanır.
Hidrolik valflerde bakım yaptırılarak sonrasında elemanları test etme işlemi ile uygulama yapmasına fırsat verilir.</t>
  </si>
  <si>
    <t xml:space="preserve">HİDROLİK DEVRE ELEMANLARI BAKIM VE ONARIMI
Hidrolik Valflerde Arıza Arama</t>
  </si>
  <si>
    <t xml:space="preserve">Hidrolik silindirlerde arıza arar.
Silindirlerde arıza arama yöntemleri açıklanır.
Silindirlerde bakım yaptırılarak sonrasında elemanları test etme işlemi ile uygulama yapmasına fırsat verilir.</t>
  </si>
  <si>
    <t xml:space="preserve">Hidrolik Silindirlerde Arıza Arama</t>
  </si>
  <si>
    <t xml:space="preserve">Hidrolik pompa ve motorlarda arıza arar.
Pompa ve motorlarda arıza arama yöntemleri açıklanır.
Pompa ve motorlarda bakım yaptırılarak sonrasında elemanları test etme işlemi ile uygulama yapmasına fırsat verilir.</t>
  </si>
  <si>
    <t xml:space="preserve">Hidrolik Pompa ve Motorlarda Arıza Arama</t>
  </si>
  <si>
    <t xml:space="preserve">Hidrolik valflerde bakım yaptırılarak sonrasında elemanları test etme işlemi ile uygulama yapmasına fırsat verilir.
Silindirlerde bakım yaptırılarak sonrasında elemanları test etme işlemi ile uygulama yapmasına fırsat verilir.</t>
  </si>
  <si>
    <t xml:space="preserve">Hidrolik Devre Elemanları Bakım ve Onarımı</t>
  </si>
  <si>
    <t xml:space="preserve">Pompa ve motorlarda bakım yaptırılarak sonrasında elemanları test etme işlemi ile uygulama yapmasına fırsat verilir.</t>
  </si>
  <si>
    <t xml:space="preserve">Pnömatik sistemin yapısı ve çalışma kuralları açıklanır.
Pnömatik sistemin üstün ve zayıf yönlerini sıralanır.
Pnömatik elemanların görev ve sembolleri açıklanır.</t>
  </si>
  <si>
    <t xml:space="preserve">PNÖMATİK DEVRE ELEMANLARI HAZIRLAMA
Pnömatik Devre Çizimi</t>
  </si>
  <si>
    <t xml:space="preserve">Pnömatik kuralları açıklanarak, sistem hesaplamalarını yapması sağlanır.
Pnömatik devre çizimi yapar.
Sembollerle devre çizmesi sağlanarak uygulama yapmasına fırsat verilir.</t>
  </si>
  <si>
    <t xml:space="preserve">Pnömatik Devre Çizimi</t>
  </si>
  <si>
    <t xml:space="preserve">Pnömatik devre elemanları montajını yapar.
Montaj yapılacak devre elemanlarının hazırlanması açıklanır.
Tüp-tipi boru montajı yapması sağlanarak uygulama yapmasına fırsat verilir.</t>
  </si>
  <si>
    <t xml:space="preserve">Pnömatik Devre Elemanları Montajı</t>
  </si>
  <si>
    <t xml:space="preserve">Pnömatik devre elemanları montajını yapar.
Tüp-tipi boru montajı yapması sağlanarak uygulama yapmasına fırsat verilir.</t>
  </si>
  <si>
    <t xml:space="preserve">Pnömatik-Hidrolik sistemler kurulumu yapar.
Makine hava-yağ yükselticilerinin kontrolünün yapılması açıklanır.
Basınç yükselticilerinin kontrolünün yapılması açıklanır.</t>
  </si>
  <si>
    <t xml:space="preserve">Pnömatik-Hidrolik Sistemler Kurulumu</t>
  </si>
  <si>
    <t xml:space="preserve">Pnömatik-Hidrolik sistemler kurulumu yapar.
Basınç yükselticilerinin kontrolünün yapılması açıklanır.</t>
  </si>
  <si>
    <t xml:space="preserve">Sistem bakım planı hazırlamada dikkat edilecek hususlar açıklanır.
Bakım dosyası ve tamirat planı hazırlama tekniği açıklanır.</t>
  </si>
  <si>
    <t xml:space="preserve">PNÖMATİK DEVRELERDE BAKIM PLANI HAZIRLAMA</t>
  </si>
  <si>
    <t xml:space="preserve">Kompresör ve sistem bakımı yapar, bakım kayıtlarını tutması sağlanarak uygulama yapmasına fırsat verilir.</t>
  </si>
  <si>
    <t xml:space="preserve">Pnömatik Devrelerde Bakım Planı Hazırlama</t>
  </si>
  <si>
    <t xml:space="preserve">Sistem bakım planı hazırlamada dikkat edilecek hususlar açıklanır.
Kompresör ve sistem bakımı yapar.</t>
  </si>
  <si>
    <t xml:space="preserve">Kompresör ve sistem bakımı yapar, bakım kayıtlarını tutması sağlanarak uygulama yapmasına fırsat verilir.
23 NİSAN Ulusal Egemenlik ve Çocuk Bayramı</t>
  </si>
  <si>
    <t xml:space="preserve">Bakım dosyası ve tamirat planı hazırlama tekniği açıklanır.
Kompresör ve sistem bakımı yapar.</t>
  </si>
  <si>
    <t xml:space="preserve">Bakım dosyası ve tamirat planı hazırlama tekniği açıklanır.
Kompresör ve sistem bakımı yapar, bakım kayıtlarını tutması sağlanarak uygulama yapmasına fırsat verilir.
19 MAYIS Atatürk'ü Anma Gençlik ve Spor Bayramı</t>
  </si>
  <si>
    <t xml:space="preserve">Pnömatik sistemlerde arıza arar.
Sistemlerde arıza arama tekniklerini izah edilir.
Arıza arama çizelgeleri tutmayı izah edilir.
Tesisat sökme usulleri açıklanır.</t>
  </si>
  <si>
    <t xml:space="preserve">PNÖMATİK DEVRE ELEMANLARI BAKIM VE ONARIMI
Pnömatik Sistemlerde Arıza Arama</t>
  </si>
  <si>
    <t xml:space="preserve">Pnömatik sistemlerde arıza arar.
Sistemlerde arıza arama tekniklerini izah edilir.</t>
  </si>
  <si>
    <t xml:space="preserve">Pnömatik Sistemlerde Arıza Arama</t>
  </si>
  <si>
    <t xml:space="preserve">Tesisat sökme usulleri açıklanır.
Pnömatik sistemlerde arıza arar.</t>
  </si>
  <si>
    <t xml:space="preserve">Pnömatik sistemlerde arıza arar.
Arıza arama çizelgeleri tutmayı izah edilir.</t>
  </si>
  <si>
    <t xml:space="preserve">: CNC TEZGÂHLARINDA KALIP ÜRETİMİ (SEÇMELİ)</t>
  </si>
  <si>
    <t xml:space="preserve">: 4 SAAT</t>
  </si>
  <si>
    <t xml:space="preserve">1. CNC torna tezgâhlarının temel ayarlarını yapar.</t>
  </si>
  <si>
    <t xml:space="preserve">CNC Torna Tezgâhları - CNC torna tezgâhları temel ayarları</t>
  </si>
  <si>
    <t xml:space="preserve">CNC Atölyesi, CAD Laboratuvarı, etkileşimli tahta/projeksiyon, bilgisayar, CNC torna/freze simülasyon programları, CNC kesicileri ve tutucuları, CNC tezgâh bağlama aparatları, ölçme ve kontrol aletleri, imalat için temrinlik malzeme</t>
  </si>
  <si>
    <t xml:space="preserve">2. CNC torna tezgâhlarının kontrol panelini kullanır.</t>
  </si>
  <si>
    <t xml:space="preserve">CNC torna tezgâhlarının kontrol paneli</t>
  </si>
  <si>
    <t xml:space="preserve">3. CNC torna takımlarını operasyona uygun olarak seçer.</t>
  </si>
  <si>
    <t xml:space="preserve">CNC torna için kesici takımlar</t>
  </si>
  <si>
    <t xml:space="preserve">4. CNC tornada takım ayarı yapar.</t>
  </si>
  <si>
    <t xml:space="preserve">Kesici takımları CNC tornaya bağlama ve takım ayarı yapma</t>
  </si>
  <si>
    <t xml:space="preserve">1. CNC torna tezgâhları için program yapar.</t>
  </si>
  <si>
    <t xml:space="preserve">CNC tornada programlama - CNC tornada programlama</t>
  </si>
  <si>
    <t xml:space="preserve">CNC tornada programlama</t>
  </si>
  <si>
    <t xml:space="preserve">2. CNC torna tezgâhları için mutlak programlama yapar.</t>
  </si>
  <si>
    <t xml:space="preserve">CNC torna tezgâhları için mutlak programlama</t>
  </si>
  <si>
    <t xml:space="preserve">3. CNC torna tezgâhları için artışlı programlama yapar.</t>
  </si>
  <si>
    <t xml:space="preserve">CNC torna tezgâhları için artışlı programlama</t>
  </si>
  <si>
    <t xml:space="preserve">1. CNC torna programlarının simülasyon ile kontrolünü yapar ve gerekirse düzeltir.</t>
  </si>
  <si>
    <t xml:space="preserve">CNC Torna İşlemleri 1 - CNC torna programlarının simülasyonunu yapma</t>
  </si>
  <si>
    <t xml:space="preserve">2. CNC tornada alın, silindirik ve konik tornalamanın programlamasını yapar.</t>
  </si>
  <si>
    <t xml:space="preserve">CNC tornada alın , silindirik ve konik tornalama programları</t>
  </si>
  <si>
    <t xml:space="preserve">1. CNC torna tezgâhlarında delik delme ve delik büyütme programı yapar.</t>
  </si>
  <si>
    <t xml:space="preserve">CNC Torna İşlemleri 2 - CNC torna tezgâhlarında delik delme ve delik büyütme programları</t>
  </si>
  <si>
    <t xml:space="preserve">2. CNC torna tezgâhlarında vida açma programını yapar.</t>
  </si>
  <si>
    <t xml:space="preserve">CNC torna tezgâhlarında vida açma programı</t>
  </si>
  <si>
    <t xml:space="preserve">1. CNC tornalarda boşaltma çevrimlerinin programlamasını yapar.</t>
  </si>
  <si>
    <t xml:space="preserve">CNC Tornalama Çevrimleri - CNC tornalarda boşaltma çevrimleri programları</t>
  </si>
  <si>
    <t xml:space="preserve">2. CNC tornalarda delik ve vida çevrimlerinin programlamasını yapar.</t>
  </si>
  <si>
    <t xml:space="preserve">CNC tornalarda delik ve vida çevrimlerinin programlaması</t>
  </si>
  <si>
    <t xml:space="preserve">1. CNC tornalar için alt program yapar.</t>
  </si>
  <si>
    <t xml:space="preserve">CNC Tornada Alt Program Oluşturma ve Aktarma - CNC tornalar için alt programlama</t>
  </si>
  <si>
    <t xml:space="preserve">2. Bilgisayardan tezgâhlara tezgâhtan da bilgisayara program aktarır ve CNC tezgâh alarm mesajlarını anlar ve sorunları giderir.</t>
  </si>
  <si>
    <t xml:space="preserve">CNC Torna için Bilgisayardan tezgâhlara tezgâhtan da bilgisayara program aktarma ve CNC tezgâh alarm mesajları</t>
  </si>
  <si>
    <t xml:space="preserve">1. CNC freze tezgâhlarının temel ayarlarını yapar.</t>
  </si>
  <si>
    <t xml:space="preserve">CNC Freze Tezgâhları - CNC freze tezgâhlarının temel ayarlarını yapar.</t>
  </si>
  <si>
    <t xml:space="preserve">2. CNC freze tezgâhlarının kontrol panelini kullanır.</t>
  </si>
  <si>
    <t xml:space="preserve">CNC freze tezgâhlarının kontrol paneli</t>
  </si>
  <si>
    <t xml:space="preserve">3. CNC frezede takımlarını operasyona uygun olarak seçer.</t>
  </si>
  <si>
    <t xml:space="preserve">CNC Frezede Kullanılan kesici Takımlar</t>
  </si>
  <si>
    <t xml:space="preserve">4. CNC frezede takımı bağlar ve ayarını yapar.</t>
  </si>
  <si>
    <t xml:space="preserve">CNC Frezeye kesici takımı bağlamak,Kesici takımın tezgaha tanıtılması ,telafi ve sıfırlarının ayarlanması</t>
  </si>
  <si>
    <t xml:space="preserve">1. CNC freze tezgâhları için program yapar.</t>
  </si>
  <si>
    <t xml:space="preserve">CNC Frezede Programlama - Cnc Freze tezgahlarında programlama</t>
  </si>
  <si>
    <t xml:space="preserve">2. CNC freze tezgâhları için mutlak programlama yapar.</t>
  </si>
  <si>
    <t xml:space="preserve">CNC freze tezgâhları için mutlak programlama</t>
  </si>
  <si>
    <t xml:space="preserve">3. CNC freze tezgâhları için artışlı programlama yapar.</t>
  </si>
  <si>
    <t xml:space="preserve">CNC freze tezgâhları için artışlı programlama</t>
  </si>
  <si>
    <t xml:space="preserve">1. CNC freze programlarının simülasyon ile kontrolünü yapar ve gerekirse düzeltir.</t>
  </si>
  <si>
    <t xml:space="preserve">Temel CNC Frezeleme İşlemleri - CNC freze programlarının simülasyonunu yapma</t>
  </si>
  <si>
    <t xml:space="preserve">2. CNC freze tezgâhında düzlem yüzey frezeleme programın ve işlemini yapar.</t>
  </si>
  <si>
    <t xml:space="preserve">CNC freze tezgâhında düzlem yüzey frezeleme programlama</t>
  </si>
  <si>
    <t xml:space="preserve">3. CNC freze tezgâhında kanal açma programlamasını ve frezeleme işlemini yapar.</t>
  </si>
  <si>
    <t xml:space="preserve">CNC freze tezgâhında kanal açma programı</t>
  </si>
  <si>
    <t xml:space="preserve">1. CNC freze tezgâhında delme ve delik büyütme işlemlerini programlayıp CNC frezede yapar.</t>
  </si>
  <si>
    <t xml:space="preserve">CNC Frezeleme İşlemleri - CNC freze tezgâhında delme ve delik büyütme programlama</t>
  </si>
  <si>
    <t xml:space="preserve">2. CNC freze tezgâhında kavis frezeleme programını ve işlemesini yapar.</t>
  </si>
  <si>
    <t xml:space="preserve">CNC freze tezgâhında kavis frezeleme programlama</t>
  </si>
  <si>
    <t xml:space="preserve">3. CNC freze tezgâhında profil frezeleme programını ve işlemesini yapar.</t>
  </si>
  <si>
    <t xml:space="preserve">CNC freze tezgâhında profil frezeleme programlama</t>
  </si>
  <si>
    <t xml:space="preserve">1. CNC frezelerde delik delme, delik büyütme, kılavuz ve rayba çekme çevrimlerini programlar</t>
  </si>
  <si>
    <t xml:space="preserve">CNC Freze Çevrimleri - CNC frezelerde delik delme, delik büyütme, kılavuz ve rayba çekme çevrimleri</t>
  </si>
  <si>
    <t xml:space="preserve">2. CNC frezelerde delik ve vida çevrimlerini programlamasını yapar.</t>
  </si>
  <si>
    <t xml:space="preserve">CNC frezelerde delik ve vida çevrimlerini</t>
  </si>
  <si>
    <t xml:space="preserve">3. CNC frezelerde delik delme, delik büyütme, kılavuz ve rayba çekme çevrimlerini programlar.</t>
  </si>
  <si>
    <t xml:space="preserve">CNC frezelerde delik delme, delik büyütme, kılavuz ve rayba çekme çevrimleri</t>
  </si>
  <si>
    <t xml:space="preserve">1. CNC frezeler için alt program yapar.</t>
  </si>
  <si>
    <t xml:space="preserve">CNC Frezede Alt Program Oluşturma ve Aktarma - CNC frezeler için alt programlama</t>
  </si>
  <si>
    <t xml:space="preserve">2. Bilgisayardan tezgâhlara tezgâhtan da bilgisayara program aktarır</t>
  </si>
  <si>
    <t xml:space="preserve">CNC freze için Bilgisayardan tezgâhlara tezgâhtan da bilgisayara program aktarma ve CNC tezgâh alarm mesajları</t>
  </si>
  <si>
    <t xml:space="preserve">CNC tezgâh alarm mesajlarını anlar ve sorunları giderir.</t>
  </si>
  <si>
    <t xml:space="preserve">: DİJİTAL TASARIM (SEÇMELİ)</t>
  </si>
  <si>
    <t xml:space="preserve">Tasarıma yardımcı araçları kullanır.
Profil hesabı düzenlemelerini açıklar.</t>
  </si>
  <si>
    <t xml:space="preserve">Tasarım Araçları</t>
  </si>
  <si>
    <t xml:space="preserve">Bilişim Teknolojileri Laboratuvarı, akıllı tahta/projeksiyon, bilgisayar, yazıcı/tarayıcı, internet, 3D yazıcı, tasarım/animasyon yazılımı, içerik yönetimi yazılımı</t>
  </si>
  <si>
    <t xml:space="preserve">Çizim programı ortamını tanıtır.</t>
  </si>
  <si>
    <t xml:space="preserve">Yeni bir proje oluşturma adımlarını açıklar.</t>
  </si>
  <si>
    <t xml:space="preserve">Çalışma düzlemine şekil ekler.</t>
  </si>
  <si>
    <t xml:space="preserve">Çalışma Düzlemi İşlemleri</t>
  </si>
  <si>
    <t xml:space="preserve">Çalışma ortamına nesne ekletir.</t>
  </si>
  <si>
    <t xml:space="preserve">Çalışma düzleminin kontrol edilmesini sağlar.</t>
  </si>
  <si>
    <t xml:space="preserve">Şekilleri gruplandırarak yeni şekiller oluşturur.
Gruplama ve grup çözme ile ilgili işlemleri yaptırır.</t>
  </si>
  <si>
    <t xml:space="preserve">Şekillerle Çalışma</t>
  </si>
  <si>
    <t xml:space="preserve">Bir şekilden başka bir şekli çıkararak yeni şekil oluşturur.</t>
  </si>
  <si>
    <t xml:space="preserve">İçe aktarmayı kullanarak özgün şekiller oluşturur.</t>
  </si>
  <si>
    <t xml:space="preserve">İçe Aktarma İşlemi</t>
  </si>
  <si>
    <t xml:space="preserve">Var olan bir çalışmayı içe aktarmayı açıklar.</t>
  </si>
  <si>
    <t xml:space="preserve">Tasarımını başka uygulamalar ya da 3D yazıcı için dışa aktarır.</t>
  </si>
  <si>
    <t xml:space="preserve">Dışa Aktarma İşlemi</t>
  </si>
  <si>
    <t xml:space="preserve">Yapılan çalışmanın üç boyutlu yazıcı için dışa aktarılmasını açıklar.</t>
  </si>
  <si>
    <t xml:space="preserve">İçerik yönetimi yazılımını ve eklentisini kurar.</t>
  </si>
  <si>
    <t xml:space="preserve">İçerik Yönetimi Yazılımı</t>
  </si>
  <si>
    <t xml:space="preserve">İçerik yönetimi yazılımının kurulumunu açıklar.</t>
  </si>
  <si>
    <t xml:space="preserve">Yönetim panelinde web sitesi ile ilgili ayarları yapar.
İçerik yönetimi yazılımı yönetim panelini açıklar.</t>
  </si>
  <si>
    <t xml:space="preserve">Yönetim Paneli</t>
  </si>
  <si>
    <t xml:space="preserve">Yönetim panelinde istenilen özelliklere göre ayarları yaptırır.</t>
  </si>
  <si>
    <t xml:space="preserve">İçerik ve kategori işlemlerini yapar.
İçerik yönetimi yazılımında içerik işlemlerini yaptırır.</t>
  </si>
  <si>
    <t xml:space="preserve">İçerik ve Kategori İşlemleri</t>
  </si>
  <si>
    <t xml:space="preserve">İçerik yönetimi yazılımında kategori işlemlerini yaptırır.</t>
  </si>
  <si>
    <t xml:space="preserve">Menü ve sayfa işlemlerini yapar.
İçerik yönetimi yazılımında menüleri açıklar.</t>
  </si>
  <si>
    <t xml:space="preserve">Menü ve Sayfa İşlemleri</t>
  </si>
  <si>
    <t xml:space="preserve">İçerik yönetimi yazılımında sayfa işlemlerini açıklar.</t>
  </si>
  <si>
    <t xml:space="preserve">İçerik yönetimi yazılımında diğer araçları açıklar.</t>
  </si>
  <si>
    <t xml:space="preserve">Çalışma ekranını kendine uyarlar.
Animasyon hazırlama programı arayüzünü açıklar.</t>
  </si>
  <si>
    <t xml:space="preserve">Animasyon Hazırlama Programı</t>
  </si>
  <si>
    <t xml:space="preserve">Standart şekilleri çalışma düzlemine ekler.
Çalışma düzlemini açıklar.</t>
  </si>
  <si>
    <t xml:space="preserve">Çalışma Düzlemi</t>
  </si>
  <si>
    <t xml:space="preserve">Çalışma düzlemine şekiller ekletir.</t>
  </si>
  <si>
    <t xml:space="preserve">Tasarım araçlarıyla nesneler üzerinde işlemler yapar.
Tasarım araçlarını açıklar.</t>
  </si>
  <si>
    <t xml:space="preserve">Nesneler</t>
  </si>
  <si>
    <t xml:space="preserve">Nesneler üzerinde işlemler yaptırır.</t>
  </si>
  <si>
    <t xml:space="preserve">Eklenen şeklin parametrik özelliklerini değiştirir.
Nesnelerin özelliklerinin değiştirilmesini açıklar.</t>
  </si>
  <si>
    <t xml:space="preserve">Özellikler</t>
  </si>
  <si>
    <t xml:space="preserve">Eklenen şekilleri modifiye araçlarını kullanarak geliştirir.
Nesneler üzerinde değişiklikler yaptırır.</t>
  </si>
  <si>
    <t xml:space="preserve">Düzenleme</t>
  </si>
  <si>
    <t xml:space="preserve">Material Editörünü kullanarak tasarlanan nesnelere doku ekler.
Doku ekleme işlemini açıklar.</t>
  </si>
  <si>
    <t xml:space="preserve">Material Editörü</t>
  </si>
  <si>
    <t xml:space="preserve">Nesnelere doku ekletir.</t>
  </si>
  <si>
    <t xml:space="preserve">Çalışılan projeye animasyonda kullanılmak üzere kamera ekler.
Kamera ekleme işlemini açıklar.</t>
  </si>
  <si>
    <t xml:space="preserve">Kamera İşlemi</t>
  </si>
  <si>
    <t xml:space="preserve">Projeye kamera ekletir.</t>
  </si>
  <si>
    <t xml:space="preserve">Anahtar kareleri kullanarak animasyonlar geliştirir.
Anahtar kareleri açıklar.</t>
  </si>
  <si>
    <t xml:space="preserve">Animasyon Geliştirme</t>
  </si>
  <si>
    <t xml:space="preserve">Anahtar karelerle animasyonda geliştirmeler yaptırır.</t>
  </si>
  <si>
    <t xml:space="preserve">Çalışmayı çıktı (render) olarak alır.
Render alma işlemini açıklar.</t>
  </si>
  <si>
    <t xml:space="preserve">Çalışmayı Çıktı Alma</t>
  </si>
  <si>
    <t xml:space="preserve">Yapılan çalışmayı çıktı aldırır.</t>
  </si>
  <si>
    <t xml:space="preserve">Eklenti olarak kullanılan çıktı (render) araçlarını açıklar.</t>
  </si>
  <si>
    <t xml:space="preserve">Render Araçları</t>
  </si>
  <si>
    <t xml:space="preserve">: KALIPLAMA TEKNİĞİ (SEÇMELİ)</t>
  </si>
  <si>
    <t xml:space="preserve">Sökülebilen birleştirme uygulamalarını açıklar.</t>
  </si>
  <si>
    <t xml:space="preserve">İnbus (Silindir Başlı) ve Havşa Başlı Cıvatalar</t>
  </si>
  <si>
    <t xml:space="preserve">Makine Bakım Onarım Atölyesi, standart kalıp elemanları katalogları, kalıp maketleri, imalat resmi/çizim takımları, bilgisayar (CAD programı), ölçü ve kontrol aletleri, akıllı tahta/projeksiyon, İSG koruyucu donanımlar</t>
  </si>
  <si>
    <t xml:space="preserve">Setskurlar ve Bilyalı Setskurlar</t>
  </si>
  <si>
    <t xml:space="preserve">Kalıp elemanları imalat resimlerinin çizimini yapar.</t>
  </si>
  <si>
    <t xml:space="preserve">Burçların İmalat Resmi (Şapkalı, Kuyruklu Şapkalı, Ortadan Flanşlı)</t>
  </si>
  <si>
    <t xml:space="preserve">Kolonların İmalat Resmi (Şapkalı, Şapkalı Kademeli, Şapkalı Kuyruklu Kademeli)</t>
  </si>
  <si>
    <t xml:space="preserve">İtici Pimlerin İmalat Resmi (Silindir Başlı, Geri İtici, Havşa Başlı, Lama, Boru İtici)</t>
  </si>
  <si>
    <t xml:space="preserve">Yolluk Memesi ve Kalıp Yaylarının İmalat Resmi (Parça Listesi Uygulaması)</t>
  </si>
  <si>
    <t xml:space="preserve">Komple (montaj) resmini çizer.</t>
  </si>
  <si>
    <t xml:space="preserve">Üst Bağlama Plakası (Proje Uygulaması)</t>
  </si>
  <si>
    <t xml:space="preserve">Dişi Plaka (Proje Uygulaması)</t>
  </si>
  <si>
    <t xml:space="preserve">Sıyırıcı Plaka (Proje Uygulaması)</t>
  </si>
  <si>
    <t xml:space="preserve">Takozlar ve İtici Plakası (Proje Uygulaması)</t>
  </si>
  <si>
    <t xml:space="preserve">İtici Destek Plakası ve Alt Bağlama Plakası (Proje Uygulaması)</t>
  </si>
  <si>
    <t xml:space="preserve">Silindirik Mil ve Kalıp Kilit Parçası (Proje Uygulaması)</t>
  </si>
  <si>
    <t xml:space="preserve">Kalıp Montaj Teknik Resmi (Patlatılmış Montaj ve Montaj Listesi)</t>
  </si>
  <si>
    <t xml:space="preserve">Kalıp imalatında kullanılacak malzemeleri seçer.</t>
  </si>
  <si>
    <t xml:space="preserve">Genel Yapı, Islah, Sementasyon ve Otomat Çelikleri</t>
  </si>
  <si>
    <t xml:space="preserve">Çelik ve malzeme tabloları/katalogları, örnek malzeme numuneleri, eğeler (elektrikli/pnömatik/elektronik), spiral taş ve zımparalar, gaztaşı, elmas pasta setleri, akıllı tahta/projeksiyon, bilgisayar, İSG koruyucu donanımlar</t>
  </si>
  <si>
    <t xml:space="preserve">Soğuk İş ve Sıcak İş Takım Çelikleri</t>
  </si>
  <si>
    <t xml:space="preserve">Plastik Kalıp Çelikleri</t>
  </si>
  <si>
    <t xml:space="preserve">Kalıp özelliklerine göre demir olmayan malzemeleri seçer.</t>
  </si>
  <si>
    <t xml:space="preserve">Bakır ve Kalay Alaşımları (Ağır Metaller)</t>
  </si>
  <si>
    <t xml:space="preserve">Alüminyum, Magnezyum, Titanyum Alaşımları (Hafif Metaller) ve Plastikler</t>
  </si>
  <si>
    <t xml:space="preserve">Kompozit Malzemeler (Plastik-Plastik, Plastik-Metal Fiber, Plastik-Cam Elyaf, Plastik-Köpük)</t>
  </si>
  <si>
    <t xml:space="preserve">Kalıp yüzeylerinin parlatılmasını yapar.</t>
  </si>
  <si>
    <t xml:space="preserve">Kalıp Parlatmada Malzeme Seçimi ve Sertleştirmenin Önemi</t>
  </si>
  <si>
    <t xml:space="preserve">Yüzey İşleme Tekniği ve Eğe Çeşitleri (Elektrikli, Pnömatik, Elektronik)</t>
  </si>
  <si>
    <t xml:space="preserve">Spiral Taşlar ve Zımparalar (Tane Büyüklüğüne Göre)</t>
  </si>
  <si>
    <t xml:space="preserve">Gaztaşları</t>
  </si>
  <si>
    <t xml:space="preserve">Elmas Pastalar ile Ön Parlatma (Vişne, Kahverengi, Kırmızı)</t>
  </si>
  <si>
    <t xml:space="preserve">Elmas Pastalar ile Son Parlatma (Portakal, Sarı, Beyaz)</t>
  </si>
  <si>
    <t xml:space="preserve">Kalıp parçalarını imalat resimlerine göre hazırlar ve işler.</t>
  </si>
  <si>
    <t xml:space="preserve">Silindirik Parça İmalatı - İş Parçası Sıfır Noktası ve Kütük Seçimi</t>
  </si>
  <si>
    <t xml:space="preserve">CNC Laboratuvarı, CAM/CNC simülasyon yazılımı, CNC torna ve freze tezgâhları, kesici takım ve bağlama aparatları, ölçme aletleri (kumpas, mikrometre, komparatör), bilgisayar, akıllı tahta/projeksiyon, İSG koruyucu donanımlar</t>
  </si>
  <si>
    <t xml:space="preserve">Silindirik Parça İmalatı - Ayna Ayakları ve Kesici Takım Tanımlama</t>
  </si>
  <si>
    <t xml:space="preserve">Silindirik Parça İmalatı - Alın Tornalama Ayarları</t>
  </si>
  <si>
    <t xml:space="preserve">Silindirik Parça İmalatı - Kaba Tornalama Ayarları</t>
  </si>
  <si>
    <t xml:space="preserve">Silindirik Parça İmalatı - İnce Tornalama Ayarları</t>
  </si>
  <si>
    <t xml:space="preserve">Silindirik Parça İmalatı - Simülasyon ve Post Alma (CNC Kodu)</t>
  </si>
  <si>
    <t xml:space="preserve">Prizmatik Parça İmalatı - Tasarım, Malzeme Seçimi ve İş Parçası Sabitleme</t>
  </si>
  <si>
    <t xml:space="preserve">Prizmatik Parça İmalatı - Kesme Yöntemi, Takım Seçimi ve Kesim Parametreleri</t>
  </si>
  <si>
    <t xml:space="preserve">Prizmatik Parça İmalatı - İşleme Kontrolü ve Son İşlemler</t>
  </si>
  <si>
    <t xml:space="preserve">İmalatı yapılan kalıp parçalarının imalat resimlerine göre ölçme ve kontrolünü yapar.</t>
  </si>
  <si>
    <t xml:space="preserve">Ölçmenin Tanımı, Önemi ve Ölçümü Etkileyen Etkenler</t>
  </si>
  <si>
    <t xml:space="preserve">Ölçme Aletleri</t>
  </si>
  <si>
    <t xml:space="preserve">Kontrol</t>
  </si>
  <si>
    <t xml:space="preserve">: MEKANİZMA ÇİZİMLERİ</t>
  </si>
  <si>
    <t xml:space="preserve">: AMP 12-A</t>
  </si>
  <si>
    <t xml:space="preserve">Eksenler arası açı dikkate alınarak kayış tipi seçimi sağlanır.
Hassas güç aktarımında triger kayışların seçilmesi gerektiği açıklanır.
Küçük güçlerin iletiminde yuvarlak kayışların tercih edilmesi gerektiği gösterim yöntemi ile anlatılır.</t>
  </si>
  <si>
    <t xml:space="preserve">KAYIŞ VE KASNAK MEKANİZMALARI
a. Kayış Çeşitleri</t>
  </si>
  <si>
    <t xml:space="preserve">Teknik Resim Laboratuvarı, akıllı tahta/projeksiyon, bilgisayar, resim masası, örnek kayış-kasnak-kam model parçaları, çizim araç gereçleri, çizim kâğıtları</t>
  </si>
  <si>
    <t xml:space="preserve">Eksenler arası açı dikkate alınarak kayış tipi seçimi sağlanır.
Hassas güç aktarımında triger kayışların seçilmesi gerektiği açıklanır.</t>
  </si>
  <si>
    <t xml:space="preserve">a. Kayış Çeşitleri</t>
  </si>
  <si>
    <t xml:space="preserve">Kayış uzunluğunu hesaplar.
Uzunluk hesabından önce iletim oranının belirlenmesi gerektiği açıklanır.
Eksenler arası mesafe dikkate alınarak kayış uzunluğu hesaplanması gerektiği açıklanır.</t>
  </si>
  <si>
    <t xml:space="preserve">b. Kayış Uzunluğu Hesabı</t>
  </si>
  <si>
    <t xml:space="preserve">Kayış uzunluğunu hesaplar.
Eksenler arası mesafe dikkate alınarak kayış uzunluğu hesaplanması gerektiği açıklanır.</t>
  </si>
  <si>
    <t xml:space="preserve">Yük taşıyıcı kasnak resmi çizer.
Basit makara hesapları örnekler yapılarak anlatılır.
Hareketli makara hesapları önce yapılır sonra öğrencilerin yapması istenir.</t>
  </si>
  <si>
    <t xml:space="preserve">Yük Taşıyıcı Kasnaklar
a. Basit Makaralar
b. Hareketli Makaralar</t>
  </si>
  <si>
    <t xml:space="preserve">Diferansiyel palanga hesaplarını örnek hesaplamalar yapılarak anlatılır.
Kayış ve kasnak mekanizmalarının montaj resmini çizme işlemleri açıklanır.</t>
  </si>
  <si>
    <t xml:space="preserve">c. Diferansiyel Palanga</t>
  </si>
  <si>
    <t xml:space="preserve">Yük taşıyıcı kasnak resmi çizer.
Kayış ve kasnak mekanizmalarının montaj resmini çizme işlemleri açıklanır.
29 EKİM Cumhuriyet Bayramı</t>
  </si>
  <si>
    <t xml:space="preserve">Yük Taşıyıcı Kasnaklar</t>
  </si>
  <si>
    <t xml:space="preserve">Gerdirme sistemlerini tasarlar.
Kayışın kaymasını azaltarak sürtünmeyi arttırmak için gergi sistemlerinin kullanılması gerektiği anlatılır.</t>
  </si>
  <si>
    <t xml:space="preserve">Gerdirme Sistemleri</t>
  </si>
  <si>
    <t xml:space="preserve">Gerdirme sistemlerinin montaj resimlerini çizer.
10 KASIM Atatürk'ü Anma Günü ve Atatürk Haftası</t>
  </si>
  <si>
    <t xml:space="preserve">Gerdirme sistemlerinin montaj resimlerini çizer.</t>
  </si>
  <si>
    <t xml:space="preserve">Moment ve güç hesaplamaların yapılması için önce örnek hesaplamalar yapılır, sonra öğrencilerin yapması sağlanır.
Kayış kasnak tertibatı ile güç ve hareket aktarımı yapma işlemleri montajı yapılmış sistemler üzerinde açıklanır.</t>
  </si>
  <si>
    <t xml:space="preserve">Kam tertibatının hareketinin kamın şekline bağlı olduğu açıklanır.
Kam mekanizması elemanlarını seçer.
Kam mekanizmasında kullanılan elemanları açıklar.</t>
  </si>
  <si>
    <t xml:space="preserve">KAM MEKANİZMALARI
Kam Mekanizmalarının Sınıflandırılması
a. Hareket Modu
b. İzleyici Biçimi
c. İzleyicinin Yerleşimi
3. Kam Elemanları</t>
  </si>
  <si>
    <t xml:space="preserve">Kam mekanizması elemanlarını seçer.
Kam mekanizmasında kullanılan elemanları açıklar.
Kam izleyicisinin hareket periyotları açıklanır.</t>
  </si>
  <si>
    <t xml:space="preserve">3. Kam Elemanları</t>
  </si>
  <si>
    <t xml:space="preserve">Kam mekanizması elemanlarını seçer.
Kam izleyicisinin hareket periyotları açıklanır.</t>
  </si>
  <si>
    <t xml:space="preserve">Kam diyagramı çizimindeki işlem sırası açıklanır.
Temel daire kavramı açıklanır.</t>
  </si>
  <si>
    <t xml:space="preserve">4. Kam Diyagramı Çizimi</t>
  </si>
  <si>
    <t xml:space="preserve">Kam mekanizması montaj resmini çizer.
Kam mekanizması elemanlarını çizme işlem sırası açıklanır.</t>
  </si>
  <si>
    <t xml:space="preserve">Kam Mekanizması Montaj Resmi</t>
  </si>
  <si>
    <t xml:space="preserve">Kam mekanizması montaj resmini çizer.
Kam mekanizmaları montaj resmi çizme işlem sırası çizilerek gösterilir sonra öğrencilerin çizmesi sağlanır.</t>
  </si>
  <si>
    <t xml:space="preserve">Düzlemsel hareket yapan mekanizmalara dair örnek animasyonlar gösterilir.
Düzlemsel hareket yapan mekanizma resimlerinin çizilmesi sağlanır.
Düzlemsel hareket yapan mekanizmaların çeşitlerini tanır.</t>
  </si>
  <si>
    <t xml:space="preserve">HAREKET VE GÜÇ AKTARAN MEKANİZMALAR
Uzuvlar ve Mafsallar
Mafsal Çeşitleri
Kinematik Zincirler
Düzlemsel Hareket Yapan Mekanizmaların Çeşitleri</t>
  </si>
  <si>
    <t xml:space="preserve">Düzlemsel hareket yapan mekanizmaların çeşitlerini tanır.
Düzlemsel hareket yapan mekanizma resimlerinin çizilmesi sağlanır.</t>
  </si>
  <si>
    <t xml:space="preserve">Düzlemsel Hareket Yapan Mekanizmaların Çeşitleri</t>
  </si>
  <si>
    <t xml:space="preserve">Salınım hareketi yapan mekanizmaların çizilmesi sağlanır.</t>
  </si>
  <si>
    <t xml:space="preserve">Salınım Hareketi Yapan Mekanizmalar
Dört Çubuk Mekanizması
Grashof Teoremi</t>
  </si>
  <si>
    <t xml:space="preserve">Salınım Hareketi Yapan Mekanizmalar</t>
  </si>
  <si>
    <t xml:space="preserve">Hızlı dönüş mekanizmalarının çizilmesi sağlanır.</t>
  </si>
  <si>
    <t xml:space="preserve">Hızlı Dönüş Mekanizması</t>
  </si>
  <si>
    <t xml:space="preserve">Düz-kremayer dişli mekanizması sistemler üzerinde önce gösterilir sonra öğrencilere çizdirilir.
Kam ve izleyici mekanizmaları sistemler üzerinde önce gösterilir sonra öğrencilere çizdirilir.</t>
  </si>
  <si>
    <t xml:space="preserve">Kam ve İzleyici Mekanizması
Düz Dişli-Kremayer Dişli Mekanizması</t>
  </si>
  <si>
    <t xml:space="preserve">Doğrusal hareketlendirici mekanizmalar sistemler üzerinde önce gösterilir sonra öğrencilere çizdirilir.</t>
  </si>
  <si>
    <t xml:space="preserve">Doğrusal Hareketlendirici Mekanizmalar</t>
  </si>
  <si>
    <t xml:space="preserve">Doğrusal hareketlendirici mekanizmalar sistemler üzerinde önce gösterilir sonra öğrencilere çizdirilir.
23 NİSAN Ulusal Egemenlik ve Çocuk Bayramı</t>
  </si>
  <si>
    <t xml:space="preserve">Dairesel hareket yapan mekanizmaların montaj resmini çizer.
Dairesel hareket yapan mekanizma tipleri örneklerle anlatılır.</t>
  </si>
  <si>
    <t xml:space="preserve">Dairesel Hareket Mekanizmaları</t>
  </si>
  <si>
    <t xml:space="preserve">Dairesel hareket yapan mekanizmaların montaj resimlerinin çizdirilmesi sağlanır.</t>
  </si>
  <si>
    <t xml:space="preserve">Kayma hareketi yapan mekanizmaların montaj resmini çizer.
Kayma hareketi yapan mekanizmalara dair örnekler gösterilir.
19 MAYIS Atatürk'ü Anma Gençlik ve Spor Bayramı</t>
  </si>
  <si>
    <t xml:space="preserve">Kayma Hareketi Yapan Mekanizmalar</t>
  </si>
  <si>
    <t xml:space="preserve">Kayma hareketi yapan mekanizmaların montaj resimlerinin çizilmesi sağlanır.</t>
  </si>
  <si>
    <t xml:space="preserve">Dairesel hareketle güç aktaran mekanizmaların montaj resmini çizer.
Güç aktaran mekanizmalara dair örnek modeller gösterilir.</t>
  </si>
  <si>
    <t xml:space="preserve">Dairesel Hareketle Güç Aktarım Mekanizmaları</t>
  </si>
  <si>
    <t xml:space="preserve">Güç aktaran mekanizmaların montaj resimlerinin çizilmesi sağlanır.</t>
  </si>
  <si>
    <t xml:space="preserve">: HİDROLİK-PNÖMATİK</t>
  </si>
  <si>
    <t xml:space="preserve">Hidrolik ile ilgili temel terimleri açıklanır.
Hidroliğin tanımı, endüstrideki yeri ve önemi açıklanır.
Hidrolik sistemlerin üstünlükleri ve olumsuz yönleri açıklanır.
Hidrolikte kullanılan birimleri dönüştürmesi sağlanır.</t>
  </si>
  <si>
    <t xml:space="preserve">HİDROLİK PRENSİPLER
Hidrolik Prensipler</t>
  </si>
  <si>
    <t xml:space="preserve">Anlatım, Gösteri, Soru-Cevap, Bireyselleştirilmiş Öğretim, Uygulama</t>
  </si>
  <si>
    <t xml:space="preserve">Hidrolik-Pnömatik Laboratuvarı, etkileşimli tahta/projeksiyon, bilgisayar, kompresör, hidrolik-pnömatik eğitim seti, kataloglar</t>
  </si>
  <si>
    <t xml:space="preserve">Hidrostatik ile ilgili hesaplamaları yapar.
Hidrostatik prensipleri açıklanır.
Pascal kanunu ile ilgili hesapları yapması sağlanır.</t>
  </si>
  <si>
    <t xml:space="preserve">Hidrolik Prensipler</t>
  </si>
  <si>
    <t xml:space="preserve">Hidrodinamik ile ilgili hesaplamaları yapar.
Hidrodinamik prensipleri açıklanır.
Bernoulli prensibi ile ilgili hesapları yapması sağlanır.</t>
  </si>
  <si>
    <t xml:space="preserve">Hidrodinamik Prensipler</t>
  </si>
  <si>
    <t xml:space="preserve">Süreklilik denklemi ile ilgili hesapları yapması sağlanır.</t>
  </si>
  <si>
    <t xml:space="preserve">Hidrolik sistemlerde uygun hidrolik yağ seçimi yapar.
Hidrolik yağın görevleri ve yağlarda aranan özellikleri açıklanır.
Hidrolik yağ çeşitleri açıklanır.
Hidrolik yağı kullanım yerine uygun şekilde seçmesi sağlanır.</t>
  </si>
  <si>
    <t xml:space="preserve">Hidrolik Akışkanlar ve Yağlar</t>
  </si>
  <si>
    <t xml:space="preserve">Hidrolik sembollerini seçip kullanır.
Hidrolik devre çiziminde kullanılan hatlar ve semboller açıklanır.
Hidrolik devre sembollerini okuması sağlanır.
Hidrolik devre sembollerini çizmesi sağlanır.</t>
  </si>
  <si>
    <t xml:space="preserve">Hidrolik Devrede Kullanılan Semboller</t>
  </si>
  <si>
    <t xml:space="preserve">Basit hidrolik devre çizer.
Hidrolik devre çizimi yapması sağlanır.
29 EKİM Cumhuriyet Bayramı</t>
  </si>
  <si>
    <t xml:space="preserve">Hidrolik Devreler</t>
  </si>
  <si>
    <t xml:space="preserve">Basit hidrolik devre çizer.
Hidrolik devre çizimi yapması sağlanır.</t>
  </si>
  <si>
    <t xml:space="preserve">Yağ depolarının tanımı, görevi ve sembolü açıklanır.
Hidrolik yağ deposu seçiminin doğru olarak yapması sağlanır.
Isıtıcıların-soğutucuların görevi ve özellikleri açıklanır.
Filtrelerin görevi, sembolü, çeşitleri ve yapısal özellikleri açıklar.
10 KASIM Atatürk'ü Anma Günü ve Atatürk Haftası</t>
  </si>
  <si>
    <t xml:space="preserve">HİDROLİK DEVRE ELEMANLARI
Filtreler</t>
  </si>
  <si>
    <t xml:space="preserve">Hidrolik sistemde kullanılan filtreleri seçmesi sağlanır.
Hidrolik sistemde kullanılan filtre donanımlarını seçmesi sağlanır.</t>
  </si>
  <si>
    <t xml:space="preserve">Filtreler</t>
  </si>
  <si>
    <t xml:space="preserve">Hidrolik pompaların seçimini ve ilgili hesaplamaları yapar.
Hidrolik pompaların görevleri, sembolü ve çeşitleri açıklanır.
Pompalarda debinin tanımı ve hesaplanması açıklanır.</t>
  </si>
  <si>
    <t xml:space="preserve">Hidrolik Pompalar</t>
  </si>
  <si>
    <t xml:space="preserve">Hidrolik pompaları karşılaştırması sağlanır.
Pompalarda debinin hesaplanması sağlanır.
Hidrolik pompaların verim hesabını yapması sağlanır.</t>
  </si>
  <si>
    <t xml:space="preserve">Hidrolik pompa seçiminin kullanım alanına uygun şekilde yapması sağlanır.</t>
  </si>
  <si>
    <t xml:space="preserve">Hidrolik motorların seçimini ve ilgili hesaplamaları yapar.
Hidrolik motorların görevleri, çeşitleri ve sembolü açıklanır.
Hidrolik motor seçiminin kullanım alanına uygun şekilde yapması sağlanır.</t>
  </si>
  <si>
    <t xml:space="preserve">Hidrolik Motorlar</t>
  </si>
  <si>
    <t xml:space="preserve">Hidrolik motorlarda döndürme momentinin hesaplanmasının yapılması sağlanır.</t>
  </si>
  <si>
    <t xml:space="preserve">Hidrolik valflerin seçimini yapar.
Valflerin görevleri, çeşitleri ve sembolü açıklanır.
Yön kontrol valflerinin sembollerinin çizmesi sağlanır.</t>
  </si>
  <si>
    <t xml:space="preserve">Valfler</t>
  </si>
  <si>
    <t xml:space="preserve">Basınç kontrol valflerini sembollerinin çizmesi sağlanır.
Akış kontrol valflerini sembollerinin çizmesi sağlanır.</t>
  </si>
  <si>
    <t xml:space="preserve">Hidrolik valflerin seçimini yapar.
Valflerin görevleri, çeşitleri ve sembolü açıklanır.</t>
  </si>
  <si>
    <t xml:space="preserve">Hidrolik silindirlerin seçimini ve ilgili hesaplamaları yapar.
Hidrolik silindirlerin görevleri, çeşitleri ve sembolü açıklanır.
Hidrolik silindirler ile ilgili hesaplamaları yapması sağlanır.</t>
  </si>
  <si>
    <t xml:space="preserve">Hidrolik Silindirler</t>
  </si>
  <si>
    <t xml:space="preserve">Hidrolik silindirlerin kullanım alanına uygun şekilde seçmesi sağlanır.</t>
  </si>
  <si>
    <t xml:space="preserve">Hidrolik boru, hortum ve bağlantı elemanlarının seçimini ve ilgili hesaplamaları yapar.
Hidrolik akış türleri açıklanır.
Borular ve hortumların yapısal özellikleri açıklanır.</t>
  </si>
  <si>
    <t xml:space="preserve">Borular ve Hortumlar</t>
  </si>
  <si>
    <t xml:space="preserve">Boru seçiminde ve montajında dikkat edilecek hususlar açıklanır.
Hidrolik sistemde kullanılan sızdırmazlık elemanları ve manometrelerin sembollerini çizmesi sağlanır.</t>
  </si>
  <si>
    <t xml:space="preserve">Hidrolik borular ile ilgili hesapları yapması sağlanır.
Hidrolik boruların kullanım alanına uygun şekilde yapması sağlanır.</t>
  </si>
  <si>
    <t xml:space="preserve">Hidrolik akümülatörlerin seçimini ve bakımını yapar.
Hidrolik akümülatörlerin görevleri, çalışması ve sembolü açıklanır.
Hidrolik akümülatör çeşitlerini açıklanır.</t>
  </si>
  <si>
    <t xml:space="preserve">Hidrolik Akümülatör</t>
  </si>
  <si>
    <t xml:space="preserve">Hidrolik akümülatörlerle çalışırken dikkat edilmesi gereken hususlar açıklanır.
Hidrolik akümülatörlerin bakımı ve akümülatöre gaz doldurulması açıklanır.</t>
  </si>
  <si>
    <t xml:space="preserve">Hidrolik akümülatörleri kullanım alanına uygun şekilde seçilmesi sağlanır.
Hidrolik akümülatörlerin kontrolünün yapılması sağlanır.</t>
  </si>
  <si>
    <t xml:space="preserve">Pnömatiğin tanımı ve temel prensipleri açıklanır.
Pnömatik sistemlerin üstün ve olumsuz yönleri sıralanır.
Pnömatik silindirlerin seçimini ve ilgili hesaplamaları yapar.
Pnömatik silindirlerin görevleri, çeşitleri ve simgesi açıklanır.
23 NİSAN Ulusal Egemenlik ve Çocuk Bayramı</t>
  </si>
  <si>
    <t xml:space="preserve">PNÖMATİK
Pnömatik Silindirler</t>
  </si>
  <si>
    <t xml:space="preserve">Pnömatik silindirlerde kuvvet iletiminin hesaplanması açıklanır.
Pnömatik silindirlerde oluşan kuvvetlerin hesaplaması sağlanır.</t>
  </si>
  <si>
    <t xml:space="preserve">Pnömatik Silindirler</t>
  </si>
  <si>
    <t xml:space="preserve">Pnömatik motorların seçimini ve ilgili hesaplamaları yapar.
Pnömatik motorların görevleri açıklanır.
Pnömatik motorların çeşitleri sıralanır.</t>
  </si>
  <si>
    <t xml:space="preserve">Pnömatik Motorlar</t>
  </si>
  <si>
    <t xml:space="preserve">Pnömatik motorların tipinin belirlemesi sağlanır.</t>
  </si>
  <si>
    <t xml:space="preserve">Pnömatik valflerin seçimini yapar.
Valflerin görevleri, çeşitleri ve sembolü açıklanır.
Yön kontrol valflerini sembollerle çizerek göstermesi sağlanır.
19 MAYIS Atatürk'ü Anma Gençlik ve Spor Bayramı</t>
  </si>
  <si>
    <t xml:space="preserve">Pnömatik Valfler</t>
  </si>
  <si>
    <t xml:space="preserve">Basınç kontrol valflerini sembollerle çizerek göstermesi sağlanır.
Akış kontrol valflerini sembollerle çizerek göstermesi sağlanır.</t>
  </si>
  <si>
    <t xml:space="preserve">Pnömatik devre çizer.
Pnömatik devre çeşitleri açıklanır.
Pnömatik devre üzerindeki hatlar ve devrelerin ana kısımları açıklanır.</t>
  </si>
  <si>
    <t xml:space="preserve">Pnömatik Devreler</t>
  </si>
  <si>
    <t xml:space="preserve">Pnömatik devre elemanlarının belirlenmesi sağlanır.
Pnömatik devre çizimi yapması sağlanır.</t>
  </si>
  <si>
    <t xml:space="preserve">Pnömatik devrelerin bakımını yapar.
Pnömatik devrelerin bakımı açıklanır.
Pnömatik devrelerin bakım zamanları açıklanır.</t>
  </si>
  <si>
    <t xml:space="preserve">Pnömatik Devrelerin Bakımı</t>
  </si>
  <si>
    <t xml:space="preserve">Hidrolik ve pnömatik devrelerin günlük, haftalık ve aylık bakımlarının yapması sağlanır.</t>
  </si>
  <si>
    <t xml:space="preserve">Pnömatik devrelerin bakımını yapar.
Hidrolik ve pnömatik devrelerin günlük, haftalık ve aylık bakımlarının yapması sağlanır.</t>
  </si>
  <si>
    <t xml:space="preserve">: MAKİNE ELEMANLARI</t>
  </si>
  <si>
    <t xml:space="preserve">Kama ile birleştirme yapılması sağlanır.</t>
  </si>
  <si>
    <t xml:space="preserve">BİRLEŞTİRME ELEMANLARI VE YAĞLAMA
Kamalar</t>
  </si>
  <si>
    <t xml:space="preserve">Derslik ve Atölye, etkileşimli tahta/projeksiyon, sökülebilen/sökülemeyen birleştirme elemanları, yağlar ve yağlama aparatları, miller, muylular, kayış-kasnak-zincir sistemleri, kavrama sistemleri, el takımları, ölçü aletleri</t>
  </si>
  <si>
    <t xml:space="preserve">Pimleri kullanılması sağlanır.</t>
  </si>
  <si>
    <t xml:space="preserve">Pimler</t>
  </si>
  <si>
    <t xml:space="preserve">Vida, cıvata ve somun ile birleştirme yapılması sağlanır.</t>
  </si>
  <si>
    <t xml:space="preserve">Vida, Cıvata ve Somunlar</t>
  </si>
  <si>
    <t xml:space="preserve">Tolerans hesaplamaları yapılması sağlanır.</t>
  </si>
  <si>
    <t xml:space="preserve">Tolerans Hesaplamaları</t>
  </si>
  <si>
    <t xml:space="preserve">Yüzey kalite işaretlerini uygun yerde kullanılması sağlanır.
29 EKİM Cumhuriyet Bayramı</t>
  </si>
  <si>
    <t xml:space="preserve">Yüzey Kalite İşaretleri</t>
  </si>
  <si>
    <t xml:space="preserve">Sökülebilen birleştirme elemanlarının hesaplamalarının yapılması sağlanır.</t>
  </si>
  <si>
    <t xml:space="preserve">Sökülebilen Birleştirme Elemanlarının Hesapları</t>
  </si>
  <si>
    <t xml:space="preserve">Sökülebilen birleştirme elemanlarının hesaplamalarının yapılması sağlanır.
10 KASIM Atatürk'ü Anma Günü ve Atatürk Haftası</t>
  </si>
  <si>
    <t xml:space="preserve">Sökülemeyen birleştirme elemanlarının seçimini ve ilgili hesaplamalarını yapar.
Perçinli birleştirme işlemlerinin yapılması sağlanır.</t>
  </si>
  <si>
    <t xml:space="preserve">Sökülemeyen Birleştirme Elemanları
Perçinler</t>
  </si>
  <si>
    <t xml:space="preserve">Perçinli birleştirme işlemlerinin yapılması sağlanır.
Sökülemeyen birleştirme elemanlarının hesaplamalarının yapılması sağlanır.</t>
  </si>
  <si>
    <t xml:space="preserve">Perçinler</t>
  </si>
  <si>
    <t xml:space="preserve">Kaynaklı birleştirme işlemlerinin yapılması sağlanır.</t>
  </si>
  <si>
    <t xml:space="preserve">Kaynaklı Birleştirmeler</t>
  </si>
  <si>
    <t xml:space="preserve">Kaynaklı birleştirme işlemlerinin yapılması sağlanır.
Sökülemeyen birleştirme elemanlarının hesaplamalarının yapılması sağlanır.</t>
  </si>
  <si>
    <t xml:space="preserve">Sökülemeyen birleştirme elemanlarının hesaplamalarının yapılması sağlanır.</t>
  </si>
  <si>
    <t xml:space="preserve">Lehimleme</t>
  </si>
  <si>
    <t xml:space="preserve">Makine elemanlarının kataloglarına uygun şekilde yağ bakımını yapar.
Makine parçalarının yağlanması gereken yerlerinin belirlenmesi sağlanır.
Makine parçalarının yağlama şekillerinin tespit edilmesi sağlanır.</t>
  </si>
  <si>
    <t xml:space="preserve">Yağlar ve Yağlama
Madensel Yağlar</t>
  </si>
  <si>
    <t xml:space="preserve">Kataloga uygun yağlama yapılması sağlanır.</t>
  </si>
  <si>
    <t xml:space="preserve">Kataloga Uygun Yağlama</t>
  </si>
  <si>
    <t xml:space="preserve">Yağ kataloglarının incelenmesi sağlanır.</t>
  </si>
  <si>
    <t xml:space="preserve">Soğutma Sıvıları
Yağ Katalogları</t>
  </si>
  <si>
    <t xml:space="preserve">Yağ kataloglarının incelenmesi sağlanır.
Kataloga uygun yağlama yapılması sağlanır.</t>
  </si>
  <si>
    <t xml:space="preserve">Yağ Katalogları</t>
  </si>
  <si>
    <t xml:space="preserve">Düz miller ve çeşitleri açıklanır.
Muylu ve çeşitleri açıklanır.</t>
  </si>
  <si>
    <t xml:space="preserve">MİLLER, MUYLULAR VE YATAKLAR
Miller, Muylular ve Yataklar</t>
  </si>
  <si>
    <t xml:space="preserve">Mil ve yataklarının yağlanması açıklanır.</t>
  </si>
  <si>
    <t xml:space="preserve">Miller, Muylular ve Yataklar</t>
  </si>
  <si>
    <t xml:space="preserve">Yuvarlanma dirençli yataklar açıklanır.</t>
  </si>
  <si>
    <t xml:space="preserve">Yuvarlanma Dirençli Yataklar</t>
  </si>
  <si>
    <t xml:space="preserve">Mil, muylu ve yatakların hesapları yapılması sağlanır.</t>
  </si>
  <si>
    <t xml:space="preserve">Mil, Muylu ve Yatakların Hesapları</t>
  </si>
  <si>
    <t xml:space="preserve">Kayış, kasnak, dişli çarklar ve zincirlerin seçimini ve ilgili hesaplamalarını yapar.
Kayış, kasnak dişli çark ve zincirlerin çeşitleri, kullanıldığı yerler açıklanır.</t>
  </si>
  <si>
    <t xml:space="preserve">Kayış, Kasnak, Dişli Çark ve Zincirler</t>
  </si>
  <si>
    <t xml:space="preserve">Kayış, kasnak, dişli çarklar ve zincirlerin hareket iletimleri ile ilgili uygulamaların yapılması sağlanır.</t>
  </si>
  <si>
    <t xml:space="preserve">Kayış, kasnak, dişli çarklar ve zincirlerin hareket iletimleri ile hesaplamaların yapılması sağlanır.
23 NİSAN Ulusal Egemenlik ve Çocuk Bayramı</t>
  </si>
  <si>
    <t xml:space="preserve">Kayış, Kasnak, Dişli Çark ve Zincirlerin Hesaplamaları</t>
  </si>
  <si>
    <t xml:space="preserve">Kayış, kasnak, dişli çarklar ve zincirlerin hareket iletimleri ile hesaplamaların yapılması sağlanır.</t>
  </si>
  <si>
    <t xml:space="preserve">Moment ve güç hesaplamaların yapılması sağlanır.</t>
  </si>
  <si>
    <t xml:space="preserve">Kavramaların seçimini yapar.
Kavramaların çeşitleri ve kullanıldığı yerler açıklanır.
19 MAYIS Atatürk'ü Anma Gençlik ve Spor Bayramı</t>
  </si>
  <si>
    <t xml:space="preserve">Kavramalar</t>
  </si>
  <si>
    <t xml:space="preserve">Kavramaların hareket iletim hesaplamaları yapılması sağlanır.</t>
  </si>
  <si>
    <t xml:space="preserve">Kavramaların seçimini yapar.
Kavramaların hareket iletim hesaplamaları yapılması sağlanır.</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</si>
</sst>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Times New Roman"/>
      <family val="0"/>
      <charset val="1"/>
    </font>
    <font>
      <sz val="11"/>
      <color theme="1"/>
      <name val="Times New Roman"/>
      <family val="0"/>
      <charset val="1"/>
    </font>
    <font>
      <b val="true"/>
      <sz val="10"/>
      <name val="Times New Roman"/>
      <family val="0"/>
      <charset val="1"/>
    </font>
    <font>
      <b val="true"/>
      <sz val="10"/>
      <color rgb="FF0000FF"/>
      <name val="Times New Roman"/>
      <family val="0"/>
      <charset val="1"/>
    </font>
    <font>
      <b val="true"/>
      <sz val="10"/>
      <color rgb="FF000000"/>
      <name val="Times New Roman"/>
      <family val="0"/>
      <charset val="1"/>
    </font>
    <font>
      <i val="true"/>
      <sz val="8"/>
      <color rgb="FF808080"/>
      <name val="Times New Roman"/>
      <family val="0"/>
      <charset val="1"/>
    </font>
    <font>
      <b val="true"/>
      <sz val="11"/>
      <name val="Times New Roman"/>
      <family val="0"/>
      <charset val="1"/>
    </font>
    <font>
      <sz val="7"/>
      <color rgb="FFFFFFFF"/>
      <name val="Times New Roman"/>
      <family val="0"/>
      <charset val="1"/>
    </font>
    <font>
      <b val="true"/>
      <sz val="9"/>
      <name val="Times New Roman"/>
      <family val="0"/>
      <charset val="1"/>
    </font>
    <font>
      <sz val="8"/>
      <name val="Times New Roman"/>
      <family val="0"/>
      <charset val="1"/>
    </font>
    <font>
      <sz val="8"/>
      <color rgb="FFC00000"/>
      <name val="Times New Roman"/>
      <family val="0"/>
      <charset val="1"/>
    </font>
    <font>
      <b val="true"/>
      <sz val="16"/>
      <name val="Times New Roman"/>
      <family val="0"/>
      <charset val="1"/>
    </font>
    <font>
      <sz val="9"/>
      <color rgb="FF000000"/>
      <name val="Times New Roman"/>
      <family val="0"/>
      <charset val="1"/>
    </font>
    <font>
      <sz val="9"/>
      <name val="Times New Roman"/>
      <family val="0"/>
      <charset val="1"/>
    </font>
  </fonts>
  <fills count="6">
    <fill>
      <patternFill patternType="none"/>
    </fill>
    <fill>
      <patternFill patternType="gray125"/>
    </fill>
    <fill>
      <patternFill patternType="solid">
        <fgColor rgb="FF1F4E78"/>
        <bgColor rgb="FF003366"/>
      </patternFill>
    </fill>
    <fill>
      <patternFill patternType="solid">
        <fgColor rgb="FFDDEBF7"/>
        <bgColor rgb="FFD9D9D9"/>
      </patternFill>
    </fill>
    <fill>
      <patternFill patternType="solid">
        <fgColor rgb="FFFFF2CC"/>
        <bgColor rgb="FFFFFFFF"/>
      </patternFill>
    </fill>
    <fill>
      <patternFill patternType="solid">
        <fgColor rgb="FFD9D9D9"/>
        <bgColor rgb="FFDDEBF7"/>
      </patternFill>
    </fill>
  </fills>
  <borders count="3">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general" vertical="bottom" textRotation="0" wrapText="false" indent="0" shrinkToFit="false"/>
      <protection locked="true" hidden="false"/>
    </xf>
    <xf numFmtId="165" fontId="8" fillId="4" borderId="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12" fillId="5"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6" fontId="14" fillId="0"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5" fontId="16" fillId="0" borderId="2" xfId="0" applyFont="true" applyBorder="true" applyAlignment="true" applyProtection="false">
      <alignment horizontal="left" vertical="center" textRotation="0" wrapText="true" indent="0" shrinkToFit="false"/>
      <protection locked="true" hidden="false"/>
    </xf>
    <xf numFmtId="164" fontId="17" fillId="0" borderId="2" xfId="0" applyFont="true" applyBorder="true" applyAlignment="true" applyProtection="false">
      <alignment horizontal="left" vertical="center" textRotation="0" wrapText="fals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17" fillId="4" borderId="2"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808560</xdr:colOff>
      <xdr:row>0</xdr:row>
      <xdr:rowOff>808560</xdr:rowOff>
    </xdr:to>
    <xdr:pic>
      <xdr:nvPicPr>
        <xdr:cNvPr id="0"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4</xdr:col>
      <xdr:colOff>0</xdr:colOff>
      <xdr:row>0</xdr:row>
      <xdr:rowOff>0</xdr:rowOff>
    </xdr:from>
    <xdr:to>
      <xdr:col>4</xdr:col>
      <xdr:colOff>808560</xdr:colOff>
      <xdr:row>0</xdr:row>
      <xdr:rowOff>808560</xdr:rowOff>
    </xdr:to>
    <xdr:pic>
      <xdr:nvPicPr>
        <xdr:cNvPr id="1" name="Image 2" descr="Picture"/>
        <xdr:cNvPicPr/>
      </xdr:nvPicPr>
      <xdr:blipFill>
        <a:blip r:embed="rId2"/>
        <a:stretch/>
      </xdr:blipFill>
      <xdr:spPr>
        <a:xfrm>
          <a:off x="6132240" y="0"/>
          <a:ext cx="808560" cy="808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4"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5"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6"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7"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8"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9"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10"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11"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12"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13"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14"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15"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16"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17"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18"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19"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0"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21"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2"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23"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4"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25"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6"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27"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28"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29"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30"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1"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32"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3"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34"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5"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36"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7"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174240</xdr:colOff>
      <xdr:row>0</xdr:row>
      <xdr:rowOff>808560</xdr:rowOff>
    </xdr:to>
    <xdr:pic>
      <xdr:nvPicPr>
        <xdr:cNvPr id="38" name="Image 1" descr="Picture"/>
        <xdr:cNvPicPr/>
      </xdr:nvPicPr>
      <xdr:blipFill>
        <a:blip r:embed="rId1"/>
        <a:stretch/>
      </xdr:blipFill>
      <xdr:spPr>
        <a:xfrm>
          <a:off x="0" y="0"/>
          <a:ext cx="808560" cy="808560"/>
        </a:xfrm>
        <a:prstGeom prst="rect">
          <a:avLst/>
        </a:prstGeom>
        <a:ln w="0">
          <a:noFill/>
        </a:ln>
      </xdr:spPr>
    </xdr:pic>
    <xdr:clientData/>
  </xdr:twoCellAnchor>
  <xdr:twoCellAnchor editAs="oneCell">
    <xdr:from>
      <xdr:col>28</xdr:col>
      <xdr:colOff>0</xdr:colOff>
      <xdr:row>0</xdr:row>
      <xdr:rowOff>0</xdr:rowOff>
    </xdr:from>
    <xdr:to>
      <xdr:col>30</xdr:col>
      <xdr:colOff>202680</xdr:colOff>
      <xdr:row>0</xdr:row>
      <xdr:rowOff>808560</xdr:rowOff>
    </xdr:to>
    <xdr:pic>
      <xdr:nvPicPr>
        <xdr:cNvPr id="39" name="Image 2" descr="Picture"/>
        <xdr:cNvPicPr/>
      </xdr:nvPicPr>
      <xdr:blipFill>
        <a:blip r:embed="rId2"/>
        <a:stretch/>
      </xdr:blipFill>
      <xdr:spPr>
        <a:xfrm>
          <a:off x="8812440" y="0"/>
          <a:ext cx="808560" cy="808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6"/>
    <col collapsed="false" customWidth="true" hidden="false" outlineLevel="0" max="3" min="3" style="1" width="3"/>
    <col collapsed="false" customWidth="true" hidden="false" outlineLevel="0" max="4" min="4" style="1" width="16"/>
    <col collapsed="false" customWidth="true" hidden="false" outlineLevel="0" max="5" min="5" style="1" width="30"/>
  </cols>
  <sheetData>
    <row r="1" customFormat="false" ht="75" hidden="false" customHeight="true" outlineLevel="0" collapsed="false">
      <c r="A1" s="2" t="s">
        <v>0</v>
      </c>
      <c r="B1" s="2"/>
      <c r="C1" s="2"/>
      <c r="D1" s="2"/>
      <c r="E1" s="2"/>
      <c r="F1" s="2"/>
    </row>
    <row r="2" customFormat="false" ht="15" hidden="false" customHeight="true" outlineLevel="0" collapsed="false">
      <c r="A2" s="3"/>
      <c r="B2" s="3"/>
      <c r="C2" s="3"/>
      <c r="D2" s="3"/>
      <c r="E2" s="3"/>
      <c r="F2" s="3"/>
    </row>
    <row r="3" customFormat="false" ht="15" hidden="false" customHeight="true" outlineLevel="0" collapsed="false">
      <c r="A3" s="4" t="s">
        <v>1</v>
      </c>
      <c r="B3" s="5" t="s">
        <v>2</v>
      </c>
      <c r="C3" s="3"/>
      <c r="D3" s="6" t="s">
        <v>3</v>
      </c>
      <c r="E3" s="7" t="s">
        <v>4</v>
      </c>
      <c r="F3" s="3"/>
    </row>
    <row r="4" customFormat="false" ht="15" hidden="false" customHeight="true" outlineLevel="0" collapsed="false">
      <c r="A4" s="4" t="s">
        <v>5</v>
      </c>
      <c r="B4" s="8" t="s">
        <v>6</v>
      </c>
      <c r="C4" s="3"/>
      <c r="D4" s="6" t="s">
        <v>7</v>
      </c>
      <c r="E4" s="9" t="n">
        <f aca="false">DATE(VALUE(LEFT($E$3,4)),9,14)-(WEEKDAY(DATE(VALUE(LEFT($E$3,4)),9,14),2)-1)</f>
        <v>46279</v>
      </c>
      <c r="F4" s="3"/>
    </row>
    <row r="5" customFormat="false" ht="15" hidden="false" customHeight="true" outlineLevel="0" collapsed="false">
      <c r="A5" s="3"/>
      <c r="B5" s="3"/>
      <c r="C5" s="3"/>
      <c r="D5" s="10" t="s">
        <v>8</v>
      </c>
      <c r="E5" s="10"/>
      <c r="F5" s="3"/>
    </row>
    <row r="6" customFormat="false" ht="15" hidden="false" customHeight="true" outlineLevel="0" collapsed="false">
      <c r="A6" s="11" t="s">
        <v>9</v>
      </c>
      <c r="B6" s="3"/>
      <c r="C6" s="3"/>
      <c r="D6" s="3"/>
      <c r="E6" s="3"/>
      <c r="F6" s="3"/>
    </row>
    <row r="7" customFormat="false" ht="15" hidden="false" customHeight="true" outlineLevel="0" collapsed="false">
      <c r="A7" s="4" t="s">
        <v>10</v>
      </c>
      <c r="B7" s="5" t="s">
        <v>11</v>
      </c>
      <c r="C7" s="3"/>
      <c r="D7" s="3"/>
      <c r="E7" s="3"/>
      <c r="F7" s="3"/>
    </row>
    <row r="8" customFormat="false" ht="15" hidden="false" customHeight="true" outlineLevel="0" collapsed="false">
      <c r="A8" s="4" t="s">
        <v>12</v>
      </c>
      <c r="B8" s="5" t="s">
        <v>13</v>
      </c>
      <c r="C8" s="3"/>
      <c r="D8" s="3"/>
      <c r="E8" s="3"/>
      <c r="F8" s="3"/>
    </row>
    <row r="9" customFormat="false" ht="15" hidden="false" customHeight="true" outlineLevel="0" collapsed="false">
      <c r="A9" s="4" t="s">
        <v>14</v>
      </c>
      <c r="B9" s="5" t="s">
        <v>15</v>
      </c>
      <c r="C9" s="3"/>
      <c r="D9" s="3"/>
      <c r="E9" s="3"/>
      <c r="F9" s="3"/>
    </row>
    <row r="10" customFormat="false" ht="15" hidden="false" customHeight="true" outlineLevel="0" collapsed="false">
      <c r="A10" s="4" t="s">
        <v>16</v>
      </c>
      <c r="B10" s="5" t="s">
        <v>17</v>
      </c>
      <c r="C10" s="3"/>
      <c r="D10" s="3"/>
      <c r="E10" s="3"/>
      <c r="F10" s="3"/>
    </row>
    <row r="11" customFormat="false" ht="15" hidden="false" customHeight="true" outlineLevel="0" collapsed="false">
      <c r="A11" s="3"/>
      <c r="B11" s="3"/>
      <c r="C11" s="3"/>
      <c r="D11" s="3"/>
      <c r="E11" s="3"/>
      <c r="F11" s="3"/>
    </row>
    <row r="12" customFormat="false" ht="15" hidden="false" customHeight="true" outlineLevel="0" collapsed="false">
      <c r="A12" s="11" t="s">
        <v>18</v>
      </c>
      <c r="B12" s="3"/>
      <c r="C12" s="3"/>
      <c r="D12" s="3"/>
      <c r="E12" s="3"/>
      <c r="F12" s="3"/>
    </row>
    <row r="13" customFormat="false" ht="15" hidden="false" customHeight="true" outlineLevel="0" collapsed="false">
      <c r="A13" s="4" t="s">
        <v>19</v>
      </c>
      <c r="B13" s="8" t="s">
        <v>20</v>
      </c>
      <c r="C13" s="3"/>
      <c r="D13" s="3"/>
      <c r="E13" s="3"/>
      <c r="F13" s="3"/>
    </row>
    <row r="14" customFormat="false" ht="15" hidden="false" customHeight="true" outlineLevel="0" collapsed="false">
      <c r="A14" s="4" t="s">
        <v>21</v>
      </c>
      <c r="B14" s="8" t="s">
        <v>22</v>
      </c>
      <c r="C14" s="3"/>
      <c r="D14" s="3"/>
      <c r="E14" s="3"/>
      <c r="F14" s="3"/>
    </row>
    <row r="15" customFormat="false" ht="15" hidden="false" customHeight="true" outlineLevel="0" collapsed="false">
      <c r="A15" s="4" t="s">
        <v>23</v>
      </c>
      <c r="B15" s="8" t="s">
        <v>24</v>
      </c>
      <c r="C15" s="3"/>
      <c r="D15" s="3"/>
      <c r="E15" s="3"/>
      <c r="F15" s="3"/>
    </row>
    <row r="16" customFormat="false" ht="15" hidden="false" customHeight="true" outlineLevel="0" collapsed="false">
      <c r="A16" s="4" t="s">
        <v>25</v>
      </c>
      <c r="B16" s="8" t="s">
        <v>26</v>
      </c>
      <c r="C16" s="3"/>
      <c r="D16" s="3"/>
      <c r="E16" s="3"/>
      <c r="F16" s="3"/>
    </row>
    <row r="17" customFormat="false" ht="15" hidden="false" customHeight="true" outlineLevel="0" collapsed="false">
      <c r="A17" s="4" t="s">
        <v>27</v>
      </c>
      <c r="B17" s="8" t="s">
        <v>28</v>
      </c>
      <c r="C17" s="3"/>
      <c r="D17" s="3"/>
      <c r="E17" s="3"/>
      <c r="F17" s="3"/>
    </row>
    <row r="18" customFormat="false" ht="15" hidden="false" customHeight="true" outlineLevel="0" collapsed="false">
      <c r="A18" s="4" t="s">
        <v>29</v>
      </c>
      <c r="B18" s="8" t="s">
        <v>30</v>
      </c>
      <c r="C18" s="3"/>
      <c r="D18" s="3"/>
      <c r="E18" s="3"/>
      <c r="F18" s="3"/>
    </row>
    <row r="19" customFormat="false" ht="15" hidden="false" customHeight="true" outlineLevel="0" collapsed="false">
      <c r="A19" s="4" t="s">
        <v>31</v>
      </c>
      <c r="B19" s="8" t="s">
        <v>32</v>
      </c>
      <c r="C19" s="3"/>
      <c r="D19" s="3"/>
      <c r="E19" s="3"/>
      <c r="F19" s="3"/>
    </row>
    <row r="20" customFormat="false" ht="15" hidden="false" customHeight="true" outlineLevel="0" collapsed="false">
      <c r="A20" s="4" t="s">
        <v>33</v>
      </c>
      <c r="B20" s="8" t="s">
        <v>34</v>
      </c>
      <c r="C20" s="3"/>
      <c r="D20" s="3"/>
      <c r="E20" s="3"/>
      <c r="F20" s="3"/>
    </row>
    <row r="21" customFormat="false" ht="15" hidden="false" customHeight="true" outlineLevel="0" collapsed="false">
      <c r="A21" s="4" t="s">
        <v>35</v>
      </c>
      <c r="B21" s="8" t="s">
        <v>36</v>
      </c>
      <c r="C21" s="3"/>
      <c r="D21" s="3"/>
      <c r="E21" s="3"/>
      <c r="F21" s="3"/>
    </row>
    <row r="22" customFormat="false" ht="15" hidden="false" customHeight="true" outlineLevel="0" collapsed="false">
      <c r="A22" s="4" t="s">
        <v>37</v>
      </c>
      <c r="B22" s="5" t="s">
        <v>38</v>
      </c>
      <c r="C22" s="3"/>
      <c r="D22" s="3"/>
      <c r="E22" s="3"/>
      <c r="F22" s="3"/>
    </row>
    <row r="23" customFormat="false" ht="15" hidden="false" customHeight="true" outlineLevel="0" collapsed="false">
      <c r="A23" s="4" t="s">
        <v>39</v>
      </c>
      <c r="B23" s="5" t="s">
        <v>40</v>
      </c>
      <c r="C23" s="3"/>
      <c r="D23" s="3"/>
      <c r="E23" s="3"/>
      <c r="F23" s="3"/>
    </row>
    <row r="24" customFormat="false" ht="15" hidden="false" customHeight="true" outlineLevel="0" collapsed="false">
      <c r="A24" s="4" t="s">
        <v>41</v>
      </c>
      <c r="B24" s="8" t="s">
        <v>42</v>
      </c>
      <c r="C24" s="3"/>
      <c r="D24" s="3"/>
      <c r="E24" s="3"/>
      <c r="F24" s="3"/>
    </row>
    <row r="25" customFormat="false" ht="15" hidden="false" customHeight="true" outlineLevel="0" collapsed="false">
      <c r="A25" s="3"/>
      <c r="B25" s="3"/>
      <c r="C25" s="3"/>
      <c r="D25" s="3"/>
      <c r="E25" s="3"/>
      <c r="F25" s="3"/>
    </row>
    <row r="26" customFormat="false" ht="15" hidden="false" customHeight="true" outlineLevel="0" collapsed="false">
      <c r="A26" s="3"/>
      <c r="B26" s="3"/>
      <c r="C26" s="3"/>
      <c r="D26" s="3"/>
      <c r="E26" s="3"/>
      <c r="F26" s="3"/>
    </row>
    <row r="27" customFormat="false" ht="15" hidden="false" customHeight="true" outlineLevel="0" collapsed="false">
      <c r="A27" s="12" t="s">
        <v>43</v>
      </c>
      <c r="B27" s="12"/>
      <c r="C27" s="12"/>
      <c r="D27" s="12"/>
      <c r="E27" s="12"/>
      <c r="F27" s="3"/>
    </row>
    <row r="28" customFormat="false" ht="15" hidden="false" customHeight="true" outlineLevel="0" collapsed="false">
      <c r="A28" s="13" t="s">
        <v>44</v>
      </c>
      <c r="B28" s="13" t="s">
        <v>45</v>
      </c>
      <c r="C28" s="13" t="s">
        <v>46</v>
      </c>
      <c r="D28" s="13" t="s">
        <v>47</v>
      </c>
      <c r="E28" s="13"/>
      <c r="F28" s="3"/>
    </row>
    <row r="29" customFormat="false" ht="15" hidden="false" customHeight="true" outlineLevel="0" collapsed="false">
      <c r="A29" s="14" t="n">
        <v>1</v>
      </c>
      <c r="B29" s="8" t="s">
        <v>48</v>
      </c>
      <c r="C29" s="5" t="s">
        <v>49</v>
      </c>
      <c r="D29" s="5"/>
      <c r="E29" s="3"/>
      <c r="F29" s="3"/>
    </row>
    <row r="30" customFormat="false" ht="15" hidden="false" customHeight="true" outlineLevel="0" collapsed="false">
      <c r="A30" s="14" t="n">
        <v>2</v>
      </c>
      <c r="B30" s="8" t="s">
        <v>50</v>
      </c>
      <c r="C30" s="5" t="s">
        <v>49</v>
      </c>
      <c r="D30" s="5"/>
      <c r="E30" s="3"/>
      <c r="F30" s="3"/>
    </row>
    <row r="31" customFormat="false" ht="15" hidden="false" customHeight="true" outlineLevel="0" collapsed="false">
      <c r="A31" s="14" t="n">
        <v>3</v>
      </c>
      <c r="B31" s="8" t="s">
        <v>51</v>
      </c>
      <c r="C31" s="5" t="s">
        <v>49</v>
      </c>
      <c r="D31" s="5"/>
      <c r="E31" s="3"/>
      <c r="F31" s="3"/>
    </row>
    <row r="32" customFormat="false" ht="15" hidden="false" customHeight="true" outlineLevel="0" collapsed="false">
      <c r="A32" s="14" t="n">
        <v>4</v>
      </c>
      <c r="B32" s="8" t="s">
        <v>52</v>
      </c>
      <c r="C32" s="5" t="s">
        <v>49</v>
      </c>
      <c r="D32" s="5"/>
      <c r="E32" s="3"/>
      <c r="F32" s="3"/>
    </row>
    <row r="33" customFormat="false" ht="15" hidden="false" customHeight="true" outlineLevel="0" collapsed="false">
      <c r="A33" s="14" t="n">
        <v>5</v>
      </c>
      <c r="B33" s="8" t="s">
        <v>53</v>
      </c>
      <c r="C33" s="5" t="s">
        <v>49</v>
      </c>
      <c r="D33" s="5"/>
      <c r="E33" s="3"/>
      <c r="F33" s="3"/>
    </row>
    <row r="34" customFormat="false" ht="15" hidden="false" customHeight="true" outlineLevel="0" collapsed="false">
      <c r="A34" s="14" t="n">
        <v>6</v>
      </c>
      <c r="B34" s="8" t="s">
        <v>54</v>
      </c>
      <c r="C34" s="5" t="s">
        <v>49</v>
      </c>
      <c r="D34" s="5"/>
      <c r="E34" s="3"/>
      <c r="F34" s="3"/>
    </row>
    <row r="35" customFormat="false" ht="15" hidden="false" customHeight="true" outlineLevel="0" collapsed="false">
      <c r="A35" s="14" t="n">
        <v>7</v>
      </c>
      <c r="B35" s="8" t="s">
        <v>55</v>
      </c>
      <c r="C35" s="5" t="s">
        <v>49</v>
      </c>
      <c r="D35" s="5"/>
      <c r="E35" s="3"/>
      <c r="F35" s="3"/>
    </row>
    <row r="36" customFormat="false" ht="15" hidden="false" customHeight="true" outlineLevel="0" collapsed="false">
      <c r="A36" s="14" t="n">
        <v>8</v>
      </c>
      <c r="B36" s="8" t="s">
        <v>56</v>
      </c>
      <c r="C36" s="5" t="s">
        <v>49</v>
      </c>
      <c r="D36" s="5"/>
      <c r="E36" s="3"/>
      <c r="F36" s="3"/>
    </row>
    <row r="37" customFormat="false" ht="15" hidden="false" customHeight="true" outlineLevel="0" collapsed="false">
      <c r="A37" s="14" t="n">
        <v>9</v>
      </c>
      <c r="B37" s="8" t="s">
        <v>57</v>
      </c>
      <c r="C37" s="5" t="s">
        <v>49</v>
      </c>
      <c r="D37" s="5"/>
      <c r="E37" s="3"/>
      <c r="F37" s="3"/>
    </row>
    <row r="38" customFormat="false" ht="15" hidden="false" customHeight="true" outlineLevel="0" collapsed="false">
      <c r="A38" s="15" t="n">
        <v>10</v>
      </c>
      <c r="B38" s="8" t="s">
        <v>26</v>
      </c>
      <c r="C38" s="16" t="s">
        <v>58</v>
      </c>
      <c r="D38" s="16" t="s">
        <v>59</v>
      </c>
      <c r="E38" s="3"/>
      <c r="F38" s="3"/>
    </row>
    <row r="39" customFormat="false" ht="15" hidden="false" customHeight="true" outlineLevel="0" collapsed="false">
      <c r="A39" s="14" t="n">
        <v>11</v>
      </c>
      <c r="B39" s="8" t="s">
        <v>60</v>
      </c>
      <c r="C39" s="5" t="s">
        <v>49</v>
      </c>
      <c r="D39" s="5"/>
      <c r="E39" s="3"/>
      <c r="F39" s="3"/>
    </row>
    <row r="40" customFormat="false" ht="15" hidden="false" customHeight="true" outlineLevel="0" collapsed="false">
      <c r="A40" s="14" t="n">
        <v>12</v>
      </c>
      <c r="B40" s="8" t="s">
        <v>61</v>
      </c>
      <c r="C40" s="5" t="s">
        <v>49</v>
      </c>
      <c r="D40" s="5"/>
      <c r="E40" s="3"/>
      <c r="F40" s="3"/>
    </row>
    <row r="41" customFormat="false" ht="15" hidden="false" customHeight="true" outlineLevel="0" collapsed="false">
      <c r="A41" s="14" t="n">
        <v>13</v>
      </c>
      <c r="B41" s="8" t="s">
        <v>62</v>
      </c>
      <c r="C41" s="5" t="s">
        <v>49</v>
      </c>
      <c r="D41" s="5"/>
      <c r="E41" s="3"/>
      <c r="F41" s="3"/>
    </row>
    <row r="42" customFormat="false" ht="15" hidden="false" customHeight="true" outlineLevel="0" collapsed="false">
      <c r="A42" s="14" t="n">
        <v>14</v>
      </c>
      <c r="B42" s="8" t="s">
        <v>63</v>
      </c>
      <c r="C42" s="5" t="s">
        <v>49</v>
      </c>
      <c r="D42" s="5"/>
      <c r="E42" s="3"/>
      <c r="F42" s="3"/>
    </row>
    <row r="43" customFormat="false" ht="15" hidden="false" customHeight="true" outlineLevel="0" collapsed="false">
      <c r="A43" s="14" t="n">
        <v>15</v>
      </c>
      <c r="B43" s="8" t="s">
        <v>64</v>
      </c>
      <c r="C43" s="5" t="s">
        <v>49</v>
      </c>
      <c r="D43" s="5"/>
      <c r="E43" s="3"/>
      <c r="F43" s="3"/>
    </row>
    <row r="44" customFormat="false" ht="15" hidden="false" customHeight="true" outlineLevel="0" collapsed="false">
      <c r="A44" s="14" t="n">
        <v>16</v>
      </c>
      <c r="B44" s="8" t="s">
        <v>65</v>
      </c>
      <c r="C44" s="5" t="s">
        <v>49</v>
      </c>
      <c r="D44" s="5"/>
      <c r="E44" s="3"/>
      <c r="F44" s="3"/>
    </row>
    <row r="45" customFormat="false" ht="15" hidden="false" customHeight="true" outlineLevel="0" collapsed="false">
      <c r="A45" s="14" t="n">
        <v>17</v>
      </c>
      <c r="B45" s="8" t="s">
        <v>66</v>
      </c>
      <c r="C45" s="5" t="s">
        <v>49</v>
      </c>
      <c r="D45" s="5"/>
      <c r="E45" s="3"/>
      <c r="F45" s="3"/>
    </row>
    <row r="46" customFormat="false" ht="15" hidden="false" customHeight="true" outlineLevel="0" collapsed="false">
      <c r="A46" s="14" t="n">
        <v>18</v>
      </c>
      <c r="B46" s="8" t="s">
        <v>67</v>
      </c>
      <c r="C46" s="5" t="s">
        <v>49</v>
      </c>
      <c r="D46" s="5"/>
      <c r="E46" s="3"/>
      <c r="F46" s="3"/>
    </row>
    <row r="47" customFormat="false" ht="15" hidden="false" customHeight="true" outlineLevel="0" collapsed="false">
      <c r="A47" s="14" t="n">
        <v>19</v>
      </c>
      <c r="B47" s="8" t="s">
        <v>68</v>
      </c>
      <c r="C47" s="5" t="s">
        <v>49</v>
      </c>
      <c r="D47" s="5"/>
      <c r="E47" s="3"/>
      <c r="F47" s="3"/>
    </row>
    <row r="48" customFormat="false" ht="15" hidden="false" customHeight="true" outlineLevel="0" collapsed="false">
      <c r="A48" s="15" t="n">
        <v>20</v>
      </c>
      <c r="B48" s="8" t="s">
        <v>69</v>
      </c>
      <c r="C48" s="16" t="s">
        <v>58</v>
      </c>
      <c r="D48" s="16" t="s">
        <v>70</v>
      </c>
      <c r="E48" s="3"/>
      <c r="F48" s="3"/>
    </row>
    <row r="49" customFormat="false" ht="15" hidden="false" customHeight="true" outlineLevel="0" collapsed="false">
      <c r="A49" s="14" t="n">
        <v>21</v>
      </c>
      <c r="B49" s="8" t="s">
        <v>71</v>
      </c>
      <c r="C49" s="5" t="s">
        <v>49</v>
      </c>
      <c r="D49" s="5"/>
      <c r="E49" s="3"/>
      <c r="F49" s="3"/>
    </row>
    <row r="50" customFormat="false" ht="15" hidden="false" customHeight="true" outlineLevel="0" collapsed="false">
      <c r="A50" s="14" t="n">
        <v>22</v>
      </c>
      <c r="B50" s="8" t="s">
        <v>72</v>
      </c>
      <c r="C50" s="5" t="s">
        <v>49</v>
      </c>
      <c r="D50" s="5"/>
      <c r="E50" s="3"/>
      <c r="F50" s="3"/>
    </row>
    <row r="51" customFormat="false" ht="15" hidden="false" customHeight="true" outlineLevel="0" collapsed="false">
      <c r="A51" s="14" t="n">
        <v>23</v>
      </c>
      <c r="B51" s="8" t="s">
        <v>73</v>
      </c>
      <c r="C51" s="5" t="s">
        <v>49</v>
      </c>
      <c r="D51" s="5"/>
      <c r="E51" s="3"/>
      <c r="F51" s="3"/>
    </row>
    <row r="52" customFormat="false" ht="15" hidden="false" customHeight="true" outlineLevel="0" collapsed="false">
      <c r="A52" s="14" t="n">
        <v>24</v>
      </c>
      <c r="B52" s="8" t="s">
        <v>74</v>
      </c>
      <c r="C52" s="5" t="s">
        <v>49</v>
      </c>
      <c r="D52" s="5"/>
      <c r="E52" s="3"/>
      <c r="F52" s="3"/>
    </row>
    <row r="53" customFormat="false" ht="15" hidden="false" customHeight="true" outlineLevel="0" collapsed="false">
      <c r="A53" s="15" t="n">
        <v>25</v>
      </c>
      <c r="B53" s="8" t="s">
        <v>32</v>
      </c>
      <c r="C53" s="16" t="s">
        <v>58</v>
      </c>
      <c r="D53" s="16" t="s">
        <v>75</v>
      </c>
      <c r="E53" s="3"/>
      <c r="F53" s="3"/>
    </row>
    <row r="54" customFormat="false" ht="15" hidden="false" customHeight="true" outlineLevel="0" collapsed="false">
      <c r="A54" s="14" t="n">
        <v>26</v>
      </c>
      <c r="B54" s="8" t="s">
        <v>76</v>
      </c>
      <c r="C54" s="5" t="s">
        <v>49</v>
      </c>
      <c r="D54" s="5"/>
      <c r="E54" s="3"/>
      <c r="F54" s="3"/>
    </row>
    <row r="55" customFormat="false" ht="15" hidden="false" customHeight="true" outlineLevel="0" collapsed="false">
      <c r="A55" s="14" t="n">
        <v>27</v>
      </c>
      <c r="B55" s="8" t="s">
        <v>77</v>
      </c>
      <c r="C55" s="5" t="s">
        <v>49</v>
      </c>
      <c r="D55" s="5"/>
      <c r="E55" s="3"/>
      <c r="F55" s="3"/>
    </row>
    <row r="56" customFormat="false" ht="15" hidden="false" customHeight="true" outlineLevel="0" collapsed="false">
      <c r="A56" s="14" t="n">
        <v>28</v>
      </c>
      <c r="B56" s="8" t="s">
        <v>78</v>
      </c>
      <c r="C56" s="5" t="s">
        <v>49</v>
      </c>
      <c r="D56" s="5"/>
      <c r="E56" s="3"/>
      <c r="F56" s="3"/>
    </row>
    <row r="57" customFormat="false" ht="15" hidden="false" customHeight="true" outlineLevel="0" collapsed="false">
      <c r="A57" s="14" t="n">
        <v>29</v>
      </c>
      <c r="B57" s="8" t="s">
        <v>79</v>
      </c>
      <c r="C57" s="5" t="s">
        <v>49</v>
      </c>
      <c r="D57" s="5"/>
      <c r="E57" s="3"/>
      <c r="F57" s="3"/>
    </row>
    <row r="58" customFormat="false" ht="15" hidden="false" customHeight="true" outlineLevel="0" collapsed="false">
      <c r="A58" s="14" t="n">
        <v>30</v>
      </c>
      <c r="B58" s="8" t="s">
        <v>80</v>
      </c>
      <c r="C58" s="5" t="s">
        <v>49</v>
      </c>
      <c r="D58" s="5"/>
      <c r="E58" s="3"/>
      <c r="F58" s="3"/>
    </row>
    <row r="59" customFormat="false" ht="15" hidden="false" customHeight="true" outlineLevel="0" collapsed="false">
      <c r="A59" s="14" t="n">
        <v>31</v>
      </c>
      <c r="B59" s="8" t="s">
        <v>81</v>
      </c>
      <c r="C59" s="5" t="s">
        <v>49</v>
      </c>
      <c r="D59" s="5"/>
      <c r="E59" s="3"/>
      <c r="F59" s="3"/>
    </row>
    <row r="60" customFormat="false" ht="15" hidden="false" customHeight="true" outlineLevel="0" collapsed="false">
      <c r="A60" s="14" t="n">
        <v>32</v>
      </c>
      <c r="B60" s="8" t="s">
        <v>82</v>
      </c>
      <c r="C60" s="5" t="s">
        <v>49</v>
      </c>
      <c r="D60" s="5"/>
      <c r="E60" s="3"/>
      <c r="F60" s="3"/>
    </row>
    <row r="61" customFormat="false" ht="15" hidden="false" customHeight="true" outlineLevel="0" collapsed="false">
      <c r="A61" s="14" t="n">
        <v>33</v>
      </c>
      <c r="B61" s="8" t="s">
        <v>83</v>
      </c>
      <c r="C61" s="5" t="s">
        <v>49</v>
      </c>
      <c r="D61" s="5"/>
      <c r="E61" s="3"/>
      <c r="F61" s="3"/>
    </row>
    <row r="62" customFormat="false" ht="15" hidden="false" customHeight="true" outlineLevel="0" collapsed="false">
      <c r="A62" s="14" t="n">
        <v>34</v>
      </c>
      <c r="B62" s="8" t="s">
        <v>84</v>
      </c>
      <c r="C62" s="5" t="s">
        <v>49</v>
      </c>
      <c r="D62" s="5"/>
      <c r="E62" s="3"/>
      <c r="F62" s="3"/>
    </row>
    <row r="63" customFormat="false" ht="15" hidden="false" customHeight="true" outlineLevel="0" collapsed="false">
      <c r="A63" s="14" t="n">
        <v>35</v>
      </c>
      <c r="B63" s="8" t="s">
        <v>85</v>
      </c>
      <c r="C63" s="5" t="s">
        <v>49</v>
      </c>
      <c r="D63" s="5"/>
      <c r="E63" s="3"/>
      <c r="F63" s="3"/>
    </row>
    <row r="64" customFormat="false" ht="15" hidden="false" customHeight="true" outlineLevel="0" collapsed="false">
      <c r="A64" s="14" t="n">
        <v>36</v>
      </c>
      <c r="B64" s="8" t="s">
        <v>86</v>
      </c>
      <c r="C64" s="5" t="s">
        <v>49</v>
      </c>
      <c r="D64" s="5"/>
      <c r="E64" s="3"/>
      <c r="F64" s="3"/>
    </row>
    <row r="65" customFormat="false" ht="15" hidden="false" customHeight="true" outlineLevel="0" collapsed="false">
      <c r="A65" s="14" t="n">
        <v>37</v>
      </c>
      <c r="B65" s="8" t="s">
        <v>87</v>
      </c>
      <c r="C65" s="5" t="s">
        <v>49</v>
      </c>
      <c r="D65" s="5"/>
      <c r="E65" s="3"/>
      <c r="F65" s="3"/>
    </row>
    <row r="66" customFormat="false" ht="15" hidden="false" customHeight="true" outlineLevel="0" collapsed="false">
      <c r="A66" s="14" t="n">
        <v>38</v>
      </c>
      <c r="B66" s="8" t="s">
        <v>88</v>
      </c>
      <c r="C66" s="5" t="s">
        <v>49</v>
      </c>
      <c r="D66" s="5"/>
      <c r="E66" s="3"/>
      <c r="F66" s="3"/>
    </row>
    <row r="67" customFormat="false" ht="15" hidden="false" customHeight="true" outlineLevel="0" collapsed="false">
      <c r="A67" s="14" t="n">
        <v>39</v>
      </c>
      <c r="B67" s="8" t="s">
        <v>89</v>
      </c>
      <c r="C67" s="5" t="s">
        <v>49</v>
      </c>
      <c r="D67" s="5"/>
      <c r="E67" s="3"/>
      <c r="F67" s="3"/>
    </row>
    <row r="68" customFormat="false" ht="15" hidden="false" customHeight="true" outlineLevel="0" collapsed="false">
      <c r="A68" s="14" t="n">
        <v>40</v>
      </c>
      <c r="B68" s="8" t="s">
        <v>90</v>
      </c>
      <c r="C68" s="5" t="s">
        <v>49</v>
      </c>
      <c r="D68" s="5"/>
      <c r="E68" s="3"/>
      <c r="F68" s="3"/>
    </row>
    <row r="71" customFormat="false" ht="15" hidden="false" customHeight="true" outlineLevel="0" collapsed="false">
      <c r="AH71" s="17" t="n">
        <f aca="false">EDATE(DATE(YEAR($E$4),9,1),0)</f>
        <v>46266</v>
      </c>
      <c r="AI71" s="17" t="n">
        <f aca="false">EDATE(DATE(YEAR($E$4),9,1),1)</f>
        <v>46296</v>
      </c>
      <c r="AJ71" s="17" t="n">
        <f aca="false">EDATE(DATE(YEAR($E$4),9,1),2)</f>
        <v>46327</v>
      </c>
      <c r="AK71" s="17" t="n">
        <f aca="false">EDATE(DATE(YEAR($E$4),9,1),3)</f>
        <v>46357</v>
      </c>
      <c r="AL71" s="17" t="n">
        <f aca="false">EDATE(DATE(YEAR($E$4),9,1),4)</f>
        <v>46388</v>
      </c>
      <c r="AM71" s="17" t="n">
        <f aca="false">EDATE(DATE(YEAR($E$4),9,1),5)</f>
        <v>46419</v>
      </c>
      <c r="AN71" s="17" t="n">
        <f aca="false">EDATE(DATE(YEAR($E$4),9,1),6)</f>
        <v>46447</v>
      </c>
      <c r="AO71" s="17" t="n">
        <f aca="false">EDATE(DATE(YEAR($E$4),9,1),7)</f>
        <v>46478</v>
      </c>
      <c r="AP71" s="17" t="n">
        <f aca="false">EDATE(DATE(YEAR($E$4),9,1),8)</f>
        <v>46508</v>
      </c>
      <c r="AQ71" s="17" t="n">
        <f aca="false">EDATE(DATE(YEAR($E$4),9,1),9)</f>
        <v>46539</v>
      </c>
    </row>
    <row r="72" customFormat="false" ht="15" hidden="false" customHeight="true" outlineLevel="0" collapsed="false">
      <c r="A72" s="18" t="str">
        <f aca="false">$E$3&amp;" EĞİTİM-ÖĞRETİM YILI İŞGÜNÜ TAKVİMİ"</f>
        <v>2026-2027 EĞİTİM-ÖĞRETİM YILI İŞGÜNÜ TAKVİMİ</v>
      </c>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row>
    <row r="73" customFormat="false" ht="15" hidden="false" customHeight="true" outlineLevel="0" collapsed="false">
      <c r="A73" s="19" t="s">
        <v>91</v>
      </c>
      <c r="B73" s="19" t="str">
        <f aca="false">CHOOSE(MONTH(AH$71),"Ocak","Şubat","Mart","Nisan","Mayıs","Haziran","Temmuz","Ağustos","Eylül","Ekim","Kasım","Aralık")&amp;" "&amp;YEAR(AH$71)</f>
        <v>Eylül 2026</v>
      </c>
      <c r="C73" s="19"/>
      <c r="D73" s="19"/>
      <c r="E73" s="19"/>
      <c r="F73" s="19"/>
      <c r="G73" s="19"/>
      <c r="H73" s="19" t="str">
        <f aca="false">CHOOSE(MONTH(AI$71),"Ocak","Şubat","Mart","Nisan","Mayıs","Haziran","Temmuz","Ağustos","Eylül","Ekim","Kasım","Aralık")&amp;" "&amp;YEAR(AI$71)</f>
        <v>Ekim 2026</v>
      </c>
      <c r="I73" s="19"/>
      <c r="J73" s="19"/>
      <c r="K73" s="19"/>
      <c r="L73" s="19"/>
      <c r="M73" s="19"/>
      <c r="N73" s="19" t="str">
        <f aca="false">CHOOSE(MONTH(AJ$71),"Ocak","Şubat","Mart","Nisan","Mayıs","Haziran","Temmuz","Ağustos","Eylül","Ekim","Kasım","Aralık")&amp;" "&amp;YEAR(AJ$71)</f>
        <v>Kasım 2026</v>
      </c>
      <c r="O73" s="19"/>
      <c r="P73" s="19"/>
      <c r="Q73" s="19"/>
      <c r="R73" s="19"/>
      <c r="S73" s="19"/>
      <c r="T73" s="19" t="str">
        <f aca="false">CHOOSE(MONTH(AK$71),"Ocak","Şubat","Mart","Nisan","Mayıs","Haziran","Temmuz","Ağustos","Eylül","Ekim","Kasım","Aralık")&amp;" "&amp;YEAR(AK$71)</f>
        <v>Aralık 2026</v>
      </c>
      <c r="U73" s="19"/>
      <c r="V73" s="19"/>
      <c r="W73" s="19"/>
      <c r="X73" s="19"/>
      <c r="Y73" s="19"/>
      <c r="Z73" s="19" t="str">
        <f aca="false">CHOOSE(MONTH(AL$71),"Ocak","Şubat","Mart","Nisan","Mayıs","Haziran","Temmuz","Ağustos","Eylül","Ekim","Kasım","Aralık")&amp;" "&amp;YEAR(AL$71)</f>
        <v>Ocak 2027</v>
      </c>
      <c r="AA73" s="19"/>
      <c r="AB73" s="19"/>
      <c r="AC73" s="19"/>
      <c r="AD73" s="19"/>
      <c r="AE73" s="19"/>
    </row>
    <row r="74" customFormat="false" ht="15" hidden="false" customHeight="true" outlineLevel="0" collapsed="false">
      <c r="A74" s="20" t="s">
        <v>92</v>
      </c>
      <c r="B74" s="21" t="str">
        <f aca="false">IF(MONTH(((AH$71-(WEEKDAY(AH$71,2)-1))+0*7+0))=MONTH(AH$71),DAY(((AH$71-(WEEKDAY(AH$71,2)-1))+0*7+0)),"")</f>
        <v/>
      </c>
      <c r="C74" s="21" t="n">
        <f aca="false">IF(MONTH(((AH$71-(WEEKDAY(AH$71,2)-1))+1*7+0))=MONTH(AH$71),DAY(((AH$71-(WEEKDAY(AH$71,2)-1))+1*7+0)),"")</f>
        <v>7</v>
      </c>
      <c r="D74" s="21" t="n">
        <f aca="false">IF(MONTH(((AH$71-(WEEKDAY(AH$71,2)-1))+2*7+0))=MONTH(AH$71),DAY(((AH$71-(WEEKDAY(AH$71,2)-1))+2*7+0)),"")</f>
        <v>14</v>
      </c>
      <c r="E74" s="21" t="n">
        <f aca="false">IF(MONTH(((AH$71-(WEEKDAY(AH$71,2)-1))+3*7+0))=MONTH(AH$71),DAY(((AH$71-(WEEKDAY(AH$71,2)-1))+3*7+0)),"")</f>
        <v>21</v>
      </c>
      <c r="F74" s="21" t="n">
        <f aca="false">IF(MONTH(((AH$71-(WEEKDAY(AH$71,2)-1))+4*7+0))=MONTH(AH$71),DAY(((AH$71-(WEEKDAY(AH$71,2)-1))+4*7+0)),"")</f>
        <v>28</v>
      </c>
      <c r="G74" s="21" t="str">
        <f aca="false">IF(MONTH(((AH$71-(WEEKDAY(AH$71,2)-1))+5*7+0))=MONTH(AH$71),DAY(((AH$71-(WEEKDAY(AH$71,2)-1))+5*7+0)),"")</f>
        <v/>
      </c>
      <c r="H74" s="21" t="str">
        <f aca="false">IF(MONTH(((AI$71-(WEEKDAY(AI$71,2)-1))+0*7+0))=MONTH(AI$71),DAY(((AI$71-(WEEKDAY(AI$71,2)-1))+0*7+0)),"")</f>
        <v/>
      </c>
      <c r="I74" s="21" t="n">
        <f aca="false">IF(MONTH(((AI$71-(WEEKDAY(AI$71,2)-1))+1*7+0))=MONTH(AI$71),DAY(((AI$71-(WEEKDAY(AI$71,2)-1))+1*7+0)),"")</f>
        <v>5</v>
      </c>
      <c r="J74" s="21" t="n">
        <f aca="false">IF(MONTH(((AI$71-(WEEKDAY(AI$71,2)-1))+2*7+0))=MONTH(AI$71),DAY(((AI$71-(WEEKDAY(AI$71,2)-1))+2*7+0)),"")</f>
        <v>12</v>
      </c>
      <c r="K74" s="21" t="n">
        <f aca="false">IF(MONTH(((AI$71-(WEEKDAY(AI$71,2)-1))+3*7+0))=MONTH(AI$71),DAY(((AI$71-(WEEKDAY(AI$71,2)-1))+3*7+0)),"")</f>
        <v>19</v>
      </c>
      <c r="L74" s="21" t="n">
        <f aca="false">IF(MONTH(((AI$71-(WEEKDAY(AI$71,2)-1))+4*7+0))=MONTH(AI$71),DAY(((AI$71-(WEEKDAY(AI$71,2)-1))+4*7+0)),"")</f>
        <v>26</v>
      </c>
      <c r="M74" s="21" t="str">
        <f aca="false">IF(MONTH(((AI$71-(WEEKDAY(AI$71,2)-1))+5*7+0))=MONTH(AI$71),DAY(((AI$71-(WEEKDAY(AI$71,2)-1))+5*7+0)),"")</f>
        <v/>
      </c>
      <c r="N74" s="21" t="str">
        <f aca="false">IF(MONTH(((AJ$71-(WEEKDAY(AJ$71,2)-1))+0*7+0))=MONTH(AJ$71),DAY(((AJ$71-(WEEKDAY(AJ$71,2)-1))+0*7+0)),"")</f>
        <v/>
      </c>
      <c r="O74" s="21" t="n">
        <f aca="false">IF(MONTH(((AJ$71-(WEEKDAY(AJ$71,2)-1))+1*7+0))=MONTH(AJ$71),DAY(((AJ$71-(WEEKDAY(AJ$71,2)-1))+1*7+0)),"")</f>
        <v>2</v>
      </c>
      <c r="P74" s="21" t="n">
        <f aca="false">IF(MONTH(((AJ$71-(WEEKDAY(AJ$71,2)-1))+2*7+0))=MONTH(AJ$71),DAY(((AJ$71-(WEEKDAY(AJ$71,2)-1))+2*7+0)),"")</f>
        <v>9</v>
      </c>
      <c r="Q74" s="21" t="n">
        <f aca="false">IF(MONTH(((AJ$71-(WEEKDAY(AJ$71,2)-1))+3*7+0))=MONTH(AJ$71),DAY(((AJ$71-(WEEKDAY(AJ$71,2)-1))+3*7+0)),"")</f>
        <v>16</v>
      </c>
      <c r="R74" s="21" t="n">
        <f aca="false">IF(MONTH(((AJ$71-(WEEKDAY(AJ$71,2)-1))+4*7+0))=MONTH(AJ$71),DAY(((AJ$71-(WEEKDAY(AJ$71,2)-1))+4*7+0)),"")</f>
        <v>23</v>
      </c>
      <c r="S74" s="21" t="n">
        <f aca="false">IF(MONTH(((AJ$71-(WEEKDAY(AJ$71,2)-1))+5*7+0))=MONTH(AJ$71),DAY(((AJ$71-(WEEKDAY(AJ$71,2)-1))+5*7+0)),"")</f>
        <v>30</v>
      </c>
      <c r="T74" s="21" t="str">
        <f aca="false">IF(MONTH(((AK$71-(WEEKDAY(AK$71,2)-1))+0*7+0))=MONTH(AK$71),DAY(((AK$71-(WEEKDAY(AK$71,2)-1))+0*7+0)),"")</f>
        <v/>
      </c>
      <c r="U74" s="21" t="n">
        <f aca="false">IF(MONTH(((AK$71-(WEEKDAY(AK$71,2)-1))+1*7+0))=MONTH(AK$71),DAY(((AK$71-(WEEKDAY(AK$71,2)-1))+1*7+0)),"")</f>
        <v>7</v>
      </c>
      <c r="V74" s="21" t="n">
        <f aca="false">IF(MONTH(((AK$71-(WEEKDAY(AK$71,2)-1))+2*7+0))=MONTH(AK$71),DAY(((AK$71-(WEEKDAY(AK$71,2)-1))+2*7+0)),"")</f>
        <v>14</v>
      </c>
      <c r="W74" s="21" t="n">
        <f aca="false">IF(MONTH(((AK$71-(WEEKDAY(AK$71,2)-1))+3*7+0))=MONTH(AK$71),DAY(((AK$71-(WEEKDAY(AK$71,2)-1))+3*7+0)),"")</f>
        <v>21</v>
      </c>
      <c r="X74" s="21" t="n">
        <f aca="false">IF(MONTH(((AK$71-(WEEKDAY(AK$71,2)-1))+4*7+0))=MONTH(AK$71),DAY(((AK$71-(WEEKDAY(AK$71,2)-1))+4*7+0)),"")</f>
        <v>28</v>
      </c>
      <c r="Y74" s="21" t="str">
        <f aca="false">IF(MONTH(((AK$71-(WEEKDAY(AK$71,2)-1))+5*7+0))=MONTH(AK$71),DAY(((AK$71-(WEEKDAY(AK$71,2)-1))+5*7+0)),"")</f>
        <v/>
      </c>
      <c r="Z74" s="21" t="str">
        <f aca="false">IF(MONTH(((AL$71-(WEEKDAY(AL$71,2)-1))+0*7+0))=MONTH(AL$71),DAY(((AL$71-(WEEKDAY(AL$71,2)-1))+0*7+0)),"")</f>
        <v/>
      </c>
      <c r="AA74" s="21" t="n">
        <f aca="false">IF(MONTH(((AL$71-(WEEKDAY(AL$71,2)-1))+1*7+0))=MONTH(AL$71),DAY(((AL$71-(WEEKDAY(AL$71,2)-1))+1*7+0)),"")</f>
        <v>4</v>
      </c>
      <c r="AB74" s="21" t="n">
        <f aca="false">IF(MONTH(((AL$71-(WEEKDAY(AL$71,2)-1))+2*7+0))=MONTH(AL$71),DAY(((AL$71-(WEEKDAY(AL$71,2)-1))+2*7+0)),"")</f>
        <v>11</v>
      </c>
      <c r="AC74" s="21" t="n">
        <f aca="false">IF(MONTH(((AL$71-(WEEKDAY(AL$71,2)-1))+3*7+0))=MONTH(AL$71),DAY(((AL$71-(WEEKDAY(AL$71,2)-1))+3*7+0)),"")</f>
        <v>18</v>
      </c>
      <c r="AD74" s="21" t="n">
        <f aca="false">IF(MONTH(((AL$71-(WEEKDAY(AL$71,2)-1))+4*7+0))=MONTH(AL$71),DAY(((AL$71-(WEEKDAY(AL$71,2)-1))+4*7+0)),"")</f>
        <v>25</v>
      </c>
      <c r="AE74" s="21" t="str">
        <f aca="false">IF(MONTH(((AL$71-(WEEKDAY(AL$71,2)-1))+5*7+0))=MONTH(AL$71),DAY(((AL$71-(WEEKDAY(AL$71,2)-1))+5*7+0)),"")</f>
        <v/>
      </c>
    </row>
    <row r="75" customFormat="false" ht="15" hidden="false" customHeight="true" outlineLevel="0" collapsed="false">
      <c r="A75" s="20" t="s">
        <v>93</v>
      </c>
      <c r="B75" s="21" t="n">
        <f aca="false">IF(MONTH(((AH$71-(WEEKDAY(AH$71,2)-1))+0*7+1))=MONTH(AH$71),DAY(((AH$71-(WEEKDAY(AH$71,2)-1))+0*7+1)),"")</f>
        <v>1</v>
      </c>
      <c r="C75" s="21" t="n">
        <f aca="false">IF(MONTH(((AH$71-(WEEKDAY(AH$71,2)-1))+1*7+1))=MONTH(AH$71),DAY(((AH$71-(WEEKDAY(AH$71,2)-1))+1*7+1)),"")</f>
        <v>8</v>
      </c>
      <c r="D75" s="21" t="n">
        <f aca="false">IF(MONTH(((AH$71-(WEEKDAY(AH$71,2)-1))+2*7+1))=MONTH(AH$71),DAY(((AH$71-(WEEKDAY(AH$71,2)-1))+2*7+1)),"")</f>
        <v>15</v>
      </c>
      <c r="E75" s="21" t="n">
        <f aca="false">IF(MONTH(((AH$71-(WEEKDAY(AH$71,2)-1))+3*7+1))=MONTH(AH$71),DAY(((AH$71-(WEEKDAY(AH$71,2)-1))+3*7+1)),"")</f>
        <v>22</v>
      </c>
      <c r="F75" s="21" t="n">
        <f aca="false">IF(MONTH(((AH$71-(WEEKDAY(AH$71,2)-1))+4*7+1))=MONTH(AH$71),DAY(((AH$71-(WEEKDAY(AH$71,2)-1))+4*7+1)),"")</f>
        <v>29</v>
      </c>
      <c r="G75" s="21" t="str">
        <f aca="false">IF(MONTH(((AH$71-(WEEKDAY(AH$71,2)-1))+5*7+1))=MONTH(AH$71),DAY(((AH$71-(WEEKDAY(AH$71,2)-1))+5*7+1)),"")</f>
        <v/>
      </c>
      <c r="H75" s="21" t="str">
        <f aca="false">IF(MONTH(((AI$71-(WEEKDAY(AI$71,2)-1))+0*7+1))=MONTH(AI$71),DAY(((AI$71-(WEEKDAY(AI$71,2)-1))+0*7+1)),"")</f>
        <v/>
      </c>
      <c r="I75" s="21" t="n">
        <f aca="false">IF(MONTH(((AI$71-(WEEKDAY(AI$71,2)-1))+1*7+1))=MONTH(AI$71),DAY(((AI$71-(WEEKDAY(AI$71,2)-1))+1*7+1)),"")</f>
        <v>6</v>
      </c>
      <c r="J75" s="21" t="n">
        <f aca="false">IF(MONTH(((AI$71-(WEEKDAY(AI$71,2)-1))+2*7+1))=MONTH(AI$71),DAY(((AI$71-(WEEKDAY(AI$71,2)-1))+2*7+1)),"")</f>
        <v>13</v>
      </c>
      <c r="K75" s="21" t="n">
        <f aca="false">IF(MONTH(((AI$71-(WEEKDAY(AI$71,2)-1))+3*7+1))=MONTH(AI$71),DAY(((AI$71-(WEEKDAY(AI$71,2)-1))+3*7+1)),"")</f>
        <v>20</v>
      </c>
      <c r="L75" s="21" t="n">
        <f aca="false">IF(MONTH(((AI$71-(WEEKDAY(AI$71,2)-1))+4*7+1))=MONTH(AI$71),DAY(((AI$71-(WEEKDAY(AI$71,2)-1))+4*7+1)),"")</f>
        <v>27</v>
      </c>
      <c r="M75" s="21" t="str">
        <f aca="false">IF(MONTH(((AI$71-(WEEKDAY(AI$71,2)-1))+5*7+1))=MONTH(AI$71),DAY(((AI$71-(WEEKDAY(AI$71,2)-1))+5*7+1)),"")</f>
        <v/>
      </c>
      <c r="N75" s="21" t="str">
        <f aca="false">IF(MONTH(((AJ$71-(WEEKDAY(AJ$71,2)-1))+0*7+1))=MONTH(AJ$71),DAY(((AJ$71-(WEEKDAY(AJ$71,2)-1))+0*7+1)),"")</f>
        <v/>
      </c>
      <c r="O75" s="21" t="n">
        <f aca="false">IF(MONTH(((AJ$71-(WEEKDAY(AJ$71,2)-1))+1*7+1))=MONTH(AJ$71),DAY(((AJ$71-(WEEKDAY(AJ$71,2)-1))+1*7+1)),"")</f>
        <v>3</v>
      </c>
      <c r="P75" s="21" t="n">
        <f aca="false">IF(MONTH(((AJ$71-(WEEKDAY(AJ$71,2)-1))+2*7+1))=MONTH(AJ$71),DAY(((AJ$71-(WEEKDAY(AJ$71,2)-1))+2*7+1)),"")</f>
        <v>10</v>
      </c>
      <c r="Q75" s="21" t="n">
        <f aca="false">IF(MONTH(((AJ$71-(WEEKDAY(AJ$71,2)-1))+3*7+1))=MONTH(AJ$71),DAY(((AJ$71-(WEEKDAY(AJ$71,2)-1))+3*7+1)),"")</f>
        <v>17</v>
      </c>
      <c r="R75" s="21" t="n">
        <f aca="false">IF(MONTH(((AJ$71-(WEEKDAY(AJ$71,2)-1))+4*7+1))=MONTH(AJ$71),DAY(((AJ$71-(WEEKDAY(AJ$71,2)-1))+4*7+1)),"")</f>
        <v>24</v>
      </c>
      <c r="S75" s="21" t="str">
        <f aca="false">IF(MONTH(((AJ$71-(WEEKDAY(AJ$71,2)-1))+5*7+1))=MONTH(AJ$71),DAY(((AJ$71-(WEEKDAY(AJ$71,2)-1))+5*7+1)),"")</f>
        <v/>
      </c>
      <c r="T75" s="21" t="n">
        <f aca="false">IF(MONTH(((AK$71-(WEEKDAY(AK$71,2)-1))+0*7+1))=MONTH(AK$71),DAY(((AK$71-(WEEKDAY(AK$71,2)-1))+0*7+1)),"")</f>
        <v>1</v>
      </c>
      <c r="U75" s="21" t="n">
        <f aca="false">IF(MONTH(((AK$71-(WEEKDAY(AK$71,2)-1))+1*7+1))=MONTH(AK$71),DAY(((AK$71-(WEEKDAY(AK$71,2)-1))+1*7+1)),"")</f>
        <v>8</v>
      </c>
      <c r="V75" s="21" t="n">
        <f aca="false">IF(MONTH(((AK$71-(WEEKDAY(AK$71,2)-1))+2*7+1))=MONTH(AK$71),DAY(((AK$71-(WEEKDAY(AK$71,2)-1))+2*7+1)),"")</f>
        <v>15</v>
      </c>
      <c r="W75" s="21" t="n">
        <f aca="false">IF(MONTH(((AK$71-(WEEKDAY(AK$71,2)-1))+3*7+1))=MONTH(AK$71),DAY(((AK$71-(WEEKDAY(AK$71,2)-1))+3*7+1)),"")</f>
        <v>22</v>
      </c>
      <c r="X75" s="21" t="n">
        <f aca="false">IF(MONTH(((AK$71-(WEEKDAY(AK$71,2)-1))+4*7+1))=MONTH(AK$71),DAY(((AK$71-(WEEKDAY(AK$71,2)-1))+4*7+1)),"")</f>
        <v>29</v>
      </c>
      <c r="Y75" s="21" t="str">
        <f aca="false">IF(MONTH(((AK$71-(WEEKDAY(AK$71,2)-1))+5*7+1))=MONTH(AK$71),DAY(((AK$71-(WEEKDAY(AK$71,2)-1))+5*7+1)),"")</f>
        <v/>
      </c>
      <c r="Z75" s="21" t="str">
        <f aca="false">IF(MONTH(((AL$71-(WEEKDAY(AL$71,2)-1))+0*7+1))=MONTH(AL$71),DAY(((AL$71-(WEEKDAY(AL$71,2)-1))+0*7+1)),"")</f>
        <v/>
      </c>
      <c r="AA75" s="21" t="n">
        <f aca="false">IF(MONTH(((AL$71-(WEEKDAY(AL$71,2)-1))+1*7+1))=MONTH(AL$71),DAY(((AL$71-(WEEKDAY(AL$71,2)-1))+1*7+1)),"")</f>
        <v>5</v>
      </c>
      <c r="AB75" s="21" t="n">
        <f aca="false">IF(MONTH(((AL$71-(WEEKDAY(AL$71,2)-1))+2*7+1))=MONTH(AL$71),DAY(((AL$71-(WEEKDAY(AL$71,2)-1))+2*7+1)),"")</f>
        <v>12</v>
      </c>
      <c r="AC75" s="21" t="n">
        <f aca="false">IF(MONTH(((AL$71-(WEEKDAY(AL$71,2)-1))+3*7+1))=MONTH(AL$71),DAY(((AL$71-(WEEKDAY(AL$71,2)-1))+3*7+1)),"")</f>
        <v>19</v>
      </c>
      <c r="AD75" s="21" t="n">
        <f aca="false">IF(MONTH(((AL$71-(WEEKDAY(AL$71,2)-1))+4*7+1))=MONTH(AL$71),DAY(((AL$71-(WEEKDAY(AL$71,2)-1))+4*7+1)),"")</f>
        <v>26</v>
      </c>
      <c r="AE75" s="21" t="str">
        <f aca="false">IF(MONTH(((AL$71-(WEEKDAY(AL$71,2)-1))+5*7+1))=MONTH(AL$71),DAY(((AL$71-(WEEKDAY(AL$71,2)-1))+5*7+1)),"")</f>
        <v/>
      </c>
    </row>
    <row r="76" customFormat="false" ht="15" hidden="false" customHeight="true" outlineLevel="0" collapsed="false">
      <c r="A76" s="20" t="s">
        <v>94</v>
      </c>
      <c r="B76" s="21" t="n">
        <f aca="false">IF(MONTH(((AH$71-(WEEKDAY(AH$71,2)-1))+0*7+2))=MONTH(AH$71),DAY(((AH$71-(WEEKDAY(AH$71,2)-1))+0*7+2)),"")</f>
        <v>2</v>
      </c>
      <c r="C76" s="21" t="n">
        <f aca="false">IF(MONTH(((AH$71-(WEEKDAY(AH$71,2)-1))+1*7+2))=MONTH(AH$71),DAY(((AH$71-(WEEKDAY(AH$71,2)-1))+1*7+2)),"")</f>
        <v>9</v>
      </c>
      <c r="D76" s="21" t="n">
        <f aca="false">IF(MONTH(((AH$71-(WEEKDAY(AH$71,2)-1))+2*7+2))=MONTH(AH$71),DAY(((AH$71-(WEEKDAY(AH$71,2)-1))+2*7+2)),"")</f>
        <v>16</v>
      </c>
      <c r="E76" s="21" t="n">
        <f aca="false">IF(MONTH(((AH$71-(WEEKDAY(AH$71,2)-1))+3*7+2))=MONTH(AH$71),DAY(((AH$71-(WEEKDAY(AH$71,2)-1))+3*7+2)),"")</f>
        <v>23</v>
      </c>
      <c r="F76" s="21" t="n">
        <f aca="false">IF(MONTH(((AH$71-(WEEKDAY(AH$71,2)-1))+4*7+2))=MONTH(AH$71),DAY(((AH$71-(WEEKDAY(AH$71,2)-1))+4*7+2)),"")</f>
        <v>30</v>
      </c>
      <c r="G76" s="21" t="str">
        <f aca="false">IF(MONTH(((AH$71-(WEEKDAY(AH$71,2)-1))+5*7+2))=MONTH(AH$71),DAY(((AH$71-(WEEKDAY(AH$71,2)-1))+5*7+2)),"")</f>
        <v/>
      </c>
      <c r="H76" s="21" t="str">
        <f aca="false">IF(MONTH(((AI$71-(WEEKDAY(AI$71,2)-1))+0*7+2))=MONTH(AI$71),DAY(((AI$71-(WEEKDAY(AI$71,2)-1))+0*7+2)),"")</f>
        <v/>
      </c>
      <c r="I76" s="21" t="n">
        <f aca="false">IF(MONTH(((AI$71-(WEEKDAY(AI$71,2)-1))+1*7+2))=MONTH(AI$71),DAY(((AI$71-(WEEKDAY(AI$71,2)-1))+1*7+2)),"")</f>
        <v>7</v>
      </c>
      <c r="J76" s="21" t="n">
        <f aca="false">IF(MONTH(((AI$71-(WEEKDAY(AI$71,2)-1))+2*7+2))=MONTH(AI$71),DAY(((AI$71-(WEEKDAY(AI$71,2)-1))+2*7+2)),"")</f>
        <v>14</v>
      </c>
      <c r="K76" s="21" t="n">
        <f aca="false">IF(MONTH(((AI$71-(WEEKDAY(AI$71,2)-1))+3*7+2))=MONTH(AI$71),DAY(((AI$71-(WEEKDAY(AI$71,2)-1))+3*7+2)),"")</f>
        <v>21</v>
      </c>
      <c r="L76" s="21" t="n">
        <f aca="false">IF(MONTH(((AI$71-(WEEKDAY(AI$71,2)-1))+4*7+2))=MONTH(AI$71),DAY(((AI$71-(WEEKDAY(AI$71,2)-1))+4*7+2)),"")</f>
        <v>28</v>
      </c>
      <c r="M76" s="21" t="str">
        <f aca="false">IF(MONTH(((AI$71-(WEEKDAY(AI$71,2)-1))+5*7+2))=MONTH(AI$71),DAY(((AI$71-(WEEKDAY(AI$71,2)-1))+5*7+2)),"")</f>
        <v/>
      </c>
      <c r="N76" s="21" t="str">
        <f aca="false">IF(MONTH(((AJ$71-(WEEKDAY(AJ$71,2)-1))+0*7+2))=MONTH(AJ$71),DAY(((AJ$71-(WEEKDAY(AJ$71,2)-1))+0*7+2)),"")</f>
        <v/>
      </c>
      <c r="O76" s="21" t="n">
        <f aca="false">IF(MONTH(((AJ$71-(WEEKDAY(AJ$71,2)-1))+1*7+2))=MONTH(AJ$71),DAY(((AJ$71-(WEEKDAY(AJ$71,2)-1))+1*7+2)),"")</f>
        <v>4</v>
      </c>
      <c r="P76" s="21" t="n">
        <f aca="false">IF(MONTH(((AJ$71-(WEEKDAY(AJ$71,2)-1))+2*7+2))=MONTH(AJ$71),DAY(((AJ$71-(WEEKDAY(AJ$71,2)-1))+2*7+2)),"")</f>
        <v>11</v>
      </c>
      <c r="Q76" s="21" t="n">
        <f aca="false">IF(MONTH(((AJ$71-(WEEKDAY(AJ$71,2)-1))+3*7+2))=MONTH(AJ$71),DAY(((AJ$71-(WEEKDAY(AJ$71,2)-1))+3*7+2)),"")</f>
        <v>18</v>
      </c>
      <c r="R76" s="21" t="n">
        <f aca="false">IF(MONTH(((AJ$71-(WEEKDAY(AJ$71,2)-1))+4*7+2))=MONTH(AJ$71),DAY(((AJ$71-(WEEKDAY(AJ$71,2)-1))+4*7+2)),"")</f>
        <v>25</v>
      </c>
      <c r="S76" s="21" t="str">
        <f aca="false">IF(MONTH(((AJ$71-(WEEKDAY(AJ$71,2)-1))+5*7+2))=MONTH(AJ$71),DAY(((AJ$71-(WEEKDAY(AJ$71,2)-1))+5*7+2)),"")</f>
        <v/>
      </c>
      <c r="T76" s="21" t="n">
        <f aca="false">IF(MONTH(((AK$71-(WEEKDAY(AK$71,2)-1))+0*7+2))=MONTH(AK$71),DAY(((AK$71-(WEEKDAY(AK$71,2)-1))+0*7+2)),"")</f>
        <v>2</v>
      </c>
      <c r="U76" s="21" t="n">
        <f aca="false">IF(MONTH(((AK$71-(WEEKDAY(AK$71,2)-1))+1*7+2))=MONTH(AK$71),DAY(((AK$71-(WEEKDAY(AK$71,2)-1))+1*7+2)),"")</f>
        <v>9</v>
      </c>
      <c r="V76" s="21" t="n">
        <f aca="false">IF(MONTH(((AK$71-(WEEKDAY(AK$71,2)-1))+2*7+2))=MONTH(AK$71),DAY(((AK$71-(WEEKDAY(AK$71,2)-1))+2*7+2)),"")</f>
        <v>16</v>
      </c>
      <c r="W76" s="21" t="n">
        <f aca="false">IF(MONTH(((AK$71-(WEEKDAY(AK$71,2)-1))+3*7+2))=MONTH(AK$71),DAY(((AK$71-(WEEKDAY(AK$71,2)-1))+3*7+2)),"")</f>
        <v>23</v>
      </c>
      <c r="X76" s="21" t="n">
        <f aca="false">IF(MONTH(((AK$71-(WEEKDAY(AK$71,2)-1))+4*7+2))=MONTH(AK$71),DAY(((AK$71-(WEEKDAY(AK$71,2)-1))+4*7+2)),"")</f>
        <v>30</v>
      </c>
      <c r="Y76" s="21" t="str">
        <f aca="false">IF(MONTH(((AK$71-(WEEKDAY(AK$71,2)-1))+5*7+2))=MONTH(AK$71),DAY(((AK$71-(WEEKDAY(AK$71,2)-1))+5*7+2)),"")</f>
        <v/>
      </c>
      <c r="Z76" s="21" t="str">
        <f aca="false">IF(MONTH(((AL$71-(WEEKDAY(AL$71,2)-1))+0*7+2))=MONTH(AL$71),DAY(((AL$71-(WEEKDAY(AL$71,2)-1))+0*7+2)),"")</f>
        <v/>
      </c>
      <c r="AA76" s="21" t="n">
        <f aca="false">IF(MONTH(((AL$71-(WEEKDAY(AL$71,2)-1))+1*7+2))=MONTH(AL$71),DAY(((AL$71-(WEEKDAY(AL$71,2)-1))+1*7+2)),"")</f>
        <v>6</v>
      </c>
      <c r="AB76" s="21" t="n">
        <f aca="false">IF(MONTH(((AL$71-(WEEKDAY(AL$71,2)-1))+2*7+2))=MONTH(AL$71),DAY(((AL$71-(WEEKDAY(AL$71,2)-1))+2*7+2)),"")</f>
        <v>13</v>
      </c>
      <c r="AC76" s="21" t="n">
        <f aca="false">IF(MONTH(((AL$71-(WEEKDAY(AL$71,2)-1))+3*7+2))=MONTH(AL$71),DAY(((AL$71-(WEEKDAY(AL$71,2)-1))+3*7+2)),"")</f>
        <v>20</v>
      </c>
      <c r="AD76" s="21" t="n">
        <f aca="false">IF(MONTH(((AL$71-(WEEKDAY(AL$71,2)-1))+4*7+2))=MONTH(AL$71),DAY(((AL$71-(WEEKDAY(AL$71,2)-1))+4*7+2)),"")</f>
        <v>27</v>
      </c>
      <c r="AE76" s="21" t="str">
        <f aca="false">IF(MONTH(((AL$71-(WEEKDAY(AL$71,2)-1))+5*7+2))=MONTH(AL$71),DAY(((AL$71-(WEEKDAY(AL$71,2)-1))+5*7+2)),"")</f>
        <v/>
      </c>
    </row>
    <row r="77" customFormat="false" ht="15" hidden="false" customHeight="true" outlineLevel="0" collapsed="false">
      <c r="A77" s="20" t="s">
        <v>95</v>
      </c>
      <c r="B77" s="21" t="n">
        <f aca="false">IF(MONTH(((AH$71-(WEEKDAY(AH$71,2)-1))+0*7+3))=MONTH(AH$71),DAY(((AH$71-(WEEKDAY(AH$71,2)-1))+0*7+3)),"")</f>
        <v>3</v>
      </c>
      <c r="C77" s="21" t="n">
        <f aca="false">IF(MONTH(((AH$71-(WEEKDAY(AH$71,2)-1))+1*7+3))=MONTH(AH$71),DAY(((AH$71-(WEEKDAY(AH$71,2)-1))+1*7+3)),"")</f>
        <v>10</v>
      </c>
      <c r="D77" s="21" t="n">
        <f aca="false">IF(MONTH(((AH$71-(WEEKDAY(AH$71,2)-1))+2*7+3))=MONTH(AH$71),DAY(((AH$71-(WEEKDAY(AH$71,2)-1))+2*7+3)),"")</f>
        <v>17</v>
      </c>
      <c r="E77" s="21" t="n">
        <f aca="false">IF(MONTH(((AH$71-(WEEKDAY(AH$71,2)-1))+3*7+3))=MONTH(AH$71),DAY(((AH$71-(WEEKDAY(AH$71,2)-1))+3*7+3)),"")</f>
        <v>24</v>
      </c>
      <c r="F77" s="21" t="str">
        <f aca="false">IF(MONTH(((AH$71-(WEEKDAY(AH$71,2)-1))+4*7+3))=MONTH(AH$71),DAY(((AH$71-(WEEKDAY(AH$71,2)-1))+4*7+3)),"")</f>
        <v/>
      </c>
      <c r="G77" s="21" t="str">
        <f aca="false">IF(MONTH(((AH$71-(WEEKDAY(AH$71,2)-1))+5*7+3))=MONTH(AH$71),DAY(((AH$71-(WEEKDAY(AH$71,2)-1))+5*7+3)),"")</f>
        <v/>
      </c>
      <c r="H77" s="21" t="n">
        <f aca="false">IF(MONTH(((AI$71-(WEEKDAY(AI$71,2)-1))+0*7+3))=MONTH(AI$71),DAY(((AI$71-(WEEKDAY(AI$71,2)-1))+0*7+3)),"")</f>
        <v>1</v>
      </c>
      <c r="I77" s="21" t="n">
        <f aca="false">IF(MONTH(((AI$71-(WEEKDAY(AI$71,2)-1))+1*7+3))=MONTH(AI$71),DAY(((AI$71-(WEEKDAY(AI$71,2)-1))+1*7+3)),"")</f>
        <v>8</v>
      </c>
      <c r="J77" s="21" t="n">
        <f aca="false">IF(MONTH(((AI$71-(WEEKDAY(AI$71,2)-1))+2*7+3))=MONTH(AI$71),DAY(((AI$71-(WEEKDAY(AI$71,2)-1))+2*7+3)),"")</f>
        <v>15</v>
      </c>
      <c r="K77" s="21" t="n">
        <f aca="false">IF(MONTH(((AI$71-(WEEKDAY(AI$71,2)-1))+3*7+3))=MONTH(AI$71),DAY(((AI$71-(WEEKDAY(AI$71,2)-1))+3*7+3)),"")</f>
        <v>22</v>
      </c>
      <c r="L77" s="21" t="n">
        <f aca="false">IF(MONTH(((AI$71-(WEEKDAY(AI$71,2)-1))+4*7+3))=MONTH(AI$71),DAY(((AI$71-(WEEKDAY(AI$71,2)-1))+4*7+3)),"")</f>
        <v>29</v>
      </c>
      <c r="M77" s="21" t="str">
        <f aca="false">IF(MONTH(((AI$71-(WEEKDAY(AI$71,2)-1))+5*7+3))=MONTH(AI$71),DAY(((AI$71-(WEEKDAY(AI$71,2)-1))+5*7+3)),"")</f>
        <v/>
      </c>
      <c r="N77" s="21" t="str">
        <f aca="false">IF(MONTH(((AJ$71-(WEEKDAY(AJ$71,2)-1))+0*7+3))=MONTH(AJ$71),DAY(((AJ$71-(WEEKDAY(AJ$71,2)-1))+0*7+3)),"")</f>
        <v/>
      </c>
      <c r="O77" s="21" t="n">
        <f aca="false">IF(MONTH(((AJ$71-(WEEKDAY(AJ$71,2)-1))+1*7+3))=MONTH(AJ$71),DAY(((AJ$71-(WEEKDAY(AJ$71,2)-1))+1*7+3)),"")</f>
        <v>5</v>
      </c>
      <c r="P77" s="21" t="n">
        <f aca="false">IF(MONTH(((AJ$71-(WEEKDAY(AJ$71,2)-1))+2*7+3))=MONTH(AJ$71),DAY(((AJ$71-(WEEKDAY(AJ$71,2)-1))+2*7+3)),"")</f>
        <v>12</v>
      </c>
      <c r="Q77" s="21" t="n">
        <f aca="false">IF(MONTH(((AJ$71-(WEEKDAY(AJ$71,2)-1))+3*7+3))=MONTH(AJ$71),DAY(((AJ$71-(WEEKDAY(AJ$71,2)-1))+3*7+3)),"")</f>
        <v>19</v>
      </c>
      <c r="R77" s="21" t="n">
        <f aca="false">IF(MONTH(((AJ$71-(WEEKDAY(AJ$71,2)-1))+4*7+3))=MONTH(AJ$71),DAY(((AJ$71-(WEEKDAY(AJ$71,2)-1))+4*7+3)),"")</f>
        <v>26</v>
      </c>
      <c r="S77" s="21" t="str">
        <f aca="false">IF(MONTH(((AJ$71-(WEEKDAY(AJ$71,2)-1))+5*7+3))=MONTH(AJ$71),DAY(((AJ$71-(WEEKDAY(AJ$71,2)-1))+5*7+3)),"")</f>
        <v/>
      </c>
      <c r="T77" s="21" t="n">
        <f aca="false">IF(MONTH(((AK$71-(WEEKDAY(AK$71,2)-1))+0*7+3))=MONTH(AK$71),DAY(((AK$71-(WEEKDAY(AK$71,2)-1))+0*7+3)),"")</f>
        <v>3</v>
      </c>
      <c r="U77" s="21" t="n">
        <f aca="false">IF(MONTH(((AK$71-(WEEKDAY(AK$71,2)-1))+1*7+3))=MONTH(AK$71),DAY(((AK$71-(WEEKDAY(AK$71,2)-1))+1*7+3)),"")</f>
        <v>10</v>
      </c>
      <c r="V77" s="21" t="n">
        <f aca="false">IF(MONTH(((AK$71-(WEEKDAY(AK$71,2)-1))+2*7+3))=MONTH(AK$71),DAY(((AK$71-(WEEKDAY(AK$71,2)-1))+2*7+3)),"")</f>
        <v>17</v>
      </c>
      <c r="W77" s="21" t="n">
        <f aca="false">IF(MONTH(((AK$71-(WEEKDAY(AK$71,2)-1))+3*7+3))=MONTH(AK$71),DAY(((AK$71-(WEEKDAY(AK$71,2)-1))+3*7+3)),"")</f>
        <v>24</v>
      </c>
      <c r="X77" s="21" t="n">
        <f aca="false">IF(MONTH(((AK$71-(WEEKDAY(AK$71,2)-1))+4*7+3))=MONTH(AK$71),DAY(((AK$71-(WEEKDAY(AK$71,2)-1))+4*7+3)),"")</f>
        <v>31</v>
      </c>
      <c r="Y77" s="21" t="str">
        <f aca="false">IF(MONTH(((AK$71-(WEEKDAY(AK$71,2)-1))+5*7+3))=MONTH(AK$71),DAY(((AK$71-(WEEKDAY(AK$71,2)-1))+5*7+3)),"")</f>
        <v/>
      </c>
      <c r="Z77" s="21" t="str">
        <f aca="false">IF(MONTH(((AL$71-(WEEKDAY(AL$71,2)-1))+0*7+3))=MONTH(AL$71),DAY(((AL$71-(WEEKDAY(AL$71,2)-1))+0*7+3)),"")</f>
        <v/>
      </c>
      <c r="AA77" s="21" t="n">
        <f aca="false">IF(MONTH(((AL$71-(WEEKDAY(AL$71,2)-1))+1*7+3))=MONTH(AL$71),DAY(((AL$71-(WEEKDAY(AL$71,2)-1))+1*7+3)),"")</f>
        <v>7</v>
      </c>
      <c r="AB77" s="21" t="n">
        <f aca="false">IF(MONTH(((AL$71-(WEEKDAY(AL$71,2)-1))+2*7+3))=MONTH(AL$71),DAY(((AL$71-(WEEKDAY(AL$71,2)-1))+2*7+3)),"")</f>
        <v>14</v>
      </c>
      <c r="AC77" s="21" t="n">
        <f aca="false">IF(MONTH(((AL$71-(WEEKDAY(AL$71,2)-1))+3*7+3))=MONTH(AL$71),DAY(((AL$71-(WEEKDAY(AL$71,2)-1))+3*7+3)),"")</f>
        <v>21</v>
      </c>
      <c r="AD77" s="21" t="n">
        <f aca="false">IF(MONTH(((AL$71-(WEEKDAY(AL$71,2)-1))+4*7+3))=MONTH(AL$71),DAY(((AL$71-(WEEKDAY(AL$71,2)-1))+4*7+3)),"")</f>
        <v>28</v>
      </c>
      <c r="AE77" s="21" t="str">
        <f aca="false">IF(MONTH(((AL$71-(WEEKDAY(AL$71,2)-1))+5*7+3))=MONTH(AL$71),DAY(((AL$71-(WEEKDAY(AL$71,2)-1))+5*7+3)),"")</f>
        <v/>
      </c>
    </row>
    <row r="78" customFormat="false" ht="15" hidden="false" customHeight="true" outlineLevel="0" collapsed="false">
      <c r="A78" s="20" t="s">
        <v>96</v>
      </c>
      <c r="B78" s="21" t="n">
        <f aca="false">IF(MONTH(((AH$71-(WEEKDAY(AH$71,2)-1))+0*7+4))=MONTH(AH$71),DAY(((AH$71-(WEEKDAY(AH$71,2)-1))+0*7+4)),"")</f>
        <v>4</v>
      </c>
      <c r="C78" s="21" t="n">
        <f aca="false">IF(MONTH(((AH$71-(WEEKDAY(AH$71,2)-1))+1*7+4))=MONTH(AH$71),DAY(((AH$71-(WEEKDAY(AH$71,2)-1))+1*7+4)),"")</f>
        <v>11</v>
      </c>
      <c r="D78" s="21" t="n">
        <f aca="false">IF(MONTH(((AH$71-(WEEKDAY(AH$71,2)-1))+2*7+4))=MONTH(AH$71),DAY(((AH$71-(WEEKDAY(AH$71,2)-1))+2*7+4)),"")</f>
        <v>18</v>
      </c>
      <c r="E78" s="21" t="n">
        <f aca="false">IF(MONTH(((AH$71-(WEEKDAY(AH$71,2)-1))+3*7+4))=MONTH(AH$71),DAY(((AH$71-(WEEKDAY(AH$71,2)-1))+3*7+4)),"")</f>
        <v>25</v>
      </c>
      <c r="F78" s="21" t="str">
        <f aca="false">IF(MONTH(((AH$71-(WEEKDAY(AH$71,2)-1))+4*7+4))=MONTH(AH$71),DAY(((AH$71-(WEEKDAY(AH$71,2)-1))+4*7+4)),"")</f>
        <v/>
      </c>
      <c r="G78" s="21" t="str">
        <f aca="false">IF(MONTH(((AH$71-(WEEKDAY(AH$71,2)-1))+5*7+4))=MONTH(AH$71),DAY(((AH$71-(WEEKDAY(AH$71,2)-1))+5*7+4)),"")</f>
        <v/>
      </c>
      <c r="H78" s="21" t="n">
        <f aca="false">IF(MONTH(((AI$71-(WEEKDAY(AI$71,2)-1))+0*7+4))=MONTH(AI$71),DAY(((AI$71-(WEEKDAY(AI$71,2)-1))+0*7+4)),"")</f>
        <v>2</v>
      </c>
      <c r="I78" s="21" t="n">
        <f aca="false">IF(MONTH(((AI$71-(WEEKDAY(AI$71,2)-1))+1*7+4))=MONTH(AI$71),DAY(((AI$71-(WEEKDAY(AI$71,2)-1))+1*7+4)),"")</f>
        <v>9</v>
      </c>
      <c r="J78" s="21" t="n">
        <f aca="false">IF(MONTH(((AI$71-(WEEKDAY(AI$71,2)-1))+2*7+4))=MONTH(AI$71),DAY(((AI$71-(WEEKDAY(AI$71,2)-1))+2*7+4)),"")</f>
        <v>16</v>
      </c>
      <c r="K78" s="21" t="n">
        <f aca="false">IF(MONTH(((AI$71-(WEEKDAY(AI$71,2)-1))+3*7+4))=MONTH(AI$71),DAY(((AI$71-(WEEKDAY(AI$71,2)-1))+3*7+4)),"")</f>
        <v>23</v>
      </c>
      <c r="L78" s="21" t="n">
        <f aca="false">IF(MONTH(((AI$71-(WEEKDAY(AI$71,2)-1))+4*7+4))=MONTH(AI$71),DAY(((AI$71-(WEEKDAY(AI$71,2)-1))+4*7+4)),"")</f>
        <v>30</v>
      </c>
      <c r="M78" s="21" t="str">
        <f aca="false">IF(MONTH(((AI$71-(WEEKDAY(AI$71,2)-1))+5*7+4))=MONTH(AI$71),DAY(((AI$71-(WEEKDAY(AI$71,2)-1))+5*7+4)),"")</f>
        <v/>
      </c>
      <c r="N78" s="21" t="str">
        <f aca="false">IF(MONTH(((AJ$71-(WEEKDAY(AJ$71,2)-1))+0*7+4))=MONTH(AJ$71),DAY(((AJ$71-(WEEKDAY(AJ$71,2)-1))+0*7+4)),"")</f>
        <v/>
      </c>
      <c r="O78" s="21" t="n">
        <f aca="false">IF(MONTH(((AJ$71-(WEEKDAY(AJ$71,2)-1))+1*7+4))=MONTH(AJ$71),DAY(((AJ$71-(WEEKDAY(AJ$71,2)-1))+1*7+4)),"")</f>
        <v>6</v>
      </c>
      <c r="P78" s="21" t="n">
        <f aca="false">IF(MONTH(((AJ$71-(WEEKDAY(AJ$71,2)-1))+2*7+4))=MONTH(AJ$71),DAY(((AJ$71-(WEEKDAY(AJ$71,2)-1))+2*7+4)),"")</f>
        <v>13</v>
      </c>
      <c r="Q78" s="21" t="n">
        <f aca="false">IF(MONTH(((AJ$71-(WEEKDAY(AJ$71,2)-1))+3*7+4))=MONTH(AJ$71),DAY(((AJ$71-(WEEKDAY(AJ$71,2)-1))+3*7+4)),"")</f>
        <v>20</v>
      </c>
      <c r="R78" s="21" t="n">
        <f aca="false">IF(MONTH(((AJ$71-(WEEKDAY(AJ$71,2)-1))+4*7+4))=MONTH(AJ$71),DAY(((AJ$71-(WEEKDAY(AJ$71,2)-1))+4*7+4)),"")</f>
        <v>27</v>
      </c>
      <c r="S78" s="21" t="str">
        <f aca="false">IF(MONTH(((AJ$71-(WEEKDAY(AJ$71,2)-1))+5*7+4))=MONTH(AJ$71),DAY(((AJ$71-(WEEKDAY(AJ$71,2)-1))+5*7+4)),"")</f>
        <v/>
      </c>
      <c r="T78" s="21" t="n">
        <f aca="false">IF(MONTH(((AK$71-(WEEKDAY(AK$71,2)-1))+0*7+4))=MONTH(AK$71),DAY(((AK$71-(WEEKDAY(AK$71,2)-1))+0*7+4)),"")</f>
        <v>4</v>
      </c>
      <c r="U78" s="21" t="n">
        <f aca="false">IF(MONTH(((AK$71-(WEEKDAY(AK$71,2)-1))+1*7+4))=MONTH(AK$71),DAY(((AK$71-(WEEKDAY(AK$71,2)-1))+1*7+4)),"")</f>
        <v>11</v>
      </c>
      <c r="V78" s="21" t="n">
        <f aca="false">IF(MONTH(((AK$71-(WEEKDAY(AK$71,2)-1))+2*7+4))=MONTH(AK$71),DAY(((AK$71-(WEEKDAY(AK$71,2)-1))+2*7+4)),"")</f>
        <v>18</v>
      </c>
      <c r="W78" s="21" t="n">
        <f aca="false">IF(MONTH(((AK$71-(WEEKDAY(AK$71,2)-1))+3*7+4))=MONTH(AK$71),DAY(((AK$71-(WEEKDAY(AK$71,2)-1))+3*7+4)),"")</f>
        <v>25</v>
      </c>
      <c r="X78" s="21" t="str">
        <f aca="false">IF(MONTH(((AK$71-(WEEKDAY(AK$71,2)-1))+4*7+4))=MONTH(AK$71),DAY(((AK$71-(WEEKDAY(AK$71,2)-1))+4*7+4)),"")</f>
        <v/>
      </c>
      <c r="Y78" s="21" t="str">
        <f aca="false">IF(MONTH(((AK$71-(WEEKDAY(AK$71,2)-1))+5*7+4))=MONTH(AK$71),DAY(((AK$71-(WEEKDAY(AK$71,2)-1))+5*7+4)),"")</f>
        <v/>
      </c>
      <c r="Z78" s="21" t="n">
        <f aca="false">IF(MONTH(((AL$71-(WEEKDAY(AL$71,2)-1))+0*7+4))=MONTH(AL$71),DAY(((AL$71-(WEEKDAY(AL$71,2)-1))+0*7+4)),"")</f>
        <v>1</v>
      </c>
      <c r="AA78" s="21" t="n">
        <f aca="false">IF(MONTH(((AL$71-(WEEKDAY(AL$71,2)-1))+1*7+4))=MONTH(AL$71),DAY(((AL$71-(WEEKDAY(AL$71,2)-1))+1*7+4)),"")</f>
        <v>8</v>
      </c>
      <c r="AB78" s="21" t="n">
        <f aca="false">IF(MONTH(((AL$71-(WEEKDAY(AL$71,2)-1))+2*7+4))=MONTH(AL$71),DAY(((AL$71-(WEEKDAY(AL$71,2)-1))+2*7+4)),"")</f>
        <v>15</v>
      </c>
      <c r="AC78" s="21" t="n">
        <f aca="false">IF(MONTH(((AL$71-(WEEKDAY(AL$71,2)-1))+3*7+4))=MONTH(AL$71),DAY(((AL$71-(WEEKDAY(AL$71,2)-1))+3*7+4)),"")</f>
        <v>22</v>
      </c>
      <c r="AD78" s="21" t="n">
        <f aca="false">IF(MONTH(((AL$71-(WEEKDAY(AL$71,2)-1))+4*7+4))=MONTH(AL$71),DAY(((AL$71-(WEEKDAY(AL$71,2)-1))+4*7+4)),"")</f>
        <v>29</v>
      </c>
      <c r="AE78" s="21" t="str">
        <f aca="false">IF(MONTH(((AL$71-(WEEKDAY(AL$71,2)-1))+5*7+4))=MONTH(AL$71),DAY(((AL$71-(WEEKDAY(AL$71,2)-1))+5*7+4)),"")</f>
        <v/>
      </c>
    </row>
    <row r="79" customFormat="false" ht="15" hidden="false" customHeight="true" outlineLevel="0" collapsed="false">
      <c r="A79" s="20" t="s">
        <v>97</v>
      </c>
      <c r="B79" s="22" t="n">
        <f aca="false">IF(MONTH(((AH$71-(WEEKDAY(AH$71,2)-1))+0*7+5))=MONTH(AH$71),DAY(((AH$71-(WEEKDAY(AH$71,2)-1))+0*7+5)),"")</f>
        <v>5</v>
      </c>
      <c r="C79" s="22" t="n">
        <f aca="false">IF(MONTH(((AH$71-(WEEKDAY(AH$71,2)-1))+1*7+5))=MONTH(AH$71),DAY(((AH$71-(WEEKDAY(AH$71,2)-1))+1*7+5)),"")</f>
        <v>12</v>
      </c>
      <c r="D79" s="22" t="n">
        <f aca="false">IF(MONTH(((AH$71-(WEEKDAY(AH$71,2)-1))+2*7+5))=MONTH(AH$71),DAY(((AH$71-(WEEKDAY(AH$71,2)-1))+2*7+5)),"")</f>
        <v>19</v>
      </c>
      <c r="E79" s="22" t="n">
        <f aca="false">IF(MONTH(((AH$71-(WEEKDAY(AH$71,2)-1))+3*7+5))=MONTH(AH$71),DAY(((AH$71-(WEEKDAY(AH$71,2)-1))+3*7+5)),"")</f>
        <v>26</v>
      </c>
      <c r="F79" s="22" t="str">
        <f aca="false">IF(MONTH(((AH$71-(WEEKDAY(AH$71,2)-1))+4*7+5))=MONTH(AH$71),DAY(((AH$71-(WEEKDAY(AH$71,2)-1))+4*7+5)),"")</f>
        <v/>
      </c>
      <c r="G79" s="22" t="str">
        <f aca="false">IF(MONTH(((AH$71-(WEEKDAY(AH$71,2)-1))+5*7+5))=MONTH(AH$71),DAY(((AH$71-(WEEKDAY(AH$71,2)-1))+5*7+5)),"")</f>
        <v/>
      </c>
      <c r="H79" s="22" t="n">
        <f aca="false">IF(MONTH(((AI$71-(WEEKDAY(AI$71,2)-1))+0*7+5))=MONTH(AI$71),DAY(((AI$71-(WEEKDAY(AI$71,2)-1))+0*7+5)),"")</f>
        <v>3</v>
      </c>
      <c r="I79" s="22" t="n">
        <f aca="false">IF(MONTH(((AI$71-(WEEKDAY(AI$71,2)-1))+1*7+5))=MONTH(AI$71),DAY(((AI$71-(WEEKDAY(AI$71,2)-1))+1*7+5)),"")</f>
        <v>10</v>
      </c>
      <c r="J79" s="22" t="n">
        <f aca="false">IF(MONTH(((AI$71-(WEEKDAY(AI$71,2)-1))+2*7+5))=MONTH(AI$71),DAY(((AI$71-(WEEKDAY(AI$71,2)-1))+2*7+5)),"")</f>
        <v>17</v>
      </c>
      <c r="K79" s="22" t="n">
        <f aca="false">IF(MONTH(((AI$71-(WEEKDAY(AI$71,2)-1))+3*7+5))=MONTH(AI$71),DAY(((AI$71-(WEEKDAY(AI$71,2)-1))+3*7+5)),"")</f>
        <v>24</v>
      </c>
      <c r="L79" s="22" t="n">
        <f aca="false">IF(MONTH(((AI$71-(WEEKDAY(AI$71,2)-1))+4*7+5))=MONTH(AI$71),DAY(((AI$71-(WEEKDAY(AI$71,2)-1))+4*7+5)),"")</f>
        <v>31</v>
      </c>
      <c r="M79" s="22" t="str">
        <f aca="false">IF(MONTH(((AI$71-(WEEKDAY(AI$71,2)-1))+5*7+5))=MONTH(AI$71),DAY(((AI$71-(WEEKDAY(AI$71,2)-1))+5*7+5)),"")</f>
        <v/>
      </c>
      <c r="N79" s="22" t="str">
        <f aca="false">IF(MONTH(((AJ$71-(WEEKDAY(AJ$71,2)-1))+0*7+5))=MONTH(AJ$71),DAY(((AJ$71-(WEEKDAY(AJ$71,2)-1))+0*7+5)),"")</f>
        <v/>
      </c>
      <c r="O79" s="22" t="n">
        <f aca="false">IF(MONTH(((AJ$71-(WEEKDAY(AJ$71,2)-1))+1*7+5))=MONTH(AJ$71),DAY(((AJ$71-(WEEKDAY(AJ$71,2)-1))+1*7+5)),"")</f>
        <v>7</v>
      </c>
      <c r="P79" s="22" t="n">
        <f aca="false">IF(MONTH(((AJ$71-(WEEKDAY(AJ$71,2)-1))+2*7+5))=MONTH(AJ$71),DAY(((AJ$71-(WEEKDAY(AJ$71,2)-1))+2*7+5)),"")</f>
        <v>14</v>
      </c>
      <c r="Q79" s="22" t="n">
        <f aca="false">IF(MONTH(((AJ$71-(WEEKDAY(AJ$71,2)-1))+3*7+5))=MONTH(AJ$71),DAY(((AJ$71-(WEEKDAY(AJ$71,2)-1))+3*7+5)),"")</f>
        <v>21</v>
      </c>
      <c r="R79" s="22" t="n">
        <f aca="false">IF(MONTH(((AJ$71-(WEEKDAY(AJ$71,2)-1))+4*7+5))=MONTH(AJ$71),DAY(((AJ$71-(WEEKDAY(AJ$71,2)-1))+4*7+5)),"")</f>
        <v>28</v>
      </c>
      <c r="S79" s="22" t="str">
        <f aca="false">IF(MONTH(((AJ$71-(WEEKDAY(AJ$71,2)-1))+5*7+5))=MONTH(AJ$71),DAY(((AJ$71-(WEEKDAY(AJ$71,2)-1))+5*7+5)),"")</f>
        <v/>
      </c>
      <c r="T79" s="22" t="n">
        <f aca="false">IF(MONTH(((AK$71-(WEEKDAY(AK$71,2)-1))+0*7+5))=MONTH(AK$71),DAY(((AK$71-(WEEKDAY(AK$71,2)-1))+0*7+5)),"")</f>
        <v>5</v>
      </c>
      <c r="U79" s="22" t="n">
        <f aca="false">IF(MONTH(((AK$71-(WEEKDAY(AK$71,2)-1))+1*7+5))=MONTH(AK$71),DAY(((AK$71-(WEEKDAY(AK$71,2)-1))+1*7+5)),"")</f>
        <v>12</v>
      </c>
      <c r="V79" s="22" t="n">
        <f aca="false">IF(MONTH(((AK$71-(WEEKDAY(AK$71,2)-1))+2*7+5))=MONTH(AK$71),DAY(((AK$71-(WEEKDAY(AK$71,2)-1))+2*7+5)),"")</f>
        <v>19</v>
      </c>
      <c r="W79" s="22" t="n">
        <f aca="false">IF(MONTH(((AK$71-(WEEKDAY(AK$71,2)-1))+3*7+5))=MONTH(AK$71),DAY(((AK$71-(WEEKDAY(AK$71,2)-1))+3*7+5)),"")</f>
        <v>26</v>
      </c>
      <c r="X79" s="22" t="str">
        <f aca="false">IF(MONTH(((AK$71-(WEEKDAY(AK$71,2)-1))+4*7+5))=MONTH(AK$71),DAY(((AK$71-(WEEKDAY(AK$71,2)-1))+4*7+5)),"")</f>
        <v/>
      </c>
      <c r="Y79" s="22" t="str">
        <f aca="false">IF(MONTH(((AK$71-(WEEKDAY(AK$71,2)-1))+5*7+5))=MONTH(AK$71),DAY(((AK$71-(WEEKDAY(AK$71,2)-1))+5*7+5)),"")</f>
        <v/>
      </c>
      <c r="Z79" s="22" t="n">
        <f aca="false">IF(MONTH(((AL$71-(WEEKDAY(AL$71,2)-1))+0*7+5))=MONTH(AL$71),DAY(((AL$71-(WEEKDAY(AL$71,2)-1))+0*7+5)),"")</f>
        <v>2</v>
      </c>
      <c r="AA79" s="22" t="n">
        <f aca="false">IF(MONTH(((AL$71-(WEEKDAY(AL$71,2)-1))+1*7+5))=MONTH(AL$71),DAY(((AL$71-(WEEKDAY(AL$71,2)-1))+1*7+5)),"")</f>
        <v>9</v>
      </c>
      <c r="AB79" s="22" t="n">
        <f aca="false">IF(MONTH(((AL$71-(WEEKDAY(AL$71,2)-1))+2*7+5))=MONTH(AL$71),DAY(((AL$71-(WEEKDAY(AL$71,2)-1))+2*7+5)),"")</f>
        <v>16</v>
      </c>
      <c r="AC79" s="22" t="n">
        <f aca="false">IF(MONTH(((AL$71-(WEEKDAY(AL$71,2)-1))+3*7+5))=MONTH(AL$71),DAY(((AL$71-(WEEKDAY(AL$71,2)-1))+3*7+5)),"")</f>
        <v>23</v>
      </c>
      <c r="AD79" s="22" t="n">
        <f aca="false">IF(MONTH(((AL$71-(WEEKDAY(AL$71,2)-1))+4*7+5))=MONTH(AL$71),DAY(((AL$71-(WEEKDAY(AL$71,2)-1))+4*7+5)),"")</f>
        <v>30</v>
      </c>
      <c r="AE79" s="22" t="str">
        <f aca="false">IF(MONTH(((AL$71-(WEEKDAY(AL$71,2)-1))+5*7+5))=MONTH(AL$71),DAY(((AL$71-(WEEKDAY(AL$71,2)-1))+5*7+5)),"")</f>
        <v/>
      </c>
    </row>
    <row r="80" customFormat="false" ht="15" hidden="false" customHeight="true" outlineLevel="0" collapsed="false">
      <c r="A80" s="20" t="s">
        <v>98</v>
      </c>
      <c r="B80" s="22" t="n">
        <f aca="false">IF(MONTH(((AH$71-(WEEKDAY(AH$71,2)-1))+0*7+6))=MONTH(AH$71),DAY(((AH$71-(WEEKDAY(AH$71,2)-1))+0*7+6)),"")</f>
        <v>6</v>
      </c>
      <c r="C80" s="22" t="n">
        <f aca="false">IF(MONTH(((AH$71-(WEEKDAY(AH$71,2)-1))+1*7+6))=MONTH(AH$71),DAY(((AH$71-(WEEKDAY(AH$71,2)-1))+1*7+6)),"")</f>
        <v>13</v>
      </c>
      <c r="D80" s="22" t="n">
        <f aca="false">IF(MONTH(((AH$71-(WEEKDAY(AH$71,2)-1))+2*7+6))=MONTH(AH$71),DAY(((AH$71-(WEEKDAY(AH$71,2)-1))+2*7+6)),"")</f>
        <v>20</v>
      </c>
      <c r="E80" s="22" t="n">
        <f aca="false">IF(MONTH(((AH$71-(WEEKDAY(AH$71,2)-1))+3*7+6))=MONTH(AH$71),DAY(((AH$71-(WEEKDAY(AH$71,2)-1))+3*7+6)),"")</f>
        <v>27</v>
      </c>
      <c r="F80" s="22" t="str">
        <f aca="false">IF(MONTH(((AH$71-(WEEKDAY(AH$71,2)-1))+4*7+6))=MONTH(AH$71),DAY(((AH$71-(WEEKDAY(AH$71,2)-1))+4*7+6)),"")</f>
        <v/>
      </c>
      <c r="G80" s="22" t="str">
        <f aca="false">IF(MONTH(((AH$71-(WEEKDAY(AH$71,2)-1))+5*7+6))=MONTH(AH$71),DAY(((AH$71-(WEEKDAY(AH$71,2)-1))+5*7+6)),"")</f>
        <v/>
      </c>
      <c r="H80" s="22" t="n">
        <f aca="false">IF(MONTH(((AI$71-(WEEKDAY(AI$71,2)-1))+0*7+6))=MONTH(AI$71),DAY(((AI$71-(WEEKDAY(AI$71,2)-1))+0*7+6)),"")</f>
        <v>4</v>
      </c>
      <c r="I80" s="22" t="n">
        <f aca="false">IF(MONTH(((AI$71-(WEEKDAY(AI$71,2)-1))+1*7+6))=MONTH(AI$71),DAY(((AI$71-(WEEKDAY(AI$71,2)-1))+1*7+6)),"")</f>
        <v>11</v>
      </c>
      <c r="J80" s="22" t="n">
        <f aca="false">IF(MONTH(((AI$71-(WEEKDAY(AI$71,2)-1))+2*7+6))=MONTH(AI$71),DAY(((AI$71-(WEEKDAY(AI$71,2)-1))+2*7+6)),"")</f>
        <v>18</v>
      </c>
      <c r="K80" s="22" t="n">
        <f aca="false">IF(MONTH(((AI$71-(WEEKDAY(AI$71,2)-1))+3*7+6))=MONTH(AI$71),DAY(((AI$71-(WEEKDAY(AI$71,2)-1))+3*7+6)),"")</f>
        <v>25</v>
      </c>
      <c r="L80" s="22" t="str">
        <f aca="false">IF(MONTH(((AI$71-(WEEKDAY(AI$71,2)-1))+4*7+6))=MONTH(AI$71),DAY(((AI$71-(WEEKDAY(AI$71,2)-1))+4*7+6)),"")</f>
        <v/>
      </c>
      <c r="M80" s="22" t="str">
        <f aca="false">IF(MONTH(((AI$71-(WEEKDAY(AI$71,2)-1))+5*7+6))=MONTH(AI$71),DAY(((AI$71-(WEEKDAY(AI$71,2)-1))+5*7+6)),"")</f>
        <v/>
      </c>
      <c r="N80" s="22" t="n">
        <f aca="false">IF(MONTH(((AJ$71-(WEEKDAY(AJ$71,2)-1))+0*7+6))=MONTH(AJ$71),DAY(((AJ$71-(WEEKDAY(AJ$71,2)-1))+0*7+6)),"")</f>
        <v>1</v>
      </c>
      <c r="O80" s="22" t="n">
        <f aca="false">IF(MONTH(((AJ$71-(WEEKDAY(AJ$71,2)-1))+1*7+6))=MONTH(AJ$71),DAY(((AJ$71-(WEEKDAY(AJ$71,2)-1))+1*7+6)),"")</f>
        <v>8</v>
      </c>
      <c r="P80" s="22" t="n">
        <f aca="false">IF(MONTH(((AJ$71-(WEEKDAY(AJ$71,2)-1))+2*7+6))=MONTH(AJ$71),DAY(((AJ$71-(WEEKDAY(AJ$71,2)-1))+2*7+6)),"")</f>
        <v>15</v>
      </c>
      <c r="Q80" s="22" t="n">
        <f aca="false">IF(MONTH(((AJ$71-(WEEKDAY(AJ$71,2)-1))+3*7+6))=MONTH(AJ$71),DAY(((AJ$71-(WEEKDAY(AJ$71,2)-1))+3*7+6)),"")</f>
        <v>22</v>
      </c>
      <c r="R80" s="22" t="n">
        <f aca="false">IF(MONTH(((AJ$71-(WEEKDAY(AJ$71,2)-1))+4*7+6))=MONTH(AJ$71),DAY(((AJ$71-(WEEKDAY(AJ$71,2)-1))+4*7+6)),"")</f>
        <v>29</v>
      </c>
      <c r="S80" s="22" t="str">
        <f aca="false">IF(MONTH(((AJ$71-(WEEKDAY(AJ$71,2)-1))+5*7+6))=MONTH(AJ$71),DAY(((AJ$71-(WEEKDAY(AJ$71,2)-1))+5*7+6)),"")</f>
        <v/>
      </c>
      <c r="T80" s="22" t="n">
        <f aca="false">IF(MONTH(((AK$71-(WEEKDAY(AK$71,2)-1))+0*7+6))=MONTH(AK$71),DAY(((AK$71-(WEEKDAY(AK$71,2)-1))+0*7+6)),"")</f>
        <v>6</v>
      </c>
      <c r="U80" s="22" t="n">
        <f aca="false">IF(MONTH(((AK$71-(WEEKDAY(AK$71,2)-1))+1*7+6))=MONTH(AK$71),DAY(((AK$71-(WEEKDAY(AK$71,2)-1))+1*7+6)),"")</f>
        <v>13</v>
      </c>
      <c r="V80" s="22" t="n">
        <f aca="false">IF(MONTH(((AK$71-(WEEKDAY(AK$71,2)-1))+2*7+6))=MONTH(AK$71),DAY(((AK$71-(WEEKDAY(AK$71,2)-1))+2*7+6)),"")</f>
        <v>20</v>
      </c>
      <c r="W80" s="22" t="n">
        <f aca="false">IF(MONTH(((AK$71-(WEEKDAY(AK$71,2)-1))+3*7+6))=MONTH(AK$71),DAY(((AK$71-(WEEKDAY(AK$71,2)-1))+3*7+6)),"")</f>
        <v>27</v>
      </c>
      <c r="X80" s="22" t="str">
        <f aca="false">IF(MONTH(((AK$71-(WEEKDAY(AK$71,2)-1))+4*7+6))=MONTH(AK$71),DAY(((AK$71-(WEEKDAY(AK$71,2)-1))+4*7+6)),"")</f>
        <v/>
      </c>
      <c r="Y80" s="22" t="str">
        <f aca="false">IF(MONTH(((AK$71-(WEEKDAY(AK$71,2)-1))+5*7+6))=MONTH(AK$71),DAY(((AK$71-(WEEKDAY(AK$71,2)-1))+5*7+6)),"")</f>
        <v/>
      </c>
      <c r="Z80" s="22" t="n">
        <f aca="false">IF(MONTH(((AL$71-(WEEKDAY(AL$71,2)-1))+0*7+6))=MONTH(AL$71),DAY(((AL$71-(WEEKDAY(AL$71,2)-1))+0*7+6)),"")</f>
        <v>3</v>
      </c>
      <c r="AA80" s="22" t="n">
        <f aca="false">IF(MONTH(((AL$71-(WEEKDAY(AL$71,2)-1))+1*7+6))=MONTH(AL$71),DAY(((AL$71-(WEEKDAY(AL$71,2)-1))+1*7+6)),"")</f>
        <v>10</v>
      </c>
      <c r="AB80" s="22" t="n">
        <f aca="false">IF(MONTH(((AL$71-(WEEKDAY(AL$71,2)-1))+2*7+6))=MONTH(AL$71),DAY(((AL$71-(WEEKDAY(AL$71,2)-1))+2*7+6)),"")</f>
        <v>17</v>
      </c>
      <c r="AC80" s="22" t="n">
        <f aca="false">IF(MONTH(((AL$71-(WEEKDAY(AL$71,2)-1))+3*7+6))=MONTH(AL$71),DAY(((AL$71-(WEEKDAY(AL$71,2)-1))+3*7+6)),"")</f>
        <v>24</v>
      </c>
      <c r="AD80" s="22" t="n">
        <f aca="false">IF(MONTH(((AL$71-(WEEKDAY(AL$71,2)-1))+4*7+6))=MONTH(AL$71),DAY(((AL$71-(WEEKDAY(AL$71,2)-1))+4*7+6)),"")</f>
        <v>31</v>
      </c>
      <c r="AE80" s="22" t="str">
        <f aca="false">IF(MONTH(((AL$71-(WEEKDAY(AL$71,2)-1))+5*7+6))=MONTH(AL$71),DAY(((AL$71-(WEEKDAY(AL$71,2)-1))+5*7+6)),"")</f>
        <v/>
      </c>
    </row>
    <row r="81" customFormat="false" ht="15" hidden="false" customHeight="true" outlineLevel="0" collapsed="false">
      <c r="A81" s="19" t="s">
        <v>91</v>
      </c>
      <c r="B81" s="19" t="str">
        <f aca="false">CHOOSE(MONTH(AM$71),"Ocak","Şubat","Mart","Nisan","Mayıs","Haziran","Temmuz","Ağustos","Eylül","Ekim","Kasım","Aralık")&amp;" "&amp;YEAR(AM$71)</f>
        <v>Şubat 2027</v>
      </c>
      <c r="C81" s="19"/>
      <c r="D81" s="19"/>
      <c r="E81" s="19"/>
      <c r="F81" s="19"/>
      <c r="G81" s="19"/>
      <c r="H81" s="19" t="str">
        <f aca="false">CHOOSE(MONTH(AN$71),"Ocak","Şubat","Mart","Nisan","Mayıs","Haziran","Temmuz","Ağustos","Eylül","Ekim","Kasım","Aralık")&amp;" "&amp;YEAR(AN$71)</f>
        <v>Mart 2027</v>
      </c>
      <c r="I81" s="19"/>
      <c r="J81" s="19"/>
      <c r="K81" s="19"/>
      <c r="L81" s="19"/>
      <c r="M81" s="19"/>
      <c r="N81" s="19" t="str">
        <f aca="false">CHOOSE(MONTH(AO$71),"Ocak","Şubat","Mart","Nisan","Mayıs","Haziran","Temmuz","Ağustos","Eylül","Ekim","Kasım","Aralık")&amp;" "&amp;YEAR(AO$71)</f>
        <v>Nisan 2027</v>
      </c>
      <c r="O81" s="19"/>
      <c r="P81" s="19"/>
      <c r="Q81" s="19"/>
      <c r="R81" s="19"/>
      <c r="S81" s="19"/>
      <c r="T81" s="19" t="str">
        <f aca="false">CHOOSE(MONTH(AP$71),"Ocak","Şubat","Mart","Nisan","Mayıs","Haziran","Temmuz","Ağustos","Eylül","Ekim","Kasım","Aralık")&amp;" "&amp;YEAR(AP$71)</f>
        <v>Mayıs 2027</v>
      </c>
      <c r="U81" s="19"/>
      <c r="V81" s="19"/>
      <c r="W81" s="19"/>
      <c r="X81" s="19"/>
      <c r="Y81" s="19"/>
      <c r="Z81" s="19" t="str">
        <f aca="false">CHOOSE(MONTH(AQ$71),"Ocak","Şubat","Mart","Nisan","Mayıs","Haziran","Temmuz","Ağustos","Eylül","Ekim","Kasım","Aralık")&amp;" "&amp;YEAR(AQ$71)</f>
        <v>Haziran 2027</v>
      </c>
      <c r="AA81" s="19"/>
      <c r="AB81" s="19"/>
      <c r="AC81" s="19"/>
      <c r="AD81" s="19"/>
      <c r="AE81" s="19"/>
    </row>
    <row r="82" customFormat="false" ht="15" hidden="false" customHeight="true" outlineLevel="0" collapsed="false">
      <c r="A82" s="20" t="s">
        <v>92</v>
      </c>
      <c r="B82" s="21" t="n">
        <f aca="false">IF(MONTH(((AM$71-(WEEKDAY(AM$71,2)-1))+0*7+0))=MONTH(AM$71),DAY(((AM$71-(WEEKDAY(AM$71,2)-1))+0*7+0)),"")</f>
        <v>1</v>
      </c>
      <c r="C82" s="21" t="n">
        <f aca="false">IF(MONTH(((AM$71-(WEEKDAY(AM$71,2)-1))+1*7+0))=MONTH(AM$71),DAY(((AM$71-(WEEKDAY(AM$71,2)-1))+1*7+0)),"")</f>
        <v>8</v>
      </c>
      <c r="D82" s="21" t="n">
        <f aca="false">IF(MONTH(((AM$71-(WEEKDAY(AM$71,2)-1))+2*7+0))=MONTH(AM$71),DAY(((AM$71-(WEEKDAY(AM$71,2)-1))+2*7+0)),"")</f>
        <v>15</v>
      </c>
      <c r="E82" s="21" t="n">
        <f aca="false">IF(MONTH(((AM$71-(WEEKDAY(AM$71,2)-1))+3*7+0))=MONTH(AM$71),DAY(((AM$71-(WEEKDAY(AM$71,2)-1))+3*7+0)),"")</f>
        <v>22</v>
      </c>
      <c r="F82" s="21" t="str">
        <f aca="false">IF(MONTH(((AM$71-(WEEKDAY(AM$71,2)-1))+4*7+0))=MONTH(AM$71),DAY(((AM$71-(WEEKDAY(AM$71,2)-1))+4*7+0)),"")</f>
        <v/>
      </c>
      <c r="G82" s="21" t="str">
        <f aca="false">IF(MONTH(((AM$71-(WEEKDAY(AM$71,2)-1))+5*7+0))=MONTH(AM$71),DAY(((AM$71-(WEEKDAY(AM$71,2)-1))+5*7+0)),"")</f>
        <v/>
      </c>
      <c r="H82" s="21" t="n">
        <f aca="false">IF(MONTH(((AN$71-(WEEKDAY(AN$71,2)-1))+0*7+0))=MONTH(AN$71),DAY(((AN$71-(WEEKDAY(AN$71,2)-1))+0*7+0)),"")</f>
        <v>1</v>
      </c>
      <c r="I82" s="21" t="n">
        <f aca="false">IF(MONTH(((AN$71-(WEEKDAY(AN$71,2)-1))+1*7+0))=MONTH(AN$71),DAY(((AN$71-(WEEKDAY(AN$71,2)-1))+1*7+0)),"")</f>
        <v>8</v>
      </c>
      <c r="J82" s="21" t="n">
        <f aca="false">IF(MONTH(((AN$71-(WEEKDAY(AN$71,2)-1))+2*7+0))=MONTH(AN$71),DAY(((AN$71-(WEEKDAY(AN$71,2)-1))+2*7+0)),"")</f>
        <v>15</v>
      </c>
      <c r="K82" s="21" t="n">
        <f aca="false">IF(MONTH(((AN$71-(WEEKDAY(AN$71,2)-1))+3*7+0))=MONTH(AN$71),DAY(((AN$71-(WEEKDAY(AN$71,2)-1))+3*7+0)),"")</f>
        <v>22</v>
      </c>
      <c r="L82" s="21" t="n">
        <f aca="false">IF(MONTH(((AN$71-(WEEKDAY(AN$71,2)-1))+4*7+0))=MONTH(AN$71),DAY(((AN$71-(WEEKDAY(AN$71,2)-1))+4*7+0)),"")</f>
        <v>29</v>
      </c>
      <c r="M82" s="21" t="str">
        <f aca="false">IF(MONTH(((AN$71-(WEEKDAY(AN$71,2)-1))+5*7+0))=MONTH(AN$71),DAY(((AN$71-(WEEKDAY(AN$71,2)-1))+5*7+0)),"")</f>
        <v/>
      </c>
      <c r="N82" s="21" t="str">
        <f aca="false">IF(MONTH(((AO$71-(WEEKDAY(AO$71,2)-1))+0*7+0))=MONTH(AO$71),DAY(((AO$71-(WEEKDAY(AO$71,2)-1))+0*7+0)),"")</f>
        <v/>
      </c>
      <c r="O82" s="21" t="n">
        <f aca="false">IF(MONTH(((AO$71-(WEEKDAY(AO$71,2)-1))+1*7+0))=MONTH(AO$71),DAY(((AO$71-(WEEKDAY(AO$71,2)-1))+1*7+0)),"")</f>
        <v>5</v>
      </c>
      <c r="P82" s="21" t="n">
        <f aca="false">IF(MONTH(((AO$71-(WEEKDAY(AO$71,2)-1))+2*7+0))=MONTH(AO$71),DAY(((AO$71-(WEEKDAY(AO$71,2)-1))+2*7+0)),"")</f>
        <v>12</v>
      </c>
      <c r="Q82" s="21" t="n">
        <f aca="false">IF(MONTH(((AO$71-(WEEKDAY(AO$71,2)-1))+3*7+0))=MONTH(AO$71),DAY(((AO$71-(WEEKDAY(AO$71,2)-1))+3*7+0)),"")</f>
        <v>19</v>
      </c>
      <c r="R82" s="21" t="n">
        <f aca="false">IF(MONTH(((AO$71-(WEEKDAY(AO$71,2)-1))+4*7+0))=MONTH(AO$71),DAY(((AO$71-(WEEKDAY(AO$71,2)-1))+4*7+0)),"")</f>
        <v>26</v>
      </c>
      <c r="S82" s="21" t="str">
        <f aca="false">IF(MONTH(((AO$71-(WEEKDAY(AO$71,2)-1))+5*7+0))=MONTH(AO$71),DAY(((AO$71-(WEEKDAY(AO$71,2)-1))+5*7+0)),"")</f>
        <v/>
      </c>
      <c r="T82" s="21" t="str">
        <f aca="false">IF(MONTH(((AP$71-(WEEKDAY(AP$71,2)-1))+0*7+0))=MONTH(AP$71),DAY(((AP$71-(WEEKDAY(AP$71,2)-1))+0*7+0)),"")</f>
        <v/>
      </c>
      <c r="U82" s="21" t="n">
        <f aca="false">IF(MONTH(((AP$71-(WEEKDAY(AP$71,2)-1))+1*7+0))=MONTH(AP$71),DAY(((AP$71-(WEEKDAY(AP$71,2)-1))+1*7+0)),"")</f>
        <v>3</v>
      </c>
      <c r="V82" s="21" t="n">
        <f aca="false">IF(MONTH(((AP$71-(WEEKDAY(AP$71,2)-1))+2*7+0))=MONTH(AP$71),DAY(((AP$71-(WEEKDAY(AP$71,2)-1))+2*7+0)),"")</f>
        <v>10</v>
      </c>
      <c r="W82" s="21" t="n">
        <f aca="false">IF(MONTH(((AP$71-(WEEKDAY(AP$71,2)-1))+3*7+0))=MONTH(AP$71),DAY(((AP$71-(WEEKDAY(AP$71,2)-1))+3*7+0)),"")</f>
        <v>17</v>
      </c>
      <c r="X82" s="21" t="n">
        <f aca="false">IF(MONTH(((AP$71-(WEEKDAY(AP$71,2)-1))+4*7+0))=MONTH(AP$71),DAY(((AP$71-(WEEKDAY(AP$71,2)-1))+4*7+0)),"")</f>
        <v>24</v>
      </c>
      <c r="Y82" s="21" t="n">
        <f aca="false">IF(MONTH(((AP$71-(WEEKDAY(AP$71,2)-1))+5*7+0))=MONTH(AP$71),DAY(((AP$71-(WEEKDAY(AP$71,2)-1))+5*7+0)),"")</f>
        <v>31</v>
      </c>
      <c r="Z82" s="21" t="str">
        <f aca="false">IF(MONTH(((AQ$71-(WEEKDAY(AQ$71,2)-1))+0*7+0))=MONTH(AQ$71),DAY(((AQ$71-(WEEKDAY(AQ$71,2)-1))+0*7+0)),"")</f>
        <v/>
      </c>
      <c r="AA82" s="21" t="n">
        <f aca="false">IF(MONTH(((AQ$71-(WEEKDAY(AQ$71,2)-1))+1*7+0))=MONTH(AQ$71),DAY(((AQ$71-(WEEKDAY(AQ$71,2)-1))+1*7+0)),"")</f>
        <v>7</v>
      </c>
      <c r="AB82" s="21" t="n">
        <f aca="false">IF(MONTH(((AQ$71-(WEEKDAY(AQ$71,2)-1))+2*7+0))=MONTH(AQ$71),DAY(((AQ$71-(WEEKDAY(AQ$71,2)-1))+2*7+0)),"")</f>
        <v>14</v>
      </c>
      <c r="AC82" s="21" t="n">
        <f aca="false">IF(MONTH(((AQ$71-(WEEKDAY(AQ$71,2)-1))+3*7+0))=MONTH(AQ$71),DAY(((AQ$71-(WEEKDAY(AQ$71,2)-1))+3*7+0)),"")</f>
        <v>21</v>
      </c>
      <c r="AD82" s="21" t="n">
        <f aca="false">IF(MONTH(((AQ$71-(WEEKDAY(AQ$71,2)-1))+4*7+0))=MONTH(AQ$71),DAY(((AQ$71-(WEEKDAY(AQ$71,2)-1))+4*7+0)),"")</f>
        <v>28</v>
      </c>
      <c r="AE82" s="21" t="str">
        <f aca="false">IF(MONTH(((AQ$71-(WEEKDAY(AQ$71,2)-1))+5*7+0))=MONTH(AQ$71),DAY(((AQ$71-(WEEKDAY(AQ$71,2)-1))+5*7+0)),"")</f>
        <v/>
      </c>
    </row>
    <row r="83" customFormat="false" ht="15" hidden="false" customHeight="true" outlineLevel="0" collapsed="false">
      <c r="A83" s="20" t="s">
        <v>93</v>
      </c>
      <c r="B83" s="21" t="n">
        <f aca="false">IF(MONTH(((AM$71-(WEEKDAY(AM$71,2)-1))+0*7+1))=MONTH(AM$71),DAY(((AM$71-(WEEKDAY(AM$71,2)-1))+0*7+1)),"")</f>
        <v>2</v>
      </c>
      <c r="C83" s="21" t="n">
        <f aca="false">IF(MONTH(((AM$71-(WEEKDAY(AM$71,2)-1))+1*7+1))=MONTH(AM$71),DAY(((AM$71-(WEEKDAY(AM$71,2)-1))+1*7+1)),"")</f>
        <v>9</v>
      </c>
      <c r="D83" s="21" t="n">
        <f aca="false">IF(MONTH(((AM$71-(WEEKDAY(AM$71,2)-1))+2*7+1))=MONTH(AM$71),DAY(((AM$71-(WEEKDAY(AM$71,2)-1))+2*7+1)),"")</f>
        <v>16</v>
      </c>
      <c r="E83" s="21" t="n">
        <f aca="false">IF(MONTH(((AM$71-(WEEKDAY(AM$71,2)-1))+3*7+1))=MONTH(AM$71),DAY(((AM$71-(WEEKDAY(AM$71,2)-1))+3*7+1)),"")</f>
        <v>23</v>
      </c>
      <c r="F83" s="21" t="str">
        <f aca="false">IF(MONTH(((AM$71-(WEEKDAY(AM$71,2)-1))+4*7+1))=MONTH(AM$71),DAY(((AM$71-(WEEKDAY(AM$71,2)-1))+4*7+1)),"")</f>
        <v/>
      </c>
      <c r="G83" s="21" t="str">
        <f aca="false">IF(MONTH(((AM$71-(WEEKDAY(AM$71,2)-1))+5*7+1))=MONTH(AM$71),DAY(((AM$71-(WEEKDAY(AM$71,2)-1))+5*7+1)),"")</f>
        <v/>
      </c>
      <c r="H83" s="21" t="n">
        <f aca="false">IF(MONTH(((AN$71-(WEEKDAY(AN$71,2)-1))+0*7+1))=MONTH(AN$71),DAY(((AN$71-(WEEKDAY(AN$71,2)-1))+0*7+1)),"")</f>
        <v>2</v>
      </c>
      <c r="I83" s="21" t="n">
        <f aca="false">IF(MONTH(((AN$71-(WEEKDAY(AN$71,2)-1))+1*7+1))=MONTH(AN$71),DAY(((AN$71-(WEEKDAY(AN$71,2)-1))+1*7+1)),"")</f>
        <v>9</v>
      </c>
      <c r="J83" s="21" t="n">
        <f aca="false">IF(MONTH(((AN$71-(WEEKDAY(AN$71,2)-1))+2*7+1))=MONTH(AN$71),DAY(((AN$71-(WEEKDAY(AN$71,2)-1))+2*7+1)),"")</f>
        <v>16</v>
      </c>
      <c r="K83" s="21" t="n">
        <f aca="false">IF(MONTH(((AN$71-(WEEKDAY(AN$71,2)-1))+3*7+1))=MONTH(AN$71),DAY(((AN$71-(WEEKDAY(AN$71,2)-1))+3*7+1)),"")</f>
        <v>23</v>
      </c>
      <c r="L83" s="21" t="n">
        <f aca="false">IF(MONTH(((AN$71-(WEEKDAY(AN$71,2)-1))+4*7+1))=MONTH(AN$71),DAY(((AN$71-(WEEKDAY(AN$71,2)-1))+4*7+1)),"")</f>
        <v>30</v>
      </c>
      <c r="M83" s="21" t="str">
        <f aca="false">IF(MONTH(((AN$71-(WEEKDAY(AN$71,2)-1))+5*7+1))=MONTH(AN$71),DAY(((AN$71-(WEEKDAY(AN$71,2)-1))+5*7+1)),"")</f>
        <v/>
      </c>
      <c r="N83" s="21" t="str">
        <f aca="false">IF(MONTH(((AO$71-(WEEKDAY(AO$71,2)-1))+0*7+1))=MONTH(AO$71),DAY(((AO$71-(WEEKDAY(AO$71,2)-1))+0*7+1)),"")</f>
        <v/>
      </c>
      <c r="O83" s="21" t="n">
        <f aca="false">IF(MONTH(((AO$71-(WEEKDAY(AO$71,2)-1))+1*7+1))=MONTH(AO$71),DAY(((AO$71-(WEEKDAY(AO$71,2)-1))+1*7+1)),"")</f>
        <v>6</v>
      </c>
      <c r="P83" s="21" t="n">
        <f aca="false">IF(MONTH(((AO$71-(WEEKDAY(AO$71,2)-1))+2*7+1))=MONTH(AO$71),DAY(((AO$71-(WEEKDAY(AO$71,2)-1))+2*7+1)),"")</f>
        <v>13</v>
      </c>
      <c r="Q83" s="21" t="n">
        <f aca="false">IF(MONTH(((AO$71-(WEEKDAY(AO$71,2)-1))+3*7+1))=MONTH(AO$71),DAY(((AO$71-(WEEKDAY(AO$71,2)-1))+3*7+1)),"")</f>
        <v>20</v>
      </c>
      <c r="R83" s="21" t="n">
        <f aca="false">IF(MONTH(((AO$71-(WEEKDAY(AO$71,2)-1))+4*7+1))=MONTH(AO$71),DAY(((AO$71-(WEEKDAY(AO$71,2)-1))+4*7+1)),"")</f>
        <v>27</v>
      </c>
      <c r="S83" s="21" t="str">
        <f aca="false">IF(MONTH(((AO$71-(WEEKDAY(AO$71,2)-1))+5*7+1))=MONTH(AO$71),DAY(((AO$71-(WEEKDAY(AO$71,2)-1))+5*7+1)),"")</f>
        <v/>
      </c>
      <c r="T83" s="21" t="str">
        <f aca="false">IF(MONTH(((AP$71-(WEEKDAY(AP$71,2)-1))+0*7+1))=MONTH(AP$71),DAY(((AP$71-(WEEKDAY(AP$71,2)-1))+0*7+1)),"")</f>
        <v/>
      </c>
      <c r="U83" s="21" t="n">
        <f aca="false">IF(MONTH(((AP$71-(WEEKDAY(AP$71,2)-1))+1*7+1))=MONTH(AP$71),DAY(((AP$71-(WEEKDAY(AP$71,2)-1))+1*7+1)),"")</f>
        <v>4</v>
      </c>
      <c r="V83" s="21" t="n">
        <f aca="false">IF(MONTH(((AP$71-(WEEKDAY(AP$71,2)-1))+2*7+1))=MONTH(AP$71),DAY(((AP$71-(WEEKDAY(AP$71,2)-1))+2*7+1)),"")</f>
        <v>11</v>
      </c>
      <c r="W83" s="21" t="n">
        <f aca="false">IF(MONTH(((AP$71-(WEEKDAY(AP$71,2)-1))+3*7+1))=MONTH(AP$71),DAY(((AP$71-(WEEKDAY(AP$71,2)-1))+3*7+1)),"")</f>
        <v>18</v>
      </c>
      <c r="X83" s="21" t="n">
        <f aca="false">IF(MONTH(((AP$71-(WEEKDAY(AP$71,2)-1))+4*7+1))=MONTH(AP$71),DAY(((AP$71-(WEEKDAY(AP$71,2)-1))+4*7+1)),"")</f>
        <v>25</v>
      </c>
      <c r="Y83" s="21" t="str">
        <f aca="false">IF(MONTH(((AP$71-(WEEKDAY(AP$71,2)-1))+5*7+1))=MONTH(AP$71),DAY(((AP$71-(WEEKDAY(AP$71,2)-1))+5*7+1)),"")</f>
        <v/>
      </c>
      <c r="Z83" s="21" t="n">
        <f aca="false">IF(MONTH(((AQ$71-(WEEKDAY(AQ$71,2)-1))+0*7+1))=MONTH(AQ$71),DAY(((AQ$71-(WEEKDAY(AQ$71,2)-1))+0*7+1)),"")</f>
        <v>1</v>
      </c>
      <c r="AA83" s="21" t="n">
        <f aca="false">IF(MONTH(((AQ$71-(WEEKDAY(AQ$71,2)-1))+1*7+1))=MONTH(AQ$71),DAY(((AQ$71-(WEEKDAY(AQ$71,2)-1))+1*7+1)),"")</f>
        <v>8</v>
      </c>
      <c r="AB83" s="21" t="n">
        <f aca="false">IF(MONTH(((AQ$71-(WEEKDAY(AQ$71,2)-1))+2*7+1))=MONTH(AQ$71),DAY(((AQ$71-(WEEKDAY(AQ$71,2)-1))+2*7+1)),"")</f>
        <v>15</v>
      </c>
      <c r="AC83" s="21" t="n">
        <f aca="false">IF(MONTH(((AQ$71-(WEEKDAY(AQ$71,2)-1))+3*7+1))=MONTH(AQ$71),DAY(((AQ$71-(WEEKDAY(AQ$71,2)-1))+3*7+1)),"")</f>
        <v>22</v>
      </c>
      <c r="AD83" s="21" t="n">
        <f aca="false">IF(MONTH(((AQ$71-(WEEKDAY(AQ$71,2)-1))+4*7+1))=MONTH(AQ$71),DAY(((AQ$71-(WEEKDAY(AQ$71,2)-1))+4*7+1)),"")</f>
        <v>29</v>
      </c>
      <c r="AE83" s="21" t="str">
        <f aca="false">IF(MONTH(((AQ$71-(WEEKDAY(AQ$71,2)-1))+5*7+1))=MONTH(AQ$71),DAY(((AQ$71-(WEEKDAY(AQ$71,2)-1))+5*7+1)),"")</f>
        <v/>
      </c>
    </row>
    <row r="84" customFormat="false" ht="15" hidden="false" customHeight="true" outlineLevel="0" collapsed="false">
      <c r="A84" s="20" t="s">
        <v>94</v>
      </c>
      <c r="B84" s="21" t="n">
        <f aca="false">IF(MONTH(((AM$71-(WEEKDAY(AM$71,2)-1))+0*7+2))=MONTH(AM$71),DAY(((AM$71-(WEEKDAY(AM$71,2)-1))+0*7+2)),"")</f>
        <v>3</v>
      </c>
      <c r="C84" s="21" t="n">
        <f aca="false">IF(MONTH(((AM$71-(WEEKDAY(AM$71,2)-1))+1*7+2))=MONTH(AM$71),DAY(((AM$71-(WEEKDAY(AM$71,2)-1))+1*7+2)),"")</f>
        <v>10</v>
      </c>
      <c r="D84" s="21" t="n">
        <f aca="false">IF(MONTH(((AM$71-(WEEKDAY(AM$71,2)-1))+2*7+2))=MONTH(AM$71),DAY(((AM$71-(WEEKDAY(AM$71,2)-1))+2*7+2)),"")</f>
        <v>17</v>
      </c>
      <c r="E84" s="21" t="n">
        <f aca="false">IF(MONTH(((AM$71-(WEEKDAY(AM$71,2)-1))+3*7+2))=MONTH(AM$71),DAY(((AM$71-(WEEKDAY(AM$71,2)-1))+3*7+2)),"")</f>
        <v>24</v>
      </c>
      <c r="F84" s="21" t="str">
        <f aca="false">IF(MONTH(((AM$71-(WEEKDAY(AM$71,2)-1))+4*7+2))=MONTH(AM$71),DAY(((AM$71-(WEEKDAY(AM$71,2)-1))+4*7+2)),"")</f>
        <v/>
      </c>
      <c r="G84" s="21" t="str">
        <f aca="false">IF(MONTH(((AM$71-(WEEKDAY(AM$71,2)-1))+5*7+2))=MONTH(AM$71),DAY(((AM$71-(WEEKDAY(AM$71,2)-1))+5*7+2)),"")</f>
        <v/>
      </c>
      <c r="H84" s="21" t="n">
        <f aca="false">IF(MONTH(((AN$71-(WEEKDAY(AN$71,2)-1))+0*7+2))=MONTH(AN$71),DAY(((AN$71-(WEEKDAY(AN$71,2)-1))+0*7+2)),"")</f>
        <v>3</v>
      </c>
      <c r="I84" s="21" t="n">
        <f aca="false">IF(MONTH(((AN$71-(WEEKDAY(AN$71,2)-1))+1*7+2))=MONTH(AN$71),DAY(((AN$71-(WEEKDAY(AN$71,2)-1))+1*7+2)),"")</f>
        <v>10</v>
      </c>
      <c r="J84" s="21" t="n">
        <f aca="false">IF(MONTH(((AN$71-(WEEKDAY(AN$71,2)-1))+2*7+2))=MONTH(AN$71),DAY(((AN$71-(WEEKDAY(AN$71,2)-1))+2*7+2)),"")</f>
        <v>17</v>
      </c>
      <c r="K84" s="21" t="n">
        <f aca="false">IF(MONTH(((AN$71-(WEEKDAY(AN$71,2)-1))+3*7+2))=MONTH(AN$71),DAY(((AN$71-(WEEKDAY(AN$71,2)-1))+3*7+2)),"")</f>
        <v>24</v>
      </c>
      <c r="L84" s="21" t="n">
        <f aca="false">IF(MONTH(((AN$71-(WEEKDAY(AN$71,2)-1))+4*7+2))=MONTH(AN$71),DAY(((AN$71-(WEEKDAY(AN$71,2)-1))+4*7+2)),"")</f>
        <v>31</v>
      </c>
      <c r="M84" s="21" t="str">
        <f aca="false">IF(MONTH(((AN$71-(WEEKDAY(AN$71,2)-1))+5*7+2))=MONTH(AN$71),DAY(((AN$71-(WEEKDAY(AN$71,2)-1))+5*7+2)),"")</f>
        <v/>
      </c>
      <c r="N84" s="21" t="str">
        <f aca="false">IF(MONTH(((AO$71-(WEEKDAY(AO$71,2)-1))+0*7+2))=MONTH(AO$71),DAY(((AO$71-(WEEKDAY(AO$71,2)-1))+0*7+2)),"")</f>
        <v/>
      </c>
      <c r="O84" s="21" t="n">
        <f aca="false">IF(MONTH(((AO$71-(WEEKDAY(AO$71,2)-1))+1*7+2))=MONTH(AO$71),DAY(((AO$71-(WEEKDAY(AO$71,2)-1))+1*7+2)),"")</f>
        <v>7</v>
      </c>
      <c r="P84" s="21" t="n">
        <f aca="false">IF(MONTH(((AO$71-(WEEKDAY(AO$71,2)-1))+2*7+2))=MONTH(AO$71),DAY(((AO$71-(WEEKDAY(AO$71,2)-1))+2*7+2)),"")</f>
        <v>14</v>
      </c>
      <c r="Q84" s="21" t="n">
        <f aca="false">IF(MONTH(((AO$71-(WEEKDAY(AO$71,2)-1))+3*7+2))=MONTH(AO$71),DAY(((AO$71-(WEEKDAY(AO$71,2)-1))+3*7+2)),"")</f>
        <v>21</v>
      </c>
      <c r="R84" s="21" t="n">
        <f aca="false">IF(MONTH(((AO$71-(WEEKDAY(AO$71,2)-1))+4*7+2))=MONTH(AO$71),DAY(((AO$71-(WEEKDAY(AO$71,2)-1))+4*7+2)),"")</f>
        <v>28</v>
      </c>
      <c r="S84" s="21" t="str">
        <f aca="false">IF(MONTH(((AO$71-(WEEKDAY(AO$71,2)-1))+5*7+2))=MONTH(AO$71),DAY(((AO$71-(WEEKDAY(AO$71,2)-1))+5*7+2)),"")</f>
        <v/>
      </c>
      <c r="T84" s="21" t="str">
        <f aca="false">IF(MONTH(((AP$71-(WEEKDAY(AP$71,2)-1))+0*7+2))=MONTH(AP$71),DAY(((AP$71-(WEEKDAY(AP$71,2)-1))+0*7+2)),"")</f>
        <v/>
      </c>
      <c r="U84" s="21" t="n">
        <f aca="false">IF(MONTH(((AP$71-(WEEKDAY(AP$71,2)-1))+1*7+2))=MONTH(AP$71),DAY(((AP$71-(WEEKDAY(AP$71,2)-1))+1*7+2)),"")</f>
        <v>5</v>
      </c>
      <c r="V84" s="21" t="n">
        <f aca="false">IF(MONTH(((AP$71-(WEEKDAY(AP$71,2)-1))+2*7+2))=MONTH(AP$71),DAY(((AP$71-(WEEKDAY(AP$71,2)-1))+2*7+2)),"")</f>
        <v>12</v>
      </c>
      <c r="W84" s="21" t="n">
        <f aca="false">IF(MONTH(((AP$71-(WEEKDAY(AP$71,2)-1))+3*7+2))=MONTH(AP$71),DAY(((AP$71-(WEEKDAY(AP$71,2)-1))+3*7+2)),"")</f>
        <v>19</v>
      </c>
      <c r="X84" s="21" t="n">
        <f aca="false">IF(MONTH(((AP$71-(WEEKDAY(AP$71,2)-1))+4*7+2))=MONTH(AP$71),DAY(((AP$71-(WEEKDAY(AP$71,2)-1))+4*7+2)),"")</f>
        <v>26</v>
      </c>
      <c r="Y84" s="21" t="str">
        <f aca="false">IF(MONTH(((AP$71-(WEEKDAY(AP$71,2)-1))+5*7+2))=MONTH(AP$71),DAY(((AP$71-(WEEKDAY(AP$71,2)-1))+5*7+2)),"")</f>
        <v/>
      </c>
      <c r="Z84" s="21" t="n">
        <f aca="false">IF(MONTH(((AQ$71-(WEEKDAY(AQ$71,2)-1))+0*7+2))=MONTH(AQ$71),DAY(((AQ$71-(WEEKDAY(AQ$71,2)-1))+0*7+2)),"")</f>
        <v>2</v>
      </c>
      <c r="AA84" s="21" t="n">
        <f aca="false">IF(MONTH(((AQ$71-(WEEKDAY(AQ$71,2)-1))+1*7+2))=MONTH(AQ$71),DAY(((AQ$71-(WEEKDAY(AQ$71,2)-1))+1*7+2)),"")</f>
        <v>9</v>
      </c>
      <c r="AB84" s="21" t="n">
        <f aca="false">IF(MONTH(((AQ$71-(WEEKDAY(AQ$71,2)-1))+2*7+2))=MONTH(AQ$71),DAY(((AQ$71-(WEEKDAY(AQ$71,2)-1))+2*7+2)),"")</f>
        <v>16</v>
      </c>
      <c r="AC84" s="21" t="n">
        <f aca="false">IF(MONTH(((AQ$71-(WEEKDAY(AQ$71,2)-1))+3*7+2))=MONTH(AQ$71),DAY(((AQ$71-(WEEKDAY(AQ$71,2)-1))+3*7+2)),"")</f>
        <v>23</v>
      </c>
      <c r="AD84" s="21" t="n">
        <f aca="false">IF(MONTH(((AQ$71-(WEEKDAY(AQ$71,2)-1))+4*7+2))=MONTH(AQ$71),DAY(((AQ$71-(WEEKDAY(AQ$71,2)-1))+4*7+2)),"")</f>
        <v>30</v>
      </c>
      <c r="AE84" s="21" t="str">
        <f aca="false">IF(MONTH(((AQ$71-(WEEKDAY(AQ$71,2)-1))+5*7+2))=MONTH(AQ$71),DAY(((AQ$71-(WEEKDAY(AQ$71,2)-1))+5*7+2)),"")</f>
        <v/>
      </c>
    </row>
    <row r="85" customFormat="false" ht="15" hidden="false" customHeight="true" outlineLevel="0" collapsed="false">
      <c r="A85" s="20" t="s">
        <v>95</v>
      </c>
      <c r="B85" s="21" t="n">
        <f aca="false">IF(MONTH(((AM$71-(WEEKDAY(AM$71,2)-1))+0*7+3))=MONTH(AM$71),DAY(((AM$71-(WEEKDAY(AM$71,2)-1))+0*7+3)),"")</f>
        <v>4</v>
      </c>
      <c r="C85" s="21" t="n">
        <f aca="false">IF(MONTH(((AM$71-(WEEKDAY(AM$71,2)-1))+1*7+3))=MONTH(AM$71),DAY(((AM$71-(WEEKDAY(AM$71,2)-1))+1*7+3)),"")</f>
        <v>11</v>
      </c>
      <c r="D85" s="21" t="n">
        <f aca="false">IF(MONTH(((AM$71-(WEEKDAY(AM$71,2)-1))+2*7+3))=MONTH(AM$71),DAY(((AM$71-(WEEKDAY(AM$71,2)-1))+2*7+3)),"")</f>
        <v>18</v>
      </c>
      <c r="E85" s="21" t="n">
        <f aca="false">IF(MONTH(((AM$71-(WEEKDAY(AM$71,2)-1))+3*7+3))=MONTH(AM$71),DAY(((AM$71-(WEEKDAY(AM$71,2)-1))+3*7+3)),"")</f>
        <v>25</v>
      </c>
      <c r="F85" s="21" t="str">
        <f aca="false">IF(MONTH(((AM$71-(WEEKDAY(AM$71,2)-1))+4*7+3))=MONTH(AM$71),DAY(((AM$71-(WEEKDAY(AM$71,2)-1))+4*7+3)),"")</f>
        <v/>
      </c>
      <c r="G85" s="21" t="str">
        <f aca="false">IF(MONTH(((AM$71-(WEEKDAY(AM$71,2)-1))+5*7+3))=MONTH(AM$71),DAY(((AM$71-(WEEKDAY(AM$71,2)-1))+5*7+3)),"")</f>
        <v/>
      </c>
      <c r="H85" s="21" t="n">
        <f aca="false">IF(MONTH(((AN$71-(WEEKDAY(AN$71,2)-1))+0*7+3))=MONTH(AN$71),DAY(((AN$71-(WEEKDAY(AN$71,2)-1))+0*7+3)),"")</f>
        <v>4</v>
      </c>
      <c r="I85" s="21" t="n">
        <f aca="false">IF(MONTH(((AN$71-(WEEKDAY(AN$71,2)-1))+1*7+3))=MONTH(AN$71),DAY(((AN$71-(WEEKDAY(AN$71,2)-1))+1*7+3)),"")</f>
        <v>11</v>
      </c>
      <c r="J85" s="21" t="n">
        <f aca="false">IF(MONTH(((AN$71-(WEEKDAY(AN$71,2)-1))+2*7+3))=MONTH(AN$71),DAY(((AN$71-(WEEKDAY(AN$71,2)-1))+2*7+3)),"")</f>
        <v>18</v>
      </c>
      <c r="K85" s="21" t="n">
        <f aca="false">IF(MONTH(((AN$71-(WEEKDAY(AN$71,2)-1))+3*7+3))=MONTH(AN$71),DAY(((AN$71-(WEEKDAY(AN$71,2)-1))+3*7+3)),"")</f>
        <v>25</v>
      </c>
      <c r="L85" s="21" t="str">
        <f aca="false">IF(MONTH(((AN$71-(WEEKDAY(AN$71,2)-1))+4*7+3))=MONTH(AN$71),DAY(((AN$71-(WEEKDAY(AN$71,2)-1))+4*7+3)),"")</f>
        <v/>
      </c>
      <c r="M85" s="21" t="str">
        <f aca="false">IF(MONTH(((AN$71-(WEEKDAY(AN$71,2)-1))+5*7+3))=MONTH(AN$71),DAY(((AN$71-(WEEKDAY(AN$71,2)-1))+5*7+3)),"")</f>
        <v/>
      </c>
      <c r="N85" s="21" t="n">
        <f aca="false">IF(MONTH(((AO$71-(WEEKDAY(AO$71,2)-1))+0*7+3))=MONTH(AO$71),DAY(((AO$71-(WEEKDAY(AO$71,2)-1))+0*7+3)),"")</f>
        <v>1</v>
      </c>
      <c r="O85" s="21" t="n">
        <f aca="false">IF(MONTH(((AO$71-(WEEKDAY(AO$71,2)-1))+1*7+3))=MONTH(AO$71),DAY(((AO$71-(WEEKDAY(AO$71,2)-1))+1*7+3)),"")</f>
        <v>8</v>
      </c>
      <c r="P85" s="21" t="n">
        <f aca="false">IF(MONTH(((AO$71-(WEEKDAY(AO$71,2)-1))+2*7+3))=MONTH(AO$71),DAY(((AO$71-(WEEKDAY(AO$71,2)-1))+2*7+3)),"")</f>
        <v>15</v>
      </c>
      <c r="Q85" s="21" t="n">
        <f aca="false">IF(MONTH(((AO$71-(WEEKDAY(AO$71,2)-1))+3*7+3))=MONTH(AO$71),DAY(((AO$71-(WEEKDAY(AO$71,2)-1))+3*7+3)),"")</f>
        <v>22</v>
      </c>
      <c r="R85" s="21" t="n">
        <f aca="false">IF(MONTH(((AO$71-(WEEKDAY(AO$71,2)-1))+4*7+3))=MONTH(AO$71),DAY(((AO$71-(WEEKDAY(AO$71,2)-1))+4*7+3)),"")</f>
        <v>29</v>
      </c>
      <c r="S85" s="21" t="str">
        <f aca="false">IF(MONTH(((AO$71-(WEEKDAY(AO$71,2)-1))+5*7+3))=MONTH(AO$71),DAY(((AO$71-(WEEKDAY(AO$71,2)-1))+5*7+3)),"")</f>
        <v/>
      </c>
      <c r="T85" s="21" t="str">
        <f aca="false">IF(MONTH(((AP$71-(WEEKDAY(AP$71,2)-1))+0*7+3))=MONTH(AP$71),DAY(((AP$71-(WEEKDAY(AP$71,2)-1))+0*7+3)),"")</f>
        <v/>
      </c>
      <c r="U85" s="21" t="n">
        <f aca="false">IF(MONTH(((AP$71-(WEEKDAY(AP$71,2)-1))+1*7+3))=MONTH(AP$71),DAY(((AP$71-(WEEKDAY(AP$71,2)-1))+1*7+3)),"")</f>
        <v>6</v>
      </c>
      <c r="V85" s="21" t="n">
        <f aca="false">IF(MONTH(((AP$71-(WEEKDAY(AP$71,2)-1))+2*7+3))=MONTH(AP$71),DAY(((AP$71-(WEEKDAY(AP$71,2)-1))+2*7+3)),"")</f>
        <v>13</v>
      </c>
      <c r="W85" s="21" t="n">
        <f aca="false">IF(MONTH(((AP$71-(WEEKDAY(AP$71,2)-1))+3*7+3))=MONTH(AP$71),DAY(((AP$71-(WEEKDAY(AP$71,2)-1))+3*7+3)),"")</f>
        <v>20</v>
      </c>
      <c r="X85" s="21" t="n">
        <f aca="false">IF(MONTH(((AP$71-(WEEKDAY(AP$71,2)-1))+4*7+3))=MONTH(AP$71),DAY(((AP$71-(WEEKDAY(AP$71,2)-1))+4*7+3)),"")</f>
        <v>27</v>
      </c>
      <c r="Y85" s="21" t="str">
        <f aca="false">IF(MONTH(((AP$71-(WEEKDAY(AP$71,2)-1))+5*7+3))=MONTH(AP$71),DAY(((AP$71-(WEEKDAY(AP$71,2)-1))+5*7+3)),"")</f>
        <v/>
      </c>
      <c r="Z85" s="21" t="n">
        <f aca="false">IF(MONTH(((AQ$71-(WEEKDAY(AQ$71,2)-1))+0*7+3))=MONTH(AQ$71),DAY(((AQ$71-(WEEKDAY(AQ$71,2)-1))+0*7+3)),"")</f>
        <v>3</v>
      </c>
      <c r="AA85" s="21" t="n">
        <f aca="false">IF(MONTH(((AQ$71-(WEEKDAY(AQ$71,2)-1))+1*7+3))=MONTH(AQ$71),DAY(((AQ$71-(WEEKDAY(AQ$71,2)-1))+1*7+3)),"")</f>
        <v>10</v>
      </c>
      <c r="AB85" s="21" t="n">
        <f aca="false">IF(MONTH(((AQ$71-(WEEKDAY(AQ$71,2)-1))+2*7+3))=MONTH(AQ$71),DAY(((AQ$71-(WEEKDAY(AQ$71,2)-1))+2*7+3)),"")</f>
        <v>17</v>
      </c>
      <c r="AC85" s="21" t="n">
        <f aca="false">IF(MONTH(((AQ$71-(WEEKDAY(AQ$71,2)-1))+3*7+3))=MONTH(AQ$71),DAY(((AQ$71-(WEEKDAY(AQ$71,2)-1))+3*7+3)),"")</f>
        <v>24</v>
      </c>
      <c r="AD85" s="21" t="str">
        <f aca="false">IF(MONTH(((AQ$71-(WEEKDAY(AQ$71,2)-1))+4*7+3))=MONTH(AQ$71),DAY(((AQ$71-(WEEKDAY(AQ$71,2)-1))+4*7+3)),"")</f>
        <v/>
      </c>
      <c r="AE85" s="21" t="str">
        <f aca="false">IF(MONTH(((AQ$71-(WEEKDAY(AQ$71,2)-1))+5*7+3))=MONTH(AQ$71),DAY(((AQ$71-(WEEKDAY(AQ$71,2)-1))+5*7+3)),"")</f>
        <v/>
      </c>
    </row>
    <row r="86" customFormat="false" ht="15" hidden="false" customHeight="true" outlineLevel="0" collapsed="false">
      <c r="A86" s="20" t="s">
        <v>96</v>
      </c>
      <c r="B86" s="21" t="n">
        <f aca="false">IF(MONTH(((AM$71-(WEEKDAY(AM$71,2)-1))+0*7+4))=MONTH(AM$71),DAY(((AM$71-(WEEKDAY(AM$71,2)-1))+0*7+4)),"")</f>
        <v>5</v>
      </c>
      <c r="C86" s="21" t="n">
        <f aca="false">IF(MONTH(((AM$71-(WEEKDAY(AM$71,2)-1))+1*7+4))=MONTH(AM$71),DAY(((AM$71-(WEEKDAY(AM$71,2)-1))+1*7+4)),"")</f>
        <v>12</v>
      </c>
      <c r="D86" s="21" t="n">
        <f aca="false">IF(MONTH(((AM$71-(WEEKDAY(AM$71,2)-1))+2*7+4))=MONTH(AM$71),DAY(((AM$71-(WEEKDAY(AM$71,2)-1))+2*7+4)),"")</f>
        <v>19</v>
      </c>
      <c r="E86" s="21" t="n">
        <f aca="false">IF(MONTH(((AM$71-(WEEKDAY(AM$71,2)-1))+3*7+4))=MONTH(AM$71),DAY(((AM$71-(WEEKDAY(AM$71,2)-1))+3*7+4)),"")</f>
        <v>26</v>
      </c>
      <c r="F86" s="21" t="str">
        <f aca="false">IF(MONTH(((AM$71-(WEEKDAY(AM$71,2)-1))+4*7+4))=MONTH(AM$71),DAY(((AM$71-(WEEKDAY(AM$71,2)-1))+4*7+4)),"")</f>
        <v/>
      </c>
      <c r="G86" s="21" t="str">
        <f aca="false">IF(MONTH(((AM$71-(WEEKDAY(AM$71,2)-1))+5*7+4))=MONTH(AM$71),DAY(((AM$71-(WEEKDAY(AM$71,2)-1))+5*7+4)),"")</f>
        <v/>
      </c>
      <c r="H86" s="21" t="n">
        <f aca="false">IF(MONTH(((AN$71-(WEEKDAY(AN$71,2)-1))+0*7+4))=MONTH(AN$71),DAY(((AN$71-(WEEKDAY(AN$71,2)-1))+0*7+4)),"")</f>
        <v>5</v>
      </c>
      <c r="I86" s="21" t="n">
        <f aca="false">IF(MONTH(((AN$71-(WEEKDAY(AN$71,2)-1))+1*7+4))=MONTH(AN$71),DAY(((AN$71-(WEEKDAY(AN$71,2)-1))+1*7+4)),"")</f>
        <v>12</v>
      </c>
      <c r="J86" s="21" t="n">
        <f aca="false">IF(MONTH(((AN$71-(WEEKDAY(AN$71,2)-1))+2*7+4))=MONTH(AN$71),DAY(((AN$71-(WEEKDAY(AN$71,2)-1))+2*7+4)),"")</f>
        <v>19</v>
      </c>
      <c r="K86" s="21" t="n">
        <f aca="false">IF(MONTH(((AN$71-(WEEKDAY(AN$71,2)-1))+3*7+4))=MONTH(AN$71),DAY(((AN$71-(WEEKDAY(AN$71,2)-1))+3*7+4)),"")</f>
        <v>26</v>
      </c>
      <c r="L86" s="21" t="str">
        <f aca="false">IF(MONTH(((AN$71-(WEEKDAY(AN$71,2)-1))+4*7+4))=MONTH(AN$71),DAY(((AN$71-(WEEKDAY(AN$71,2)-1))+4*7+4)),"")</f>
        <v/>
      </c>
      <c r="M86" s="21" t="str">
        <f aca="false">IF(MONTH(((AN$71-(WEEKDAY(AN$71,2)-1))+5*7+4))=MONTH(AN$71),DAY(((AN$71-(WEEKDAY(AN$71,2)-1))+5*7+4)),"")</f>
        <v/>
      </c>
      <c r="N86" s="21" t="n">
        <f aca="false">IF(MONTH(((AO$71-(WEEKDAY(AO$71,2)-1))+0*7+4))=MONTH(AO$71),DAY(((AO$71-(WEEKDAY(AO$71,2)-1))+0*7+4)),"")</f>
        <v>2</v>
      </c>
      <c r="O86" s="21" t="n">
        <f aca="false">IF(MONTH(((AO$71-(WEEKDAY(AO$71,2)-1))+1*7+4))=MONTH(AO$71),DAY(((AO$71-(WEEKDAY(AO$71,2)-1))+1*7+4)),"")</f>
        <v>9</v>
      </c>
      <c r="P86" s="21" t="n">
        <f aca="false">IF(MONTH(((AO$71-(WEEKDAY(AO$71,2)-1))+2*7+4))=MONTH(AO$71),DAY(((AO$71-(WEEKDAY(AO$71,2)-1))+2*7+4)),"")</f>
        <v>16</v>
      </c>
      <c r="Q86" s="21" t="n">
        <f aca="false">IF(MONTH(((AO$71-(WEEKDAY(AO$71,2)-1))+3*7+4))=MONTH(AO$71),DAY(((AO$71-(WEEKDAY(AO$71,2)-1))+3*7+4)),"")</f>
        <v>23</v>
      </c>
      <c r="R86" s="21" t="n">
        <f aca="false">IF(MONTH(((AO$71-(WEEKDAY(AO$71,2)-1))+4*7+4))=MONTH(AO$71),DAY(((AO$71-(WEEKDAY(AO$71,2)-1))+4*7+4)),"")</f>
        <v>30</v>
      </c>
      <c r="S86" s="21" t="str">
        <f aca="false">IF(MONTH(((AO$71-(WEEKDAY(AO$71,2)-1))+5*7+4))=MONTH(AO$71),DAY(((AO$71-(WEEKDAY(AO$71,2)-1))+5*7+4)),"")</f>
        <v/>
      </c>
      <c r="T86" s="21" t="str">
        <f aca="false">IF(MONTH(((AP$71-(WEEKDAY(AP$71,2)-1))+0*7+4))=MONTH(AP$71),DAY(((AP$71-(WEEKDAY(AP$71,2)-1))+0*7+4)),"")</f>
        <v/>
      </c>
      <c r="U86" s="21" t="n">
        <f aca="false">IF(MONTH(((AP$71-(WEEKDAY(AP$71,2)-1))+1*7+4))=MONTH(AP$71),DAY(((AP$71-(WEEKDAY(AP$71,2)-1))+1*7+4)),"")</f>
        <v>7</v>
      </c>
      <c r="V86" s="21" t="n">
        <f aca="false">IF(MONTH(((AP$71-(WEEKDAY(AP$71,2)-1))+2*7+4))=MONTH(AP$71),DAY(((AP$71-(WEEKDAY(AP$71,2)-1))+2*7+4)),"")</f>
        <v>14</v>
      </c>
      <c r="W86" s="21" t="n">
        <f aca="false">IF(MONTH(((AP$71-(WEEKDAY(AP$71,2)-1))+3*7+4))=MONTH(AP$71),DAY(((AP$71-(WEEKDAY(AP$71,2)-1))+3*7+4)),"")</f>
        <v>21</v>
      </c>
      <c r="X86" s="21" t="n">
        <f aca="false">IF(MONTH(((AP$71-(WEEKDAY(AP$71,2)-1))+4*7+4))=MONTH(AP$71),DAY(((AP$71-(WEEKDAY(AP$71,2)-1))+4*7+4)),"")</f>
        <v>28</v>
      </c>
      <c r="Y86" s="21" t="str">
        <f aca="false">IF(MONTH(((AP$71-(WEEKDAY(AP$71,2)-1))+5*7+4))=MONTH(AP$71),DAY(((AP$71-(WEEKDAY(AP$71,2)-1))+5*7+4)),"")</f>
        <v/>
      </c>
      <c r="Z86" s="21" t="n">
        <f aca="false">IF(MONTH(((AQ$71-(WEEKDAY(AQ$71,2)-1))+0*7+4))=MONTH(AQ$71),DAY(((AQ$71-(WEEKDAY(AQ$71,2)-1))+0*7+4)),"")</f>
        <v>4</v>
      </c>
      <c r="AA86" s="21" t="n">
        <f aca="false">IF(MONTH(((AQ$71-(WEEKDAY(AQ$71,2)-1))+1*7+4))=MONTH(AQ$71),DAY(((AQ$71-(WEEKDAY(AQ$71,2)-1))+1*7+4)),"")</f>
        <v>11</v>
      </c>
      <c r="AB86" s="21" t="n">
        <f aca="false">IF(MONTH(((AQ$71-(WEEKDAY(AQ$71,2)-1))+2*7+4))=MONTH(AQ$71),DAY(((AQ$71-(WEEKDAY(AQ$71,2)-1))+2*7+4)),"")</f>
        <v>18</v>
      </c>
      <c r="AC86" s="21" t="n">
        <f aca="false">IF(MONTH(((AQ$71-(WEEKDAY(AQ$71,2)-1))+3*7+4))=MONTH(AQ$71),DAY(((AQ$71-(WEEKDAY(AQ$71,2)-1))+3*7+4)),"")</f>
        <v>25</v>
      </c>
      <c r="AD86" s="21" t="str">
        <f aca="false">IF(MONTH(((AQ$71-(WEEKDAY(AQ$71,2)-1))+4*7+4))=MONTH(AQ$71),DAY(((AQ$71-(WEEKDAY(AQ$71,2)-1))+4*7+4)),"")</f>
        <v/>
      </c>
      <c r="AE86" s="21" t="str">
        <f aca="false">IF(MONTH(((AQ$71-(WEEKDAY(AQ$71,2)-1))+5*7+4))=MONTH(AQ$71),DAY(((AQ$71-(WEEKDAY(AQ$71,2)-1))+5*7+4)),"")</f>
        <v/>
      </c>
    </row>
    <row r="87" customFormat="false" ht="15" hidden="false" customHeight="true" outlineLevel="0" collapsed="false">
      <c r="A87" s="20" t="s">
        <v>97</v>
      </c>
      <c r="B87" s="22" t="n">
        <f aca="false">IF(MONTH(((AM$71-(WEEKDAY(AM$71,2)-1))+0*7+5))=MONTH(AM$71),DAY(((AM$71-(WEEKDAY(AM$71,2)-1))+0*7+5)),"")</f>
        <v>6</v>
      </c>
      <c r="C87" s="22" t="n">
        <f aca="false">IF(MONTH(((AM$71-(WEEKDAY(AM$71,2)-1))+1*7+5))=MONTH(AM$71),DAY(((AM$71-(WEEKDAY(AM$71,2)-1))+1*7+5)),"")</f>
        <v>13</v>
      </c>
      <c r="D87" s="22" t="n">
        <f aca="false">IF(MONTH(((AM$71-(WEEKDAY(AM$71,2)-1))+2*7+5))=MONTH(AM$71),DAY(((AM$71-(WEEKDAY(AM$71,2)-1))+2*7+5)),"")</f>
        <v>20</v>
      </c>
      <c r="E87" s="22" t="n">
        <f aca="false">IF(MONTH(((AM$71-(WEEKDAY(AM$71,2)-1))+3*7+5))=MONTH(AM$71),DAY(((AM$71-(WEEKDAY(AM$71,2)-1))+3*7+5)),"")</f>
        <v>27</v>
      </c>
      <c r="F87" s="22" t="str">
        <f aca="false">IF(MONTH(((AM$71-(WEEKDAY(AM$71,2)-1))+4*7+5))=MONTH(AM$71),DAY(((AM$71-(WEEKDAY(AM$71,2)-1))+4*7+5)),"")</f>
        <v/>
      </c>
      <c r="G87" s="22" t="str">
        <f aca="false">IF(MONTH(((AM$71-(WEEKDAY(AM$71,2)-1))+5*7+5))=MONTH(AM$71),DAY(((AM$71-(WEEKDAY(AM$71,2)-1))+5*7+5)),"")</f>
        <v/>
      </c>
      <c r="H87" s="22" t="n">
        <f aca="false">IF(MONTH(((AN$71-(WEEKDAY(AN$71,2)-1))+0*7+5))=MONTH(AN$71),DAY(((AN$71-(WEEKDAY(AN$71,2)-1))+0*7+5)),"")</f>
        <v>6</v>
      </c>
      <c r="I87" s="22" t="n">
        <f aca="false">IF(MONTH(((AN$71-(WEEKDAY(AN$71,2)-1))+1*7+5))=MONTH(AN$71),DAY(((AN$71-(WEEKDAY(AN$71,2)-1))+1*7+5)),"")</f>
        <v>13</v>
      </c>
      <c r="J87" s="22" t="n">
        <f aca="false">IF(MONTH(((AN$71-(WEEKDAY(AN$71,2)-1))+2*7+5))=MONTH(AN$71),DAY(((AN$71-(WEEKDAY(AN$71,2)-1))+2*7+5)),"")</f>
        <v>20</v>
      </c>
      <c r="K87" s="22" t="n">
        <f aca="false">IF(MONTH(((AN$71-(WEEKDAY(AN$71,2)-1))+3*7+5))=MONTH(AN$71),DAY(((AN$71-(WEEKDAY(AN$71,2)-1))+3*7+5)),"")</f>
        <v>27</v>
      </c>
      <c r="L87" s="22" t="str">
        <f aca="false">IF(MONTH(((AN$71-(WEEKDAY(AN$71,2)-1))+4*7+5))=MONTH(AN$71),DAY(((AN$71-(WEEKDAY(AN$71,2)-1))+4*7+5)),"")</f>
        <v/>
      </c>
      <c r="M87" s="22" t="str">
        <f aca="false">IF(MONTH(((AN$71-(WEEKDAY(AN$71,2)-1))+5*7+5))=MONTH(AN$71),DAY(((AN$71-(WEEKDAY(AN$71,2)-1))+5*7+5)),"")</f>
        <v/>
      </c>
      <c r="N87" s="22" t="n">
        <f aca="false">IF(MONTH(((AO$71-(WEEKDAY(AO$71,2)-1))+0*7+5))=MONTH(AO$71),DAY(((AO$71-(WEEKDAY(AO$71,2)-1))+0*7+5)),"")</f>
        <v>3</v>
      </c>
      <c r="O87" s="22" t="n">
        <f aca="false">IF(MONTH(((AO$71-(WEEKDAY(AO$71,2)-1))+1*7+5))=MONTH(AO$71),DAY(((AO$71-(WEEKDAY(AO$71,2)-1))+1*7+5)),"")</f>
        <v>10</v>
      </c>
      <c r="P87" s="22" t="n">
        <f aca="false">IF(MONTH(((AO$71-(WEEKDAY(AO$71,2)-1))+2*7+5))=MONTH(AO$71),DAY(((AO$71-(WEEKDAY(AO$71,2)-1))+2*7+5)),"")</f>
        <v>17</v>
      </c>
      <c r="Q87" s="22" t="n">
        <f aca="false">IF(MONTH(((AO$71-(WEEKDAY(AO$71,2)-1))+3*7+5))=MONTH(AO$71),DAY(((AO$71-(WEEKDAY(AO$71,2)-1))+3*7+5)),"")</f>
        <v>24</v>
      </c>
      <c r="R87" s="22" t="str">
        <f aca="false">IF(MONTH(((AO$71-(WEEKDAY(AO$71,2)-1))+4*7+5))=MONTH(AO$71),DAY(((AO$71-(WEEKDAY(AO$71,2)-1))+4*7+5)),"")</f>
        <v/>
      </c>
      <c r="S87" s="22" t="str">
        <f aca="false">IF(MONTH(((AO$71-(WEEKDAY(AO$71,2)-1))+5*7+5))=MONTH(AO$71),DAY(((AO$71-(WEEKDAY(AO$71,2)-1))+5*7+5)),"")</f>
        <v/>
      </c>
      <c r="T87" s="22" t="n">
        <f aca="false">IF(MONTH(((AP$71-(WEEKDAY(AP$71,2)-1))+0*7+5))=MONTH(AP$71),DAY(((AP$71-(WEEKDAY(AP$71,2)-1))+0*7+5)),"")</f>
        <v>1</v>
      </c>
      <c r="U87" s="22" t="n">
        <f aca="false">IF(MONTH(((AP$71-(WEEKDAY(AP$71,2)-1))+1*7+5))=MONTH(AP$71),DAY(((AP$71-(WEEKDAY(AP$71,2)-1))+1*7+5)),"")</f>
        <v>8</v>
      </c>
      <c r="V87" s="22" t="n">
        <f aca="false">IF(MONTH(((AP$71-(WEEKDAY(AP$71,2)-1))+2*7+5))=MONTH(AP$71),DAY(((AP$71-(WEEKDAY(AP$71,2)-1))+2*7+5)),"")</f>
        <v>15</v>
      </c>
      <c r="W87" s="22" t="n">
        <f aca="false">IF(MONTH(((AP$71-(WEEKDAY(AP$71,2)-1))+3*7+5))=MONTH(AP$71),DAY(((AP$71-(WEEKDAY(AP$71,2)-1))+3*7+5)),"")</f>
        <v>22</v>
      </c>
      <c r="X87" s="22" t="n">
        <f aca="false">IF(MONTH(((AP$71-(WEEKDAY(AP$71,2)-1))+4*7+5))=MONTH(AP$71),DAY(((AP$71-(WEEKDAY(AP$71,2)-1))+4*7+5)),"")</f>
        <v>29</v>
      </c>
      <c r="Y87" s="22" t="str">
        <f aca="false">IF(MONTH(((AP$71-(WEEKDAY(AP$71,2)-1))+5*7+5))=MONTH(AP$71),DAY(((AP$71-(WEEKDAY(AP$71,2)-1))+5*7+5)),"")</f>
        <v/>
      </c>
      <c r="Z87" s="22" t="n">
        <f aca="false">IF(MONTH(((AQ$71-(WEEKDAY(AQ$71,2)-1))+0*7+5))=MONTH(AQ$71),DAY(((AQ$71-(WEEKDAY(AQ$71,2)-1))+0*7+5)),"")</f>
        <v>5</v>
      </c>
      <c r="AA87" s="22" t="n">
        <f aca="false">IF(MONTH(((AQ$71-(WEEKDAY(AQ$71,2)-1))+1*7+5))=MONTH(AQ$71),DAY(((AQ$71-(WEEKDAY(AQ$71,2)-1))+1*7+5)),"")</f>
        <v>12</v>
      </c>
      <c r="AB87" s="22" t="n">
        <f aca="false">IF(MONTH(((AQ$71-(WEEKDAY(AQ$71,2)-1))+2*7+5))=MONTH(AQ$71),DAY(((AQ$71-(WEEKDAY(AQ$71,2)-1))+2*7+5)),"")</f>
        <v>19</v>
      </c>
      <c r="AC87" s="22" t="n">
        <f aca="false">IF(MONTH(((AQ$71-(WEEKDAY(AQ$71,2)-1))+3*7+5))=MONTH(AQ$71),DAY(((AQ$71-(WEEKDAY(AQ$71,2)-1))+3*7+5)),"")</f>
        <v>26</v>
      </c>
      <c r="AD87" s="22" t="str">
        <f aca="false">IF(MONTH(((AQ$71-(WEEKDAY(AQ$71,2)-1))+4*7+5))=MONTH(AQ$71),DAY(((AQ$71-(WEEKDAY(AQ$71,2)-1))+4*7+5)),"")</f>
        <v/>
      </c>
      <c r="AE87" s="22" t="str">
        <f aca="false">IF(MONTH(((AQ$71-(WEEKDAY(AQ$71,2)-1))+5*7+5))=MONTH(AQ$71),DAY(((AQ$71-(WEEKDAY(AQ$71,2)-1))+5*7+5)),"")</f>
        <v/>
      </c>
    </row>
    <row r="88" customFormat="false" ht="15" hidden="false" customHeight="true" outlineLevel="0" collapsed="false">
      <c r="A88" s="20" t="s">
        <v>98</v>
      </c>
      <c r="B88" s="22" t="n">
        <f aca="false">IF(MONTH(((AM$71-(WEEKDAY(AM$71,2)-1))+0*7+6))=MONTH(AM$71),DAY(((AM$71-(WEEKDAY(AM$71,2)-1))+0*7+6)),"")</f>
        <v>7</v>
      </c>
      <c r="C88" s="22" t="n">
        <f aca="false">IF(MONTH(((AM$71-(WEEKDAY(AM$71,2)-1))+1*7+6))=MONTH(AM$71),DAY(((AM$71-(WEEKDAY(AM$71,2)-1))+1*7+6)),"")</f>
        <v>14</v>
      </c>
      <c r="D88" s="22" t="n">
        <f aca="false">IF(MONTH(((AM$71-(WEEKDAY(AM$71,2)-1))+2*7+6))=MONTH(AM$71),DAY(((AM$71-(WEEKDAY(AM$71,2)-1))+2*7+6)),"")</f>
        <v>21</v>
      </c>
      <c r="E88" s="22" t="n">
        <f aca="false">IF(MONTH(((AM$71-(WEEKDAY(AM$71,2)-1))+3*7+6))=MONTH(AM$71),DAY(((AM$71-(WEEKDAY(AM$71,2)-1))+3*7+6)),"")</f>
        <v>28</v>
      </c>
      <c r="F88" s="22" t="str">
        <f aca="false">IF(MONTH(((AM$71-(WEEKDAY(AM$71,2)-1))+4*7+6))=MONTH(AM$71),DAY(((AM$71-(WEEKDAY(AM$71,2)-1))+4*7+6)),"")</f>
        <v/>
      </c>
      <c r="G88" s="22" t="str">
        <f aca="false">IF(MONTH(((AM$71-(WEEKDAY(AM$71,2)-1))+5*7+6))=MONTH(AM$71),DAY(((AM$71-(WEEKDAY(AM$71,2)-1))+5*7+6)),"")</f>
        <v/>
      </c>
      <c r="H88" s="22" t="n">
        <f aca="false">IF(MONTH(((AN$71-(WEEKDAY(AN$71,2)-1))+0*7+6))=MONTH(AN$71),DAY(((AN$71-(WEEKDAY(AN$71,2)-1))+0*7+6)),"")</f>
        <v>7</v>
      </c>
      <c r="I88" s="22" t="n">
        <f aca="false">IF(MONTH(((AN$71-(WEEKDAY(AN$71,2)-1))+1*7+6))=MONTH(AN$71),DAY(((AN$71-(WEEKDAY(AN$71,2)-1))+1*7+6)),"")</f>
        <v>14</v>
      </c>
      <c r="J88" s="22" t="n">
        <f aca="false">IF(MONTH(((AN$71-(WEEKDAY(AN$71,2)-1))+2*7+6))=MONTH(AN$71),DAY(((AN$71-(WEEKDAY(AN$71,2)-1))+2*7+6)),"")</f>
        <v>21</v>
      </c>
      <c r="K88" s="22" t="n">
        <f aca="false">IF(MONTH(((AN$71-(WEEKDAY(AN$71,2)-1))+3*7+6))=MONTH(AN$71),DAY(((AN$71-(WEEKDAY(AN$71,2)-1))+3*7+6)),"")</f>
        <v>28</v>
      </c>
      <c r="L88" s="22" t="str">
        <f aca="false">IF(MONTH(((AN$71-(WEEKDAY(AN$71,2)-1))+4*7+6))=MONTH(AN$71),DAY(((AN$71-(WEEKDAY(AN$71,2)-1))+4*7+6)),"")</f>
        <v/>
      </c>
      <c r="M88" s="22" t="str">
        <f aca="false">IF(MONTH(((AN$71-(WEEKDAY(AN$71,2)-1))+5*7+6))=MONTH(AN$71),DAY(((AN$71-(WEEKDAY(AN$71,2)-1))+5*7+6)),"")</f>
        <v/>
      </c>
      <c r="N88" s="22" t="n">
        <f aca="false">IF(MONTH(((AO$71-(WEEKDAY(AO$71,2)-1))+0*7+6))=MONTH(AO$71),DAY(((AO$71-(WEEKDAY(AO$71,2)-1))+0*7+6)),"")</f>
        <v>4</v>
      </c>
      <c r="O88" s="22" t="n">
        <f aca="false">IF(MONTH(((AO$71-(WEEKDAY(AO$71,2)-1))+1*7+6))=MONTH(AO$71),DAY(((AO$71-(WEEKDAY(AO$71,2)-1))+1*7+6)),"")</f>
        <v>11</v>
      </c>
      <c r="P88" s="22" t="n">
        <f aca="false">IF(MONTH(((AO$71-(WEEKDAY(AO$71,2)-1))+2*7+6))=MONTH(AO$71),DAY(((AO$71-(WEEKDAY(AO$71,2)-1))+2*7+6)),"")</f>
        <v>18</v>
      </c>
      <c r="Q88" s="22" t="n">
        <f aca="false">IF(MONTH(((AO$71-(WEEKDAY(AO$71,2)-1))+3*7+6))=MONTH(AO$71),DAY(((AO$71-(WEEKDAY(AO$71,2)-1))+3*7+6)),"")</f>
        <v>25</v>
      </c>
      <c r="R88" s="22" t="str">
        <f aca="false">IF(MONTH(((AO$71-(WEEKDAY(AO$71,2)-1))+4*7+6))=MONTH(AO$71),DAY(((AO$71-(WEEKDAY(AO$71,2)-1))+4*7+6)),"")</f>
        <v/>
      </c>
      <c r="S88" s="22" t="str">
        <f aca="false">IF(MONTH(((AO$71-(WEEKDAY(AO$71,2)-1))+5*7+6))=MONTH(AO$71),DAY(((AO$71-(WEEKDAY(AO$71,2)-1))+5*7+6)),"")</f>
        <v/>
      </c>
      <c r="T88" s="22" t="n">
        <f aca="false">IF(MONTH(((AP$71-(WEEKDAY(AP$71,2)-1))+0*7+6))=MONTH(AP$71),DAY(((AP$71-(WEEKDAY(AP$71,2)-1))+0*7+6)),"")</f>
        <v>2</v>
      </c>
      <c r="U88" s="22" t="n">
        <f aca="false">IF(MONTH(((AP$71-(WEEKDAY(AP$71,2)-1))+1*7+6))=MONTH(AP$71),DAY(((AP$71-(WEEKDAY(AP$71,2)-1))+1*7+6)),"")</f>
        <v>9</v>
      </c>
      <c r="V88" s="22" t="n">
        <f aca="false">IF(MONTH(((AP$71-(WEEKDAY(AP$71,2)-1))+2*7+6))=MONTH(AP$71),DAY(((AP$71-(WEEKDAY(AP$71,2)-1))+2*7+6)),"")</f>
        <v>16</v>
      </c>
      <c r="W88" s="22" t="n">
        <f aca="false">IF(MONTH(((AP$71-(WEEKDAY(AP$71,2)-1))+3*7+6))=MONTH(AP$71),DAY(((AP$71-(WEEKDAY(AP$71,2)-1))+3*7+6)),"")</f>
        <v>23</v>
      </c>
      <c r="X88" s="22" t="n">
        <f aca="false">IF(MONTH(((AP$71-(WEEKDAY(AP$71,2)-1))+4*7+6))=MONTH(AP$71),DAY(((AP$71-(WEEKDAY(AP$71,2)-1))+4*7+6)),"")</f>
        <v>30</v>
      </c>
      <c r="Y88" s="22" t="str">
        <f aca="false">IF(MONTH(((AP$71-(WEEKDAY(AP$71,2)-1))+5*7+6))=MONTH(AP$71),DAY(((AP$71-(WEEKDAY(AP$71,2)-1))+5*7+6)),"")</f>
        <v/>
      </c>
      <c r="Z88" s="22" t="n">
        <f aca="false">IF(MONTH(((AQ$71-(WEEKDAY(AQ$71,2)-1))+0*7+6))=MONTH(AQ$71),DAY(((AQ$71-(WEEKDAY(AQ$71,2)-1))+0*7+6)),"")</f>
        <v>6</v>
      </c>
      <c r="AA88" s="22" t="n">
        <f aca="false">IF(MONTH(((AQ$71-(WEEKDAY(AQ$71,2)-1))+1*7+6))=MONTH(AQ$71),DAY(((AQ$71-(WEEKDAY(AQ$71,2)-1))+1*7+6)),"")</f>
        <v>13</v>
      </c>
      <c r="AB88" s="22" t="n">
        <f aca="false">IF(MONTH(((AQ$71-(WEEKDAY(AQ$71,2)-1))+2*7+6))=MONTH(AQ$71),DAY(((AQ$71-(WEEKDAY(AQ$71,2)-1))+2*7+6)),"")</f>
        <v>20</v>
      </c>
      <c r="AC88" s="22" t="n">
        <f aca="false">IF(MONTH(((AQ$71-(WEEKDAY(AQ$71,2)-1))+3*7+6))=MONTH(AQ$71),DAY(((AQ$71-(WEEKDAY(AQ$71,2)-1))+3*7+6)),"")</f>
        <v>27</v>
      </c>
      <c r="AD88" s="22" t="str">
        <f aca="false">IF(MONTH(((AQ$71-(WEEKDAY(AQ$71,2)-1))+4*7+6))=MONTH(AQ$71),DAY(((AQ$71-(WEEKDAY(AQ$71,2)-1))+4*7+6)),"")</f>
        <v/>
      </c>
      <c r="AE88" s="22" t="str">
        <f aca="false">IF(MONTH(((AQ$71-(WEEKDAY(AQ$71,2)-1))+5*7+6))=MONTH(AQ$71),DAY(((AQ$71-(WEEKDAY(AQ$71,2)-1))+5*7+6)),"")</f>
        <v/>
      </c>
    </row>
  </sheetData>
  <mergeCells count="14">
    <mergeCell ref="A1:F1"/>
    <mergeCell ref="D5:E5"/>
    <mergeCell ref="A27:E27"/>
    <mergeCell ref="A72:AE72"/>
    <mergeCell ref="B73:G73"/>
    <mergeCell ref="H73:M73"/>
    <mergeCell ref="N73:S73"/>
    <mergeCell ref="T73:Y73"/>
    <mergeCell ref="Z73:AE73"/>
    <mergeCell ref="B81:G81"/>
    <mergeCell ref="H81:M81"/>
    <mergeCell ref="N81:S81"/>
    <mergeCell ref="T81:Y81"/>
    <mergeCell ref="Z81:AE81"/>
  </mergeCells>
  <dataValidations count="1">
    <dataValidation allowBlank="false" errorStyle="stop" operator="between" showDropDown="false" showErrorMessage="false" showInputMessage="false" sqref="E3" type="list">
      <formula1>"2026-2027,2027-2028,2028-2029,2029-2030,2030-2031,2031-2032,2032-2033,2033-2034,2034-2035,2035-2036,2036-2037,2037-2038,2038-2039,2039-2040,2040-2041,2041-2042,2042-2043,2043-2044,2044-2045,2045-2046,2046-2047,2047-2048,2048-2049,2049-2050,2050-2051,2051-"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101</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105</v>
      </c>
      <c r="H5" s="25"/>
      <c r="I5" s="25"/>
      <c r="J5" s="25"/>
      <c r="K5" s="25"/>
      <c r="L5" s="25"/>
      <c r="M5" s="25"/>
      <c r="N5" s="25"/>
      <c r="O5" s="25"/>
      <c r="P5" s="24" t="s">
        <v>106</v>
      </c>
      <c r="Q5" s="24"/>
      <c r="R5" s="24"/>
      <c r="S5" s="24"/>
      <c r="T5" s="24"/>
      <c r="U5" s="25" t="s">
        <v>107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74.25" hidden="false" customHeight="true" outlineLevel="0" collapsed="false">
      <c r="A38" s="29" t="str">
        <f aca="false">TAKVİM!$B$29</f>
        <v>14-18 Eylül</v>
      </c>
      <c r="B38" s="29"/>
      <c r="C38" s="29"/>
      <c r="D38" s="29" t="s">
        <v>119</v>
      </c>
      <c r="E38" s="29"/>
      <c r="F38" s="29"/>
      <c r="G38" s="29"/>
      <c r="H38" s="29"/>
      <c r="I38" s="29"/>
      <c r="J38" s="29"/>
      <c r="K38" s="29"/>
      <c r="L38" s="29" t="s">
        <v>120</v>
      </c>
      <c r="M38" s="29"/>
      <c r="N38" s="29"/>
      <c r="O38" s="29"/>
      <c r="P38" s="29"/>
      <c r="Q38" s="29"/>
      <c r="R38" s="29" t="s">
        <v>121</v>
      </c>
      <c r="S38" s="29"/>
      <c r="T38" s="29"/>
      <c r="U38" s="29"/>
      <c r="V38" s="29"/>
      <c r="W38" s="29" t="s">
        <v>122</v>
      </c>
      <c r="X38" s="29"/>
      <c r="Y38" s="29"/>
      <c r="Z38" s="29"/>
      <c r="AA38" s="29"/>
      <c r="AB38" s="29"/>
      <c r="AC38" s="29"/>
      <c r="AD38" s="29"/>
      <c r="AE38" s="29"/>
    </row>
    <row r="39" customFormat="false" ht="63.75" hidden="false" customHeight="true" outlineLevel="0" collapsed="false">
      <c r="A39" s="29" t="str">
        <f aca="false">TAKVİM!$B$30</f>
        <v>21-25 Eylül</v>
      </c>
      <c r="B39" s="29"/>
      <c r="C39" s="29"/>
      <c r="D39" s="29" t="s">
        <v>123</v>
      </c>
      <c r="E39" s="29"/>
      <c r="F39" s="29"/>
      <c r="G39" s="29"/>
      <c r="H39" s="29"/>
      <c r="I39" s="29"/>
      <c r="J39" s="29"/>
      <c r="K39" s="29"/>
      <c r="L39" s="29" t="s">
        <v>124</v>
      </c>
      <c r="M39" s="29"/>
      <c r="N39" s="29"/>
      <c r="O39" s="29"/>
      <c r="P39" s="29"/>
      <c r="Q39" s="29"/>
      <c r="R39" s="29" t="s">
        <v>121</v>
      </c>
      <c r="S39" s="29"/>
      <c r="T39" s="29"/>
      <c r="U39" s="29"/>
      <c r="V39" s="29"/>
      <c r="W39" s="29" t="s">
        <v>122</v>
      </c>
      <c r="X39" s="29"/>
      <c r="Y39" s="29"/>
      <c r="Z39" s="29"/>
      <c r="AA39" s="29"/>
      <c r="AB39" s="29"/>
      <c r="AC39" s="29"/>
      <c r="AD39" s="29"/>
      <c r="AE39" s="29"/>
    </row>
    <row r="40" customFormat="false" ht="74.25" hidden="false" customHeight="true" outlineLevel="0" collapsed="false">
      <c r="A40" s="29" t="str">
        <f aca="false">TAKVİM!$B$31</f>
        <v>28 Eylül - 02 Ekim</v>
      </c>
      <c r="B40" s="29"/>
      <c r="C40" s="29"/>
      <c r="D40" s="29" t="s">
        <v>125</v>
      </c>
      <c r="E40" s="29"/>
      <c r="F40" s="29"/>
      <c r="G40" s="29"/>
      <c r="H40" s="29"/>
      <c r="I40" s="29"/>
      <c r="J40" s="29"/>
      <c r="K40" s="29"/>
      <c r="L40" s="29" t="s">
        <v>126</v>
      </c>
      <c r="M40" s="29"/>
      <c r="N40" s="29"/>
      <c r="O40" s="29"/>
      <c r="P40" s="29"/>
      <c r="Q40" s="29"/>
      <c r="R40" s="29" t="s">
        <v>121</v>
      </c>
      <c r="S40" s="29"/>
      <c r="T40" s="29"/>
      <c r="U40" s="29"/>
      <c r="V40" s="29"/>
      <c r="W40" s="29" t="s">
        <v>122</v>
      </c>
      <c r="X40" s="29"/>
      <c r="Y40" s="29"/>
      <c r="Z40" s="29"/>
      <c r="AA40" s="29"/>
      <c r="AB40" s="29"/>
      <c r="AC40" s="29"/>
      <c r="AD40" s="29"/>
      <c r="AE40" s="29"/>
    </row>
    <row r="41" customFormat="false" ht="74.25" hidden="false" customHeight="true" outlineLevel="0" collapsed="false">
      <c r="A41" s="29" t="str">
        <f aca="false">TAKVİM!$B$32</f>
        <v>05-09 Ekim</v>
      </c>
      <c r="B41" s="29"/>
      <c r="C41" s="29"/>
      <c r="D41" s="29" t="s">
        <v>125</v>
      </c>
      <c r="E41" s="29"/>
      <c r="F41" s="29"/>
      <c r="G41" s="29"/>
      <c r="H41" s="29"/>
      <c r="I41" s="29"/>
      <c r="J41" s="29"/>
      <c r="K41" s="29"/>
      <c r="L41" s="29" t="s">
        <v>126</v>
      </c>
      <c r="M41" s="29"/>
      <c r="N41" s="29"/>
      <c r="O41" s="29"/>
      <c r="P41" s="29"/>
      <c r="Q41" s="29"/>
      <c r="R41" s="29" t="s">
        <v>121</v>
      </c>
      <c r="S41" s="29"/>
      <c r="T41" s="29"/>
      <c r="U41" s="29"/>
      <c r="V41" s="29"/>
      <c r="W41" s="29" t="s">
        <v>122</v>
      </c>
      <c r="X41" s="29"/>
      <c r="Y41" s="29"/>
      <c r="Z41" s="29"/>
      <c r="AA41" s="29"/>
      <c r="AB41" s="29"/>
      <c r="AC41" s="29"/>
      <c r="AD41" s="29"/>
      <c r="AE41" s="29"/>
    </row>
    <row r="42" customFormat="false" ht="42.75" hidden="false" customHeight="true" outlineLevel="0" collapsed="false">
      <c r="A42" s="29" t="str">
        <f aca="false">TAKVİM!$B$33</f>
        <v>12-16 Ekim</v>
      </c>
      <c r="B42" s="29"/>
      <c r="C42" s="29"/>
      <c r="D42" s="29" t="s">
        <v>127</v>
      </c>
      <c r="E42" s="29"/>
      <c r="F42" s="29"/>
      <c r="G42" s="29"/>
      <c r="H42" s="29"/>
      <c r="I42" s="29"/>
      <c r="J42" s="29"/>
      <c r="K42" s="29"/>
      <c r="L42" s="29" t="s">
        <v>128</v>
      </c>
      <c r="M42" s="29"/>
      <c r="N42" s="29"/>
      <c r="O42" s="29"/>
      <c r="P42" s="29"/>
      <c r="Q42" s="29"/>
      <c r="R42" s="29" t="s">
        <v>121</v>
      </c>
      <c r="S42" s="29"/>
      <c r="T42" s="29"/>
      <c r="U42" s="29"/>
      <c r="V42" s="29"/>
      <c r="W42" s="29" t="s">
        <v>122</v>
      </c>
      <c r="X42" s="29"/>
      <c r="Y42" s="29"/>
      <c r="Z42" s="29"/>
      <c r="AA42" s="29"/>
      <c r="AB42" s="29"/>
      <c r="AC42" s="29"/>
      <c r="AD42" s="29"/>
      <c r="AE42" s="29"/>
    </row>
    <row r="43" customFormat="false" ht="74.25" hidden="false" customHeight="true" outlineLevel="0" collapsed="false">
      <c r="A43" s="29" t="str">
        <f aca="false">TAKVİM!$B$34</f>
        <v>19-23 Ekim</v>
      </c>
      <c r="B43" s="29"/>
      <c r="C43" s="29"/>
      <c r="D43" s="29" t="s">
        <v>129</v>
      </c>
      <c r="E43" s="29"/>
      <c r="F43" s="29"/>
      <c r="G43" s="29"/>
      <c r="H43" s="29"/>
      <c r="I43" s="29"/>
      <c r="J43" s="29"/>
      <c r="K43" s="29"/>
      <c r="L43" s="29" t="s">
        <v>130</v>
      </c>
      <c r="M43" s="29"/>
      <c r="N43" s="29"/>
      <c r="O43" s="29"/>
      <c r="P43" s="29"/>
      <c r="Q43" s="29"/>
      <c r="R43" s="29" t="s">
        <v>121</v>
      </c>
      <c r="S43" s="29"/>
      <c r="T43" s="29"/>
      <c r="U43" s="29"/>
      <c r="V43" s="29"/>
      <c r="W43" s="29" t="s">
        <v>122</v>
      </c>
      <c r="X43" s="29"/>
      <c r="Y43" s="29"/>
      <c r="Z43" s="29"/>
      <c r="AA43" s="29"/>
      <c r="AB43" s="29"/>
      <c r="AC43" s="29"/>
      <c r="AD43" s="29"/>
      <c r="AE43" s="29"/>
    </row>
    <row r="44" customFormat="false" ht="84.75" hidden="false" customHeight="true" outlineLevel="0" collapsed="false">
      <c r="A44" s="29" t="str">
        <f aca="false">TAKVİM!$B$35</f>
        <v>26-30 Ekim</v>
      </c>
      <c r="B44" s="29"/>
      <c r="C44" s="29"/>
      <c r="D44" s="29" t="s">
        <v>131</v>
      </c>
      <c r="E44" s="29"/>
      <c r="F44" s="29"/>
      <c r="G44" s="29"/>
      <c r="H44" s="29"/>
      <c r="I44" s="29"/>
      <c r="J44" s="29"/>
      <c r="K44" s="29"/>
      <c r="L44" s="29" t="s">
        <v>130</v>
      </c>
      <c r="M44" s="29"/>
      <c r="N44" s="29"/>
      <c r="O44" s="29"/>
      <c r="P44" s="29"/>
      <c r="Q44" s="29"/>
      <c r="R44" s="29" t="s">
        <v>121</v>
      </c>
      <c r="S44" s="29"/>
      <c r="T44" s="29"/>
      <c r="U44" s="29"/>
      <c r="V44" s="29"/>
      <c r="W44" s="29" t="s">
        <v>122</v>
      </c>
      <c r="X44" s="29"/>
      <c r="Y44" s="29"/>
      <c r="Z44" s="29"/>
      <c r="AA44" s="29"/>
      <c r="AB44" s="29"/>
      <c r="AC44" s="29"/>
      <c r="AD44" s="29"/>
      <c r="AE44" s="29"/>
    </row>
    <row r="45" customFormat="false" ht="95.25" hidden="false" customHeight="true" outlineLevel="0" collapsed="false">
      <c r="A45" s="29" t="str">
        <f aca="false">TAKVİM!$B$36</f>
        <v>02-06 Kasım</v>
      </c>
      <c r="B45" s="29"/>
      <c r="C45" s="29"/>
      <c r="D45" s="29" t="s">
        <v>132</v>
      </c>
      <c r="E45" s="29"/>
      <c r="F45" s="29"/>
      <c r="G45" s="29"/>
      <c r="H45" s="29"/>
      <c r="I45" s="29"/>
      <c r="J45" s="29"/>
      <c r="K45" s="29"/>
      <c r="L45" s="29" t="s">
        <v>133</v>
      </c>
      <c r="M45" s="29"/>
      <c r="N45" s="29"/>
      <c r="O45" s="29"/>
      <c r="P45" s="29"/>
      <c r="Q45" s="29"/>
      <c r="R45" s="29" t="s">
        <v>121</v>
      </c>
      <c r="S45" s="29"/>
      <c r="T45" s="29"/>
      <c r="U45" s="29"/>
      <c r="V45" s="29"/>
      <c r="W45" s="29" t="s">
        <v>122</v>
      </c>
      <c r="X45" s="29"/>
      <c r="Y45" s="29"/>
      <c r="Z45" s="29"/>
      <c r="AA45" s="29"/>
      <c r="AB45" s="29"/>
      <c r="AC45" s="29"/>
      <c r="AD45" s="29"/>
      <c r="AE45" s="29"/>
    </row>
    <row r="46" customFormat="false" ht="126.75" hidden="false" customHeight="true" outlineLevel="0" collapsed="false">
      <c r="A46" s="29" t="str">
        <f aca="false">TAKVİM!$B$37</f>
        <v>09-13 Kasım</v>
      </c>
      <c r="B46" s="29"/>
      <c r="C46" s="29"/>
      <c r="D46" s="29" t="s">
        <v>134</v>
      </c>
      <c r="E46" s="29"/>
      <c r="F46" s="29"/>
      <c r="G46" s="29"/>
      <c r="H46" s="29"/>
      <c r="I46" s="29"/>
      <c r="J46" s="29"/>
      <c r="K46" s="29"/>
      <c r="L46" s="29" t="s">
        <v>133</v>
      </c>
      <c r="M46" s="29"/>
      <c r="N46" s="29"/>
      <c r="O46" s="29"/>
      <c r="P46" s="29"/>
      <c r="Q46" s="29"/>
      <c r="R46" s="29" t="s">
        <v>121</v>
      </c>
      <c r="S46" s="29"/>
      <c r="T46" s="29"/>
      <c r="U46" s="29"/>
      <c r="V46" s="29"/>
      <c r="W46" s="29" t="s">
        <v>122</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74.25" hidden="false" customHeight="true" outlineLevel="0" collapsed="false">
      <c r="A48" s="29" t="str">
        <f aca="false">TAKVİM!$B$39</f>
        <v>23-27 Kasım</v>
      </c>
      <c r="B48" s="29"/>
      <c r="C48" s="29"/>
      <c r="D48" s="29" t="s">
        <v>135</v>
      </c>
      <c r="E48" s="29"/>
      <c r="F48" s="29"/>
      <c r="G48" s="29"/>
      <c r="H48" s="29"/>
      <c r="I48" s="29"/>
      <c r="J48" s="29"/>
      <c r="K48" s="29"/>
      <c r="L48" s="29" t="s">
        <v>136</v>
      </c>
      <c r="M48" s="29"/>
      <c r="N48" s="29"/>
      <c r="O48" s="29"/>
      <c r="P48" s="29"/>
      <c r="Q48" s="29"/>
      <c r="R48" s="29" t="s">
        <v>121</v>
      </c>
      <c r="S48" s="29"/>
      <c r="T48" s="29"/>
      <c r="U48" s="29"/>
      <c r="V48" s="29"/>
      <c r="W48" s="29" t="s">
        <v>122</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137</v>
      </c>
      <c r="E49" s="29"/>
      <c r="F49" s="29"/>
      <c r="G49" s="29"/>
      <c r="H49" s="29"/>
      <c r="I49" s="29"/>
      <c r="J49" s="29"/>
      <c r="K49" s="29"/>
      <c r="L49" s="29" t="s">
        <v>138</v>
      </c>
      <c r="M49" s="29"/>
      <c r="N49" s="29"/>
      <c r="O49" s="29"/>
      <c r="P49" s="29"/>
      <c r="Q49" s="29"/>
      <c r="R49" s="29" t="s">
        <v>121</v>
      </c>
      <c r="S49" s="29"/>
      <c r="T49" s="29"/>
      <c r="U49" s="29"/>
      <c r="V49" s="29"/>
      <c r="W49" s="29" t="s">
        <v>122</v>
      </c>
      <c r="X49" s="29"/>
      <c r="Y49" s="29"/>
      <c r="Z49" s="29"/>
      <c r="AA49" s="29"/>
      <c r="AB49" s="29"/>
      <c r="AC49" s="29"/>
      <c r="AD49" s="29"/>
      <c r="AE49" s="29"/>
    </row>
    <row r="50" customFormat="false" ht="63.75" hidden="false" customHeight="true" outlineLevel="0" collapsed="false">
      <c r="A50" s="29" t="str">
        <f aca="false">TAKVİM!$B$41</f>
        <v>07-11 Aralık</v>
      </c>
      <c r="B50" s="29"/>
      <c r="C50" s="29"/>
      <c r="D50" s="29" t="s">
        <v>139</v>
      </c>
      <c r="E50" s="29"/>
      <c r="F50" s="29"/>
      <c r="G50" s="29"/>
      <c r="H50" s="29"/>
      <c r="I50" s="29"/>
      <c r="J50" s="29"/>
      <c r="K50" s="29"/>
      <c r="L50" s="29" t="s">
        <v>140</v>
      </c>
      <c r="M50" s="29"/>
      <c r="N50" s="29"/>
      <c r="O50" s="29"/>
      <c r="P50" s="29"/>
      <c r="Q50" s="29"/>
      <c r="R50" s="29" t="s">
        <v>121</v>
      </c>
      <c r="S50" s="29"/>
      <c r="T50" s="29"/>
      <c r="U50" s="29"/>
      <c r="V50" s="29"/>
      <c r="W50" s="29" t="s">
        <v>122</v>
      </c>
      <c r="X50" s="29"/>
      <c r="Y50" s="29"/>
      <c r="Z50" s="29"/>
      <c r="AA50" s="29"/>
      <c r="AB50" s="29"/>
      <c r="AC50" s="29"/>
      <c r="AD50" s="29"/>
      <c r="AE50" s="29"/>
    </row>
    <row r="51" customFormat="false" ht="137.25" hidden="false" customHeight="true" outlineLevel="0" collapsed="false">
      <c r="A51" s="29" t="str">
        <f aca="false">TAKVİM!$B$42</f>
        <v>14-18 Aralık</v>
      </c>
      <c r="B51" s="29"/>
      <c r="C51" s="29"/>
      <c r="D51" s="29" t="s">
        <v>141</v>
      </c>
      <c r="E51" s="29"/>
      <c r="F51" s="29"/>
      <c r="G51" s="29"/>
      <c r="H51" s="29"/>
      <c r="I51" s="29"/>
      <c r="J51" s="29"/>
      <c r="K51" s="29"/>
      <c r="L51" s="29" t="s">
        <v>142</v>
      </c>
      <c r="M51" s="29"/>
      <c r="N51" s="29"/>
      <c r="O51" s="29"/>
      <c r="P51" s="29"/>
      <c r="Q51" s="29"/>
      <c r="R51" s="29" t="s">
        <v>121</v>
      </c>
      <c r="S51" s="29"/>
      <c r="T51" s="29"/>
      <c r="U51" s="29"/>
      <c r="V51" s="29"/>
      <c r="W51" s="29" t="s">
        <v>122</v>
      </c>
      <c r="X51" s="29"/>
      <c r="Y51" s="29"/>
      <c r="Z51" s="29"/>
      <c r="AA51" s="29"/>
      <c r="AB51" s="29"/>
      <c r="AC51" s="29"/>
      <c r="AD51" s="29"/>
      <c r="AE51" s="29"/>
    </row>
    <row r="52" customFormat="false" ht="95.25" hidden="false" customHeight="true" outlineLevel="0" collapsed="false">
      <c r="A52" s="29" t="str">
        <f aca="false">TAKVİM!$B$43</f>
        <v>21-25 Aralık</v>
      </c>
      <c r="B52" s="29"/>
      <c r="C52" s="29"/>
      <c r="D52" s="29" t="s">
        <v>143</v>
      </c>
      <c r="E52" s="29"/>
      <c r="F52" s="29"/>
      <c r="G52" s="29"/>
      <c r="H52" s="29"/>
      <c r="I52" s="29"/>
      <c r="J52" s="29"/>
      <c r="K52" s="29"/>
      <c r="L52" s="29" t="s">
        <v>144</v>
      </c>
      <c r="M52" s="29"/>
      <c r="N52" s="29"/>
      <c r="O52" s="29"/>
      <c r="P52" s="29"/>
      <c r="Q52" s="29"/>
      <c r="R52" s="29" t="s">
        <v>121</v>
      </c>
      <c r="S52" s="29"/>
      <c r="T52" s="29"/>
      <c r="U52" s="29"/>
      <c r="V52" s="29"/>
      <c r="W52" s="29" t="s">
        <v>122</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145</v>
      </c>
      <c r="E53" s="29"/>
      <c r="F53" s="29"/>
      <c r="G53" s="29"/>
      <c r="H53" s="29"/>
      <c r="I53" s="29"/>
      <c r="J53" s="29"/>
      <c r="K53" s="29"/>
      <c r="L53" s="29" t="s">
        <v>144</v>
      </c>
      <c r="M53" s="29"/>
      <c r="N53" s="29"/>
      <c r="O53" s="29"/>
      <c r="P53" s="29"/>
      <c r="Q53" s="29"/>
      <c r="R53" s="29" t="s">
        <v>121</v>
      </c>
      <c r="S53" s="29"/>
      <c r="T53" s="29"/>
      <c r="U53" s="29"/>
      <c r="V53" s="29"/>
      <c r="W53" s="29" t="s">
        <v>122</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146</v>
      </c>
      <c r="E54" s="29"/>
      <c r="F54" s="29"/>
      <c r="G54" s="29"/>
      <c r="H54" s="29"/>
      <c r="I54" s="29"/>
      <c r="J54" s="29"/>
      <c r="K54" s="29"/>
      <c r="L54" s="29" t="s">
        <v>147</v>
      </c>
      <c r="M54" s="29"/>
      <c r="N54" s="29"/>
      <c r="O54" s="29"/>
      <c r="P54" s="29"/>
      <c r="Q54" s="29"/>
      <c r="R54" s="29" t="s">
        <v>121</v>
      </c>
      <c r="S54" s="29"/>
      <c r="T54" s="29"/>
      <c r="U54" s="29"/>
      <c r="V54" s="29"/>
      <c r="W54" s="29" t="s">
        <v>122</v>
      </c>
      <c r="X54" s="29"/>
      <c r="Y54" s="29"/>
      <c r="Z54" s="29"/>
      <c r="AA54" s="29"/>
      <c r="AB54" s="29"/>
      <c r="AC54" s="29"/>
      <c r="AD54" s="29"/>
      <c r="AE54" s="29"/>
    </row>
    <row r="55" customFormat="false" ht="95.25" hidden="false" customHeight="true" outlineLevel="0" collapsed="false">
      <c r="A55" s="29" t="str">
        <f aca="false">TAKVİM!$B$46</f>
        <v>11-15 Ocak</v>
      </c>
      <c r="B55" s="29"/>
      <c r="C55" s="29"/>
      <c r="D55" s="29" t="s">
        <v>148</v>
      </c>
      <c r="E55" s="29"/>
      <c r="F55" s="29"/>
      <c r="G55" s="29"/>
      <c r="H55" s="29"/>
      <c r="I55" s="29"/>
      <c r="J55" s="29"/>
      <c r="K55" s="29"/>
      <c r="L55" s="29" t="s">
        <v>149</v>
      </c>
      <c r="M55" s="29"/>
      <c r="N55" s="29"/>
      <c r="O55" s="29"/>
      <c r="P55" s="29"/>
      <c r="Q55" s="29"/>
      <c r="R55" s="29" t="s">
        <v>121</v>
      </c>
      <c r="S55" s="29"/>
      <c r="T55" s="29"/>
      <c r="U55" s="29"/>
      <c r="V55" s="29"/>
      <c r="W55" s="29" t="s">
        <v>122</v>
      </c>
      <c r="X55" s="29"/>
      <c r="Y55" s="29"/>
      <c r="Z55" s="29"/>
      <c r="AA55" s="29"/>
      <c r="AB55" s="29"/>
      <c r="AC55" s="29"/>
      <c r="AD55" s="29"/>
      <c r="AE55" s="29"/>
    </row>
    <row r="56" customFormat="false" ht="74.25" hidden="false" customHeight="true" outlineLevel="0" collapsed="false">
      <c r="A56" s="29" t="str">
        <f aca="false">TAKVİM!$B$47</f>
        <v>18-22 Ocak</v>
      </c>
      <c r="B56" s="29"/>
      <c r="C56" s="29"/>
      <c r="D56" s="29" t="s">
        <v>150</v>
      </c>
      <c r="E56" s="29"/>
      <c r="F56" s="29"/>
      <c r="G56" s="29"/>
      <c r="H56" s="29"/>
      <c r="I56" s="29"/>
      <c r="J56" s="29"/>
      <c r="K56" s="29"/>
      <c r="L56" s="29" t="s">
        <v>151</v>
      </c>
      <c r="M56" s="29"/>
      <c r="N56" s="29"/>
      <c r="O56" s="29"/>
      <c r="P56" s="29"/>
      <c r="Q56" s="29"/>
      <c r="R56" s="29" t="s">
        <v>121</v>
      </c>
      <c r="S56" s="29"/>
      <c r="T56" s="29"/>
      <c r="U56" s="29"/>
      <c r="V56" s="29"/>
      <c r="W56" s="29" t="s">
        <v>122</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152</v>
      </c>
      <c r="E58" s="29"/>
      <c r="F58" s="29"/>
      <c r="G58" s="29"/>
      <c r="H58" s="29"/>
      <c r="I58" s="29"/>
      <c r="J58" s="29"/>
      <c r="K58" s="29"/>
      <c r="L58" s="29" t="s">
        <v>153</v>
      </c>
      <c r="M58" s="29"/>
      <c r="N58" s="29"/>
      <c r="O58" s="29"/>
      <c r="P58" s="29"/>
      <c r="Q58" s="29"/>
      <c r="R58" s="29" t="s">
        <v>121</v>
      </c>
      <c r="S58" s="29"/>
      <c r="T58" s="29"/>
      <c r="U58" s="29"/>
      <c r="V58" s="29"/>
      <c r="W58" s="29" t="s">
        <v>122</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152</v>
      </c>
      <c r="E59" s="29"/>
      <c r="F59" s="29"/>
      <c r="G59" s="29"/>
      <c r="H59" s="29"/>
      <c r="I59" s="29"/>
      <c r="J59" s="29"/>
      <c r="K59" s="29"/>
      <c r="L59" s="29" t="s">
        <v>154</v>
      </c>
      <c r="M59" s="29"/>
      <c r="N59" s="29"/>
      <c r="O59" s="29"/>
      <c r="P59" s="29"/>
      <c r="Q59" s="29"/>
      <c r="R59" s="29" t="s">
        <v>121</v>
      </c>
      <c r="S59" s="29"/>
      <c r="T59" s="29"/>
      <c r="U59" s="29"/>
      <c r="V59" s="29"/>
      <c r="W59" s="29" t="s">
        <v>122</v>
      </c>
      <c r="X59" s="29"/>
      <c r="Y59" s="29"/>
      <c r="Z59" s="29"/>
      <c r="AA59" s="29"/>
      <c r="AB59" s="29"/>
      <c r="AC59" s="29"/>
      <c r="AD59" s="29"/>
      <c r="AE59" s="29"/>
    </row>
    <row r="60" customFormat="false" ht="74.25" hidden="false" customHeight="true" outlineLevel="0" collapsed="false">
      <c r="A60" s="29" t="str">
        <f aca="false">TAKVİM!$B$51</f>
        <v>22-26 Şubat</v>
      </c>
      <c r="B60" s="29"/>
      <c r="C60" s="29"/>
      <c r="D60" s="29" t="s">
        <v>155</v>
      </c>
      <c r="E60" s="29"/>
      <c r="F60" s="29"/>
      <c r="G60" s="29"/>
      <c r="H60" s="29"/>
      <c r="I60" s="29"/>
      <c r="J60" s="29"/>
      <c r="K60" s="29"/>
      <c r="L60" s="29" t="s">
        <v>156</v>
      </c>
      <c r="M60" s="29"/>
      <c r="N60" s="29"/>
      <c r="O60" s="29"/>
      <c r="P60" s="29"/>
      <c r="Q60" s="29"/>
      <c r="R60" s="29" t="s">
        <v>121</v>
      </c>
      <c r="S60" s="29"/>
      <c r="T60" s="29"/>
      <c r="U60" s="29"/>
      <c r="V60" s="29"/>
      <c r="W60" s="29" t="s">
        <v>122</v>
      </c>
      <c r="X60" s="29"/>
      <c r="Y60" s="29"/>
      <c r="Z60" s="29"/>
      <c r="AA60" s="29"/>
      <c r="AB60" s="29"/>
      <c r="AC60" s="29"/>
      <c r="AD60" s="29"/>
      <c r="AE60" s="29"/>
    </row>
    <row r="61" customFormat="false" ht="74.25" hidden="false" customHeight="true" outlineLevel="0" collapsed="false">
      <c r="A61" s="29" t="str">
        <f aca="false">TAKVİM!$B$52</f>
        <v>01-05 Mart</v>
      </c>
      <c r="B61" s="29"/>
      <c r="C61" s="29"/>
      <c r="D61" s="29" t="s">
        <v>155</v>
      </c>
      <c r="E61" s="29"/>
      <c r="F61" s="29"/>
      <c r="G61" s="29"/>
      <c r="H61" s="29"/>
      <c r="I61" s="29"/>
      <c r="J61" s="29"/>
      <c r="K61" s="29"/>
      <c r="L61" s="29" t="s">
        <v>156</v>
      </c>
      <c r="M61" s="29"/>
      <c r="N61" s="29"/>
      <c r="O61" s="29"/>
      <c r="P61" s="29"/>
      <c r="Q61" s="29"/>
      <c r="R61" s="29" t="s">
        <v>121</v>
      </c>
      <c r="S61" s="29"/>
      <c r="T61" s="29"/>
      <c r="U61" s="29"/>
      <c r="V61" s="29"/>
      <c r="W61" s="29" t="s">
        <v>122</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105.75" hidden="false" customHeight="true" outlineLevel="0" collapsed="false">
      <c r="A63" s="29" t="str">
        <f aca="false">TAKVİM!$B$54</f>
        <v>15-19 Mart</v>
      </c>
      <c r="B63" s="29"/>
      <c r="C63" s="29"/>
      <c r="D63" s="29" t="s">
        <v>157</v>
      </c>
      <c r="E63" s="29"/>
      <c r="F63" s="29"/>
      <c r="G63" s="29"/>
      <c r="H63" s="29"/>
      <c r="I63" s="29"/>
      <c r="J63" s="29"/>
      <c r="K63" s="29"/>
      <c r="L63" s="29" t="s">
        <v>158</v>
      </c>
      <c r="M63" s="29"/>
      <c r="N63" s="29"/>
      <c r="O63" s="29"/>
      <c r="P63" s="29"/>
      <c r="Q63" s="29"/>
      <c r="R63" s="29" t="s">
        <v>121</v>
      </c>
      <c r="S63" s="29"/>
      <c r="T63" s="29"/>
      <c r="U63" s="29"/>
      <c r="V63" s="29"/>
      <c r="W63" s="29" t="s">
        <v>122</v>
      </c>
      <c r="X63" s="29"/>
      <c r="Y63" s="29"/>
      <c r="Z63" s="29"/>
      <c r="AA63" s="29"/>
      <c r="AB63" s="29"/>
      <c r="AC63" s="29"/>
      <c r="AD63" s="29"/>
      <c r="AE63" s="29"/>
    </row>
    <row r="64" customFormat="false" ht="74.25" hidden="false" customHeight="true" outlineLevel="0" collapsed="false">
      <c r="A64" s="29" t="str">
        <f aca="false">TAKVİM!$B$55</f>
        <v>22-26 Mart</v>
      </c>
      <c r="B64" s="29"/>
      <c r="C64" s="29"/>
      <c r="D64" s="29" t="s">
        <v>159</v>
      </c>
      <c r="E64" s="29"/>
      <c r="F64" s="29"/>
      <c r="G64" s="29"/>
      <c r="H64" s="29"/>
      <c r="I64" s="29"/>
      <c r="J64" s="29"/>
      <c r="K64" s="29"/>
      <c r="L64" s="29" t="s">
        <v>158</v>
      </c>
      <c r="M64" s="29"/>
      <c r="N64" s="29"/>
      <c r="O64" s="29"/>
      <c r="P64" s="29"/>
      <c r="Q64" s="29"/>
      <c r="R64" s="29" t="s">
        <v>121</v>
      </c>
      <c r="S64" s="29"/>
      <c r="T64" s="29"/>
      <c r="U64" s="29"/>
      <c r="V64" s="29"/>
      <c r="W64" s="29" t="s">
        <v>122</v>
      </c>
      <c r="X64" s="29"/>
      <c r="Y64" s="29"/>
      <c r="Z64" s="29"/>
      <c r="AA64" s="29"/>
      <c r="AB64" s="29"/>
      <c r="AC64" s="29"/>
      <c r="AD64" s="29"/>
      <c r="AE64" s="29"/>
    </row>
    <row r="65" customFormat="false" ht="84.75" hidden="false" customHeight="true" outlineLevel="0" collapsed="false">
      <c r="A65" s="29" t="str">
        <f aca="false">TAKVİM!$B$56</f>
        <v>29 Mart - 02 Nisan</v>
      </c>
      <c r="B65" s="29"/>
      <c r="C65" s="29"/>
      <c r="D65" s="29" t="s">
        <v>160</v>
      </c>
      <c r="E65" s="29"/>
      <c r="F65" s="29"/>
      <c r="G65" s="29"/>
      <c r="H65" s="29"/>
      <c r="I65" s="29"/>
      <c r="J65" s="29"/>
      <c r="K65" s="29"/>
      <c r="L65" s="29" t="s">
        <v>161</v>
      </c>
      <c r="M65" s="29"/>
      <c r="N65" s="29"/>
      <c r="O65" s="29"/>
      <c r="P65" s="29"/>
      <c r="Q65" s="29"/>
      <c r="R65" s="29" t="s">
        <v>121</v>
      </c>
      <c r="S65" s="29"/>
      <c r="T65" s="29"/>
      <c r="U65" s="29"/>
      <c r="V65" s="29"/>
      <c r="W65" s="29" t="s">
        <v>122</v>
      </c>
      <c r="X65" s="29"/>
      <c r="Y65" s="29"/>
      <c r="Z65" s="29"/>
      <c r="AA65" s="29"/>
      <c r="AB65" s="29"/>
      <c r="AC65" s="29"/>
      <c r="AD65" s="29"/>
      <c r="AE65" s="29"/>
    </row>
    <row r="66" customFormat="false" ht="105.75" hidden="false" customHeight="true" outlineLevel="0" collapsed="false">
      <c r="A66" s="29" t="str">
        <f aca="false">TAKVİM!$B$57</f>
        <v>05-09 Nisan</v>
      </c>
      <c r="B66" s="29"/>
      <c r="C66" s="29"/>
      <c r="D66" s="29" t="s">
        <v>162</v>
      </c>
      <c r="E66" s="29"/>
      <c r="F66" s="29"/>
      <c r="G66" s="29"/>
      <c r="H66" s="29"/>
      <c r="I66" s="29"/>
      <c r="J66" s="29"/>
      <c r="K66" s="29"/>
      <c r="L66" s="29" t="s">
        <v>161</v>
      </c>
      <c r="M66" s="29"/>
      <c r="N66" s="29"/>
      <c r="O66" s="29"/>
      <c r="P66" s="29"/>
      <c r="Q66" s="29"/>
      <c r="R66" s="29" t="s">
        <v>121</v>
      </c>
      <c r="S66" s="29"/>
      <c r="T66" s="29"/>
      <c r="U66" s="29"/>
      <c r="V66" s="29"/>
      <c r="W66" s="29" t="s">
        <v>122</v>
      </c>
      <c r="X66" s="29"/>
      <c r="Y66" s="29"/>
      <c r="Z66" s="29"/>
      <c r="AA66" s="29"/>
      <c r="AB66" s="29"/>
      <c r="AC66" s="29"/>
      <c r="AD66" s="29"/>
      <c r="AE66" s="29"/>
    </row>
    <row r="67" customFormat="false" ht="95.25" hidden="false" customHeight="true" outlineLevel="0" collapsed="false">
      <c r="A67" s="29" t="str">
        <f aca="false">TAKVİM!$B$58</f>
        <v>12-16 Nisan</v>
      </c>
      <c r="B67" s="29"/>
      <c r="C67" s="29"/>
      <c r="D67" s="29" t="s">
        <v>163</v>
      </c>
      <c r="E67" s="29"/>
      <c r="F67" s="29"/>
      <c r="G67" s="29"/>
      <c r="H67" s="29"/>
      <c r="I67" s="29"/>
      <c r="J67" s="29"/>
      <c r="K67" s="29"/>
      <c r="L67" s="29" t="s">
        <v>161</v>
      </c>
      <c r="M67" s="29"/>
      <c r="N67" s="29"/>
      <c r="O67" s="29"/>
      <c r="P67" s="29"/>
      <c r="Q67" s="29"/>
      <c r="R67" s="29" t="s">
        <v>121</v>
      </c>
      <c r="S67" s="29"/>
      <c r="T67" s="29"/>
      <c r="U67" s="29"/>
      <c r="V67" s="29"/>
      <c r="W67" s="29" t="s">
        <v>122</v>
      </c>
      <c r="X67" s="29"/>
      <c r="Y67" s="29"/>
      <c r="Z67" s="29"/>
      <c r="AA67" s="29"/>
      <c r="AB67" s="29"/>
      <c r="AC67" s="29"/>
      <c r="AD67" s="29"/>
      <c r="AE67" s="29"/>
    </row>
    <row r="68" customFormat="false" ht="74.25" hidden="false" customHeight="true" outlineLevel="0" collapsed="false">
      <c r="A68" s="29" t="str">
        <f aca="false">TAKVİM!$B$59</f>
        <v>19-23 Nisan</v>
      </c>
      <c r="B68" s="29"/>
      <c r="C68" s="29"/>
      <c r="D68" s="29" t="s">
        <v>164</v>
      </c>
      <c r="E68" s="29"/>
      <c r="F68" s="29"/>
      <c r="G68" s="29"/>
      <c r="H68" s="29"/>
      <c r="I68" s="29"/>
      <c r="J68" s="29"/>
      <c r="K68" s="29"/>
      <c r="L68" s="29" t="s">
        <v>161</v>
      </c>
      <c r="M68" s="29"/>
      <c r="N68" s="29"/>
      <c r="O68" s="29"/>
      <c r="P68" s="29"/>
      <c r="Q68" s="29"/>
      <c r="R68" s="29" t="s">
        <v>121</v>
      </c>
      <c r="S68" s="29"/>
      <c r="T68" s="29"/>
      <c r="U68" s="29"/>
      <c r="V68" s="29"/>
      <c r="W68" s="29" t="s">
        <v>122</v>
      </c>
      <c r="X68" s="29"/>
      <c r="Y68" s="29"/>
      <c r="Z68" s="29"/>
      <c r="AA68" s="29"/>
      <c r="AB68" s="29"/>
      <c r="AC68" s="29"/>
      <c r="AD68" s="29"/>
      <c r="AE68" s="29"/>
    </row>
    <row r="69" customFormat="false" ht="74.25" hidden="false" customHeight="true" outlineLevel="0" collapsed="false">
      <c r="A69" s="29" t="str">
        <f aca="false">TAKVİM!$B$60</f>
        <v>26-30 Nisan</v>
      </c>
      <c r="B69" s="29"/>
      <c r="C69" s="29"/>
      <c r="D69" s="29" t="s">
        <v>165</v>
      </c>
      <c r="E69" s="29"/>
      <c r="F69" s="29"/>
      <c r="G69" s="29"/>
      <c r="H69" s="29"/>
      <c r="I69" s="29"/>
      <c r="J69" s="29"/>
      <c r="K69" s="29"/>
      <c r="L69" s="29" t="s">
        <v>166</v>
      </c>
      <c r="M69" s="29"/>
      <c r="N69" s="29"/>
      <c r="O69" s="29"/>
      <c r="P69" s="29"/>
      <c r="Q69" s="29"/>
      <c r="R69" s="29" t="s">
        <v>121</v>
      </c>
      <c r="S69" s="29"/>
      <c r="T69" s="29"/>
      <c r="U69" s="29"/>
      <c r="V69" s="29"/>
      <c r="W69" s="29" t="s">
        <v>122</v>
      </c>
      <c r="X69" s="29"/>
      <c r="Y69" s="29"/>
      <c r="Z69" s="29"/>
      <c r="AA69" s="29"/>
      <c r="AB69" s="29"/>
      <c r="AC69" s="29"/>
      <c r="AD69" s="29"/>
      <c r="AE69" s="29"/>
    </row>
    <row r="70" customFormat="false" ht="95.25" hidden="false" customHeight="true" outlineLevel="0" collapsed="false">
      <c r="A70" s="29" t="str">
        <f aca="false">TAKVİM!$B$61</f>
        <v>03-07 Mayıs</v>
      </c>
      <c r="B70" s="29"/>
      <c r="C70" s="29"/>
      <c r="D70" s="29" t="s">
        <v>167</v>
      </c>
      <c r="E70" s="29"/>
      <c r="F70" s="29"/>
      <c r="G70" s="29"/>
      <c r="H70" s="29"/>
      <c r="I70" s="29"/>
      <c r="J70" s="29"/>
      <c r="K70" s="29"/>
      <c r="L70" s="29" t="s">
        <v>168</v>
      </c>
      <c r="M70" s="29"/>
      <c r="N70" s="29"/>
      <c r="O70" s="29"/>
      <c r="P70" s="29"/>
      <c r="Q70" s="29"/>
      <c r="R70" s="29" t="s">
        <v>121</v>
      </c>
      <c r="S70" s="29"/>
      <c r="T70" s="29"/>
      <c r="U70" s="29"/>
      <c r="V70" s="29"/>
      <c r="W70" s="29" t="s">
        <v>122</v>
      </c>
      <c r="X70" s="29"/>
      <c r="Y70" s="29"/>
      <c r="Z70" s="29"/>
      <c r="AA70" s="29"/>
      <c r="AB70" s="29"/>
      <c r="AC70" s="29"/>
      <c r="AD70" s="29"/>
      <c r="AE70" s="29"/>
    </row>
    <row r="71" customFormat="false" ht="147.75" hidden="false" customHeight="true" outlineLevel="0" collapsed="false">
      <c r="A71" s="29" t="str">
        <f aca="false">TAKVİM!$B$62</f>
        <v>10-14 Mayıs</v>
      </c>
      <c r="B71" s="29"/>
      <c r="C71" s="29"/>
      <c r="D71" s="29" t="s">
        <v>169</v>
      </c>
      <c r="E71" s="29"/>
      <c r="F71" s="29"/>
      <c r="G71" s="29"/>
      <c r="H71" s="29"/>
      <c r="I71" s="29"/>
      <c r="J71" s="29"/>
      <c r="K71" s="29"/>
      <c r="L71" s="29" t="s">
        <v>170</v>
      </c>
      <c r="M71" s="29"/>
      <c r="N71" s="29"/>
      <c r="O71" s="29"/>
      <c r="P71" s="29"/>
      <c r="Q71" s="29"/>
      <c r="R71" s="29" t="s">
        <v>121</v>
      </c>
      <c r="S71" s="29"/>
      <c r="T71" s="29"/>
      <c r="U71" s="29"/>
      <c r="V71" s="29"/>
      <c r="W71" s="29" t="s">
        <v>122</v>
      </c>
      <c r="X71" s="29"/>
      <c r="Y71" s="29"/>
      <c r="Z71" s="29"/>
      <c r="AA71" s="29"/>
      <c r="AB71" s="29"/>
      <c r="AC71" s="29"/>
      <c r="AD71" s="29"/>
      <c r="AE71" s="29"/>
    </row>
    <row r="72" customFormat="false" ht="74.25" hidden="false" customHeight="true" outlineLevel="0" collapsed="false">
      <c r="A72" s="29" t="str">
        <f aca="false">TAKVİM!$B$63</f>
        <v>17-21 Mayıs</v>
      </c>
      <c r="B72" s="29"/>
      <c r="C72" s="29"/>
      <c r="D72" s="29" t="s">
        <v>171</v>
      </c>
      <c r="E72" s="29"/>
      <c r="F72" s="29"/>
      <c r="G72" s="29"/>
      <c r="H72" s="29"/>
      <c r="I72" s="29"/>
      <c r="J72" s="29"/>
      <c r="K72" s="29"/>
      <c r="L72" s="29" t="s">
        <v>170</v>
      </c>
      <c r="M72" s="29"/>
      <c r="N72" s="29"/>
      <c r="O72" s="29"/>
      <c r="P72" s="29"/>
      <c r="Q72" s="29"/>
      <c r="R72" s="29" t="s">
        <v>121</v>
      </c>
      <c r="S72" s="29"/>
      <c r="T72" s="29"/>
      <c r="U72" s="29"/>
      <c r="V72" s="29"/>
      <c r="W72" s="29" t="s">
        <v>122</v>
      </c>
      <c r="X72" s="29"/>
      <c r="Y72" s="29"/>
      <c r="Z72" s="29"/>
      <c r="AA72" s="29"/>
      <c r="AB72" s="29"/>
      <c r="AC72" s="29"/>
      <c r="AD72" s="29"/>
      <c r="AE72" s="29"/>
    </row>
    <row r="73" customFormat="false" ht="116.25" hidden="false" customHeight="true" outlineLevel="0" collapsed="false">
      <c r="A73" s="29" t="str">
        <f aca="false">TAKVİM!$B$64</f>
        <v>24-28 Mayıs</v>
      </c>
      <c r="B73" s="29"/>
      <c r="C73" s="29"/>
      <c r="D73" s="29" t="s">
        <v>172</v>
      </c>
      <c r="E73" s="29"/>
      <c r="F73" s="29"/>
      <c r="G73" s="29"/>
      <c r="H73" s="29"/>
      <c r="I73" s="29"/>
      <c r="J73" s="29"/>
      <c r="K73" s="29"/>
      <c r="L73" s="29" t="s">
        <v>158</v>
      </c>
      <c r="M73" s="29"/>
      <c r="N73" s="29"/>
      <c r="O73" s="29"/>
      <c r="P73" s="29"/>
      <c r="Q73" s="29"/>
      <c r="R73" s="29" t="s">
        <v>121</v>
      </c>
      <c r="S73" s="29"/>
      <c r="T73" s="29"/>
      <c r="U73" s="29"/>
      <c r="V73" s="29"/>
      <c r="W73" s="29" t="s">
        <v>122</v>
      </c>
      <c r="X73" s="29"/>
      <c r="Y73" s="29"/>
      <c r="Z73" s="29"/>
      <c r="AA73" s="29"/>
      <c r="AB73" s="29"/>
      <c r="AC73" s="29"/>
      <c r="AD73" s="29"/>
      <c r="AE73" s="29"/>
    </row>
    <row r="74" customFormat="false" ht="137.25" hidden="false" customHeight="true" outlineLevel="0" collapsed="false">
      <c r="A74" s="29" t="str">
        <f aca="false">TAKVİM!$B$65</f>
        <v>31 Mayıs - 04 Haziran</v>
      </c>
      <c r="B74" s="29"/>
      <c r="C74" s="29"/>
      <c r="D74" s="29" t="s">
        <v>173</v>
      </c>
      <c r="E74" s="29"/>
      <c r="F74" s="29"/>
      <c r="G74" s="29"/>
      <c r="H74" s="29"/>
      <c r="I74" s="29"/>
      <c r="J74" s="29"/>
      <c r="K74" s="29"/>
      <c r="L74" s="29" t="s">
        <v>158</v>
      </c>
      <c r="M74" s="29"/>
      <c r="N74" s="29"/>
      <c r="O74" s="29"/>
      <c r="P74" s="29"/>
      <c r="Q74" s="29"/>
      <c r="R74" s="29" t="s">
        <v>121</v>
      </c>
      <c r="S74" s="29"/>
      <c r="T74" s="29"/>
      <c r="U74" s="29"/>
      <c r="V74" s="29"/>
      <c r="W74" s="29" t="s">
        <v>122</v>
      </c>
      <c r="X74" s="29"/>
      <c r="Y74" s="29"/>
      <c r="Z74" s="29"/>
      <c r="AA74" s="29"/>
      <c r="AB74" s="29"/>
      <c r="AC74" s="29"/>
      <c r="AD74" s="29"/>
      <c r="AE74" s="29"/>
    </row>
    <row r="75" customFormat="false" ht="157.5" hidden="false" customHeight="true" outlineLevel="0" collapsed="false">
      <c r="A75" s="29" t="str">
        <f aca="false">TAKVİM!$B$66</f>
        <v>07-11 Haziran</v>
      </c>
      <c r="B75" s="29"/>
      <c r="C75" s="29"/>
      <c r="D75" s="29" t="s">
        <v>174</v>
      </c>
      <c r="E75" s="29"/>
      <c r="F75" s="29"/>
      <c r="G75" s="29"/>
      <c r="H75" s="29"/>
      <c r="I75" s="29"/>
      <c r="J75" s="29"/>
      <c r="K75" s="29"/>
      <c r="L75" s="29" t="s">
        <v>175</v>
      </c>
      <c r="M75" s="29"/>
      <c r="N75" s="29"/>
      <c r="O75" s="29"/>
      <c r="P75" s="29"/>
      <c r="Q75" s="29"/>
      <c r="R75" s="29" t="s">
        <v>121</v>
      </c>
      <c r="S75" s="29"/>
      <c r="T75" s="29"/>
      <c r="U75" s="29"/>
      <c r="V75" s="29"/>
      <c r="W75" s="29" t="s">
        <v>122</v>
      </c>
      <c r="X75" s="29"/>
      <c r="Y75" s="29"/>
      <c r="Z75" s="29"/>
      <c r="AA75" s="29"/>
      <c r="AB75" s="29"/>
      <c r="AC75" s="29"/>
      <c r="AD75" s="29"/>
      <c r="AE75" s="29"/>
    </row>
    <row r="76" customFormat="false" ht="126.75" hidden="false" customHeight="true" outlineLevel="0" collapsed="false">
      <c r="A76" s="29" t="str">
        <f aca="false">TAKVİM!$B$67</f>
        <v>14-18 Haziran</v>
      </c>
      <c r="B76" s="29"/>
      <c r="C76" s="29"/>
      <c r="D76" s="29" t="s">
        <v>176</v>
      </c>
      <c r="E76" s="29"/>
      <c r="F76" s="29"/>
      <c r="G76" s="29"/>
      <c r="H76" s="29"/>
      <c r="I76" s="29"/>
      <c r="J76" s="29"/>
      <c r="K76" s="29"/>
      <c r="L76" s="29" t="s">
        <v>175</v>
      </c>
      <c r="M76" s="29"/>
      <c r="N76" s="29"/>
      <c r="O76" s="29"/>
      <c r="P76" s="29"/>
      <c r="Q76" s="29"/>
      <c r="R76" s="29" t="s">
        <v>121</v>
      </c>
      <c r="S76" s="29"/>
      <c r="T76" s="29"/>
      <c r="U76" s="29"/>
      <c r="V76" s="29"/>
      <c r="W76" s="29" t="s">
        <v>122</v>
      </c>
      <c r="X76" s="29"/>
      <c r="Y76" s="29"/>
      <c r="Z76" s="29"/>
      <c r="AA76" s="29"/>
      <c r="AB76" s="29"/>
      <c r="AC76" s="29"/>
      <c r="AD76" s="29"/>
      <c r="AE76" s="29"/>
    </row>
    <row r="77" customFormat="false" ht="95.25" hidden="false" customHeight="true" outlineLevel="0" collapsed="false">
      <c r="A77" s="29" t="str">
        <f aca="false">TAKVİM!$B$68</f>
        <v>21-25 Haziran</v>
      </c>
      <c r="B77" s="29"/>
      <c r="C77" s="29"/>
      <c r="D77" s="29" t="s">
        <v>177</v>
      </c>
      <c r="E77" s="29"/>
      <c r="F77" s="29"/>
      <c r="G77" s="29"/>
      <c r="H77" s="29"/>
      <c r="I77" s="29"/>
      <c r="J77" s="29"/>
      <c r="K77" s="29"/>
      <c r="L77" s="29" t="s">
        <v>175</v>
      </c>
      <c r="M77" s="29"/>
      <c r="N77" s="29"/>
      <c r="O77" s="29"/>
      <c r="P77" s="29"/>
      <c r="Q77" s="29"/>
      <c r="R77" s="29" t="s">
        <v>121</v>
      </c>
      <c r="S77" s="29"/>
      <c r="T77" s="29"/>
      <c r="U77" s="29"/>
      <c r="V77" s="29"/>
      <c r="W77" s="29" t="s">
        <v>122</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195</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107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116.25" hidden="false" customHeight="true" outlineLevel="0" collapsed="false">
      <c r="A38" s="29" t="str">
        <f aca="false">TAKVİM!$B$29</f>
        <v>14-18 Eylül</v>
      </c>
      <c r="B38" s="29"/>
      <c r="C38" s="29"/>
      <c r="D38" s="29" t="s">
        <v>197</v>
      </c>
      <c r="E38" s="29"/>
      <c r="F38" s="29"/>
      <c r="G38" s="29"/>
      <c r="H38" s="29"/>
      <c r="I38" s="29"/>
      <c r="J38" s="29"/>
      <c r="K38" s="29"/>
      <c r="L38" s="29" t="s">
        <v>198</v>
      </c>
      <c r="M38" s="29"/>
      <c r="N38" s="29"/>
      <c r="O38" s="29"/>
      <c r="P38" s="29"/>
      <c r="Q38" s="29"/>
      <c r="R38" s="29" t="s">
        <v>199</v>
      </c>
      <c r="S38" s="29"/>
      <c r="T38" s="29"/>
      <c r="U38" s="29"/>
      <c r="V38" s="29"/>
      <c r="W38" s="29" t="s">
        <v>200</v>
      </c>
      <c r="X38" s="29"/>
      <c r="Y38" s="29"/>
      <c r="Z38" s="29"/>
      <c r="AA38" s="29"/>
      <c r="AB38" s="29"/>
      <c r="AC38" s="29"/>
      <c r="AD38" s="29"/>
      <c r="AE38" s="29"/>
    </row>
    <row r="39" customFormat="false" ht="84.75" hidden="false" customHeight="true" outlineLevel="0" collapsed="false">
      <c r="A39" s="29" t="str">
        <f aca="false">TAKVİM!$B$30</f>
        <v>21-25 Eylül</v>
      </c>
      <c r="B39" s="29"/>
      <c r="C39" s="29"/>
      <c r="D39" s="29" t="s">
        <v>201</v>
      </c>
      <c r="E39" s="29"/>
      <c r="F39" s="29"/>
      <c r="G39" s="29"/>
      <c r="H39" s="29"/>
      <c r="I39" s="29"/>
      <c r="J39" s="29"/>
      <c r="K39" s="29"/>
      <c r="L39" s="29" t="s">
        <v>202</v>
      </c>
      <c r="M39" s="29"/>
      <c r="N39" s="29"/>
      <c r="O39" s="29"/>
      <c r="P39" s="29"/>
      <c r="Q39" s="29"/>
      <c r="R39" s="29" t="s">
        <v>199</v>
      </c>
      <c r="S39" s="29"/>
      <c r="T39" s="29"/>
      <c r="U39" s="29"/>
      <c r="V39" s="29"/>
      <c r="W39" s="29" t="s">
        <v>200</v>
      </c>
      <c r="X39" s="29"/>
      <c r="Y39" s="29"/>
      <c r="Z39" s="29"/>
      <c r="AA39" s="29"/>
      <c r="AB39" s="29"/>
      <c r="AC39" s="29"/>
      <c r="AD39" s="29"/>
      <c r="AE39" s="29"/>
    </row>
    <row r="40" customFormat="false" ht="84.75" hidden="false" customHeight="true" outlineLevel="0" collapsed="false">
      <c r="A40" s="29" t="str">
        <f aca="false">TAKVİM!$B$31</f>
        <v>28 Eylül - 02 Ekim</v>
      </c>
      <c r="B40" s="29"/>
      <c r="C40" s="29"/>
      <c r="D40" s="29" t="s">
        <v>203</v>
      </c>
      <c r="E40" s="29"/>
      <c r="F40" s="29"/>
      <c r="G40" s="29"/>
      <c r="H40" s="29"/>
      <c r="I40" s="29"/>
      <c r="J40" s="29"/>
      <c r="K40" s="29"/>
      <c r="L40" s="29" t="s">
        <v>204</v>
      </c>
      <c r="M40" s="29"/>
      <c r="N40" s="29"/>
      <c r="O40" s="29"/>
      <c r="P40" s="29"/>
      <c r="Q40" s="29"/>
      <c r="R40" s="29" t="s">
        <v>199</v>
      </c>
      <c r="S40" s="29"/>
      <c r="T40" s="29"/>
      <c r="U40" s="29"/>
      <c r="V40" s="29"/>
      <c r="W40" s="29" t="s">
        <v>200</v>
      </c>
      <c r="X40" s="29"/>
      <c r="Y40" s="29"/>
      <c r="Z40" s="29"/>
      <c r="AA40" s="29"/>
      <c r="AB40" s="29"/>
      <c r="AC40" s="29"/>
      <c r="AD40" s="29"/>
      <c r="AE40" s="29"/>
    </row>
    <row r="41" customFormat="false" ht="63.75" hidden="false" customHeight="true" outlineLevel="0" collapsed="false">
      <c r="A41" s="29" t="str">
        <f aca="false">TAKVİM!$B$32</f>
        <v>05-09 Ekim</v>
      </c>
      <c r="B41" s="29"/>
      <c r="C41" s="29"/>
      <c r="D41" s="29" t="s">
        <v>205</v>
      </c>
      <c r="E41" s="29"/>
      <c r="F41" s="29"/>
      <c r="G41" s="29"/>
      <c r="H41" s="29"/>
      <c r="I41" s="29"/>
      <c r="J41" s="29"/>
      <c r="K41" s="29"/>
      <c r="L41" s="29" t="s">
        <v>206</v>
      </c>
      <c r="M41" s="29"/>
      <c r="N41" s="29"/>
      <c r="O41" s="29"/>
      <c r="P41" s="29"/>
      <c r="Q41" s="29"/>
      <c r="R41" s="29" t="s">
        <v>199</v>
      </c>
      <c r="S41" s="29"/>
      <c r="T41" s="29"/>
      <c r="U41" s="29"/>
      <c r="V41" s="29"/>
      <c r="W41" s="29" t="s">
        <v>200</v>
      </c>
      <c r="X41" s="29"/>
      <c r="Y41" s="29"/>
      <c r="Z41" s="29"/>
      <c r="AA41" s="29"/>
      <c r="AB41" s="29"/>
      <c r="AC41" s="29"/>
      <c r="AD41" s="29"/>
      <c r="AE41" s="29"/>
    </row>
    <row r="42" customFormat="false" ht="84.75" hidden="false" customHeight="true" outlineLevel="0" collapsed="false">
      <c r="A42" s="29" t="str">
        <f aca="false">TAKVİM!$B$33</f>
        <v>12-16 Ekim</v>
      </c>
      <c r="B42" s="29"/>
      <c r="C42" s="29"/>
      <c r="D42" s="29" t="s">
        <v>207</v>
      </c>
      <c r="E42" s="29"/>
      <c r="F42" s="29"/>
      <c r="G42" s="29"/>
      <c r="H42" s="29"/>
      <c r="I42" s="29"/>
      <c r="J42" s="29"/>
      <c r="K42" s="29"/>
      <c r="L42" s="29" t="s">
        <v>208</v>
      </c>
      <c r="M42" s="29"/>
      <c r="N42" s="29"/>
      <c r="O42" s="29"/>
      <c r="P42" s="29"/>
      <c r="Q42" s="29"/>
      <c r="R42" s="29" t="s">
        <v>199</v>
      </c>
      <c r="S42" s="29"/>
      <c r="T42" s="29"/>
      <c r="U42" s="29"/>
      <c r="V42" s="29"/>
      <c r="W42" s="29" t="s">
        <v>200</v>
      </c>
      <c r="X42" s="29"/>
      <c r="Y42" s="29"/>
      <c r="Z42" s="29"/>
      <c r="AA42" s="29"/>
      <c r="AB42" s="29"/>
      <c r="AC42" s="29"/>
      <c r="AD42" s="29"/>
      <c r="AE42" s="29"/>
    </row>
    <row r="43" customFormat="false" ht="74.25" hidden="false" customHeight="true" outlineLevel="0" collapsed="false">
      <c r="A43" s="29" t="str">
        <f aca="false">TAKVİM!$B$34</f>
        <v>19-23 Ekim</v>
      </c>
      <c r="B43" s="29"/>
      <c r="C43" s="29"/>
      <c r="D43" s="29" t="s">
        <v>209</v>
      </c>
      <c r="E43" s="29"/>
      <c r="F43" s="29"/>
      <c r="G43" s="29"/>
      <c r="H43" s="29"/>
      <c r="I43" s="29"/>
      <c r="J43" s="29"/>
      <c r="K43" s="29"/>
      <c r="L43" s="29" t="s">
        <v>210</v>
      </c>
      <c r="M43" s="29"/>
      <c r="N43" s="29"/>
      <c r="O43" s="29"/>
      <c r="P43" s="29"/>
      <c r="Q43" s="29"/>
      <c r="R43" s="29" t="s">
        <v>199</v>
      </c>
      <c r="S43" s="29"/>
      <c r="T43" s="29"/>
      <c r="U43" s="29"/>
      <c r="V43" s="29"/>
      <c r="W43" s="29" t="s">
        <v>200</v>
      </c>
      <c r="X43" s="29"/>
      <c r="Y43" s="29"/>
      <c r="Z43" s="29"/>
      <c r="AA43" s="29"/>
      <c r="AB43" s="29"/>
      <c r="AC43" s="29"/>
      <c r="AD43" s="29"/>
      <c r="AE43" s="29"/>
    </row>
    <row r="44" customFormat="false" ht="74.25" hidden="false" customHeight="true" outlineLevel="0" collapsed="false">
      <c r="A44" s="29" t="str">
        <f aca="false">TAKVİM!$B$35</f>
        <v>26-30 Ekim</v>
      </c>
      <c r="B44" s="29"/>
      <c r="C44" s="29"/>
      <c r="D44" s="29" t="s">
        <v>211</v>
      </c>
      <c r="E44" s="29"/>
      <c r="F44" s="29"/>
      <c r="G44" s="29"/>
      <c r="H44" s="29"/>
      <c r="I44" s="29"/>
      <c r="J44" s="29"/>
      <c r="K44" s="29"/>
      <c r="L44" s="29" t="s">
        <v>212</v>
      </c>
      <c r="M44" s="29"/>
      <c r="N44" s="29"/>
      <c r="O44" s="29"/>
      <c r="P44" s="29"/>
      <c r="Q44" s="29"/>
      <c r="R44" s="29" t="s">
        <v>199</v>
      </c>
      <c r="S44" s="29"/>
      <c r="T44" s="29"/>
      <c r="U44" s="29"/>
      <c r="V44" s="29"/>
      <c r="W44" s="29" t="s">
        <v>200</v>
      </c>
      <c r="X44" s="29"/>
      <c r="Y44" s="29"/>
      <c r="Z44" s="29"/>
      <c r="AA44" s="29"/>
      <c r="AB44" s="29"/>
      <c r="AC44" s="29"/>
      <c r="AD44" s="29"/>
      <c r="AE44" s="29"/>
    </row>
    <row r="45" customFormat="false" ht="74.25" hidden="false" customHeight="true" outlineLevel="0" collapsed="false">
      <c r="A45" s="29" t="str">
        <f aca="false">TAKVİM!$B$36</f>
        <v>02-06 Kasım</v>
      </c>
      <c r="B45" s="29"/>
      <c r="C45" s="29"/>
      <c r="D45" s="29" t="s">
        <v>213</v>
      </c>
      <c r="E45" s="29"/>
      <c r="F45" s="29"/>
      <c r="G45" s="29"/>
      <c r="H45" s="29"/>
      <c r="I45" s="29"/>
      <c r="J45" s="29"/>
      <c r="K45" s="29"/>
      <c r="L45" s="29" t="s">
        <v>214</v>
      </c>
      <c r="M45" s="29"/>
      <c r="N45" s="29"/>
      <c r="O45" s="29"/>
      <c r="P45" s="29"/>
      <c r="Q45" s="29"/>
      <c r="R45" s="29" t="s">
        <v>199</v>
      </c>
      <c r="S45" s="29"/>
      <c r="T45" s="29"/>
      <c r="U45" s="29"/>
      <c r="V45" s="29"/>
      <c r="W45" s="29" t="s">
        <v>200</v>
      </c>
      <c r="X45" s="29"/>
      <c r="Y45" s="29"/>
      <c r="Z45" s="29"/>
      <c r="AA45" s="29"/>
      <c r="AB45" s="29"/>
      <c r="AC45" s="29"/>
      <c r="AD45" s="29"/>
      <c r="AE45" s="29"/>
    </row>
    <row r="46" customFormat="false" ht="95.25" hidden="false" customHeight="true" outlineLevel="0" collapsed="false">
      <c r="A46" s="29" t="str">
        <f aca="false">TAKVİM!$B$37</f>
        <v>09-13 Kasım</v>
      </c>
      <c r="B46" s="29"/>
      <c r="C46" s="29"/>
      <c r="D46" s="29" t="s">
        <v>215</v>
      </c>
      <c r="E46" s="29"/>
      <c r="F46" s="29"/>
      <c r="G46" s="29"/>
      <c r="H46" s="29"/>
      <c r="I46" s="29"/>
      <c r="J46" s="29"/>
      <c r="K46" s="29"/>
      <c r="L46" s="29" t="s">
        <v>216</v>
      </c>
      <c r="M46" s="29"/>
      <c r="N46" s="29"/>
      <c r="O46" s="29"/>
      <c r="P46" s="29"/>
      <c r="Q46" s="29"/>
      <c r="R46" s="29" t="s">
        <v>199</v>
      </c>
      <c r="S46" s="29"/>
      <c r="T46" s="29"/>
      <c r="U46" s="29"/>
      <c r="V46" s="29"/>
      <c r="W46" s="29" t="s">
        <v>200</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105.75" hidden="false" customHeight="true" outlineLevel="0" collapsed="false">
      <c r="A48" s="29" t="str">
        <f aca="false">TAKVİM!$B$39</f>
        <v>23-27 Kasım</v>
      </c>
      <c r="B48" s="29"/>
      <c r="C48" s="29"/>
      <c r="D48" s="29" t="s">
        <v>217</v>
      </c>
      <c r="E48" s="29"/>
      <c r="F48" s="29"/>
      <c r="G48" s="29"/>
      <c r="H48" s="29"/>
      <c r="I48" s="29"/>
      <c r="J48" s="29"/>
      <c r="K48" s="29"/>
      <c r="L48" s="29" t="s">
        <v>218</v>
      </c>
      <c r="M48" s="29"/>
      <c r="N48" s="29"/>
      <c r="O48" s="29"/>
      <c r="P48" s="29"/>
      <c r="Q48" s="29"/>
      <c r="R48" s="29" t="s">
        <v>199</v>
      </c>
      <c r="S48" s="29"/>
      <c r="T48" s="29"/>
      <c r="U48" s="29"/>
      <c r="V48" s="29"/>
      <c r="W48" s="29" t="s">
        <v>200</v>
      </c>
      <c r="X48" s="29"/>
      <c r="Y48" s="29"/>
      <c r="Z48" s="29"/>
      <c r="AA48" s="29"/>
      <c r="AB48" s="29"/>
      <c r="AC48" s="29"/>
      <c r="AD48" s="29"/>
      <c r="AE48" s="29"/>
    </row>
    <row r="49" customFormat="false" ht="74.25" hidden="false" customHeight="true" outlineLevel="0" collapsed="false">
      <c r="A49" s="29" t="str">
        <f aca="false">TAKVİM!$B$40</f>
        <v>30 Kasım - 04 Aralık</v>
      </c>
      <c r="B49" s="29"/>
      <c r="C49" s="29"/>
      <c r="D49" s="29" t="s">
        <v>219</v>
      </c>
      <c r="E49" s="29"/>
      <c r="F49" s="29"/>
      <c r="G49" s="29"/>
      <c r="H49" s="29"/>
      <c r="I49" s="29"/>
      <c r="J49" s="29"/>
      <c r="K49" s="29"/>
      <c r="L49" s="29" t="s">
        <v>220</v>
      </c>
      <c r="M49" s="29"/>
      <c r="N49" s="29"/>
      <c r="O49" s="29"/>
      <c r="P49" s="29"/>
      <c r="Q49" s="29"/>
      <c r="R49" s="29" t="s">
        <v>199</v>
      </c>
      <c r="S49" s="29"/>
      <c r="T49" s="29"/>
      <c r="U49" s="29"/>
      <c r="V49" s="29"/>
      <c r="W49" s="29" t="s">
        <v>200</v>
      </c>
      <c r="X49" s="29"/>
      <c r="Y49" s="29"/>
      <c r="Z49" s="29"/>
      <c r="AA49" s="29"/>
      <c r="AB49" s="29"/>
      <c r="AC49" s="29"/>
      <c r="AD49" s="29"/>
      <c r="AE49" s="29"/>
    </row>
    <row r="50" customFormat="false" ht="63.75" hidden="false" customHeight="true" outlineLevel="0" collapsed="false">
      <c r="A50" s="29" t="str">
        <f aca="false">TAKVİM!$B$41</f>
        <v>07-11 Aralık</v>
      </c>
      <c r="B50" s="29"/>
      <c r="C50" s="29"/>
      <c r="D50" s="29" t="s">
        <v>221</v>
      </c>
      <c r="E50" s="29"/>
      <c r="F50" s="29"/>
      <c r="G50" s="29"/>
      <c r="H50" s="29"/>
      <c r="I50" s="29"/>
      <c r="J50" s="29"/>
      <c r="K50" s="29"/>
      <c r="L50" s="29" t="s">
        <v>222</v>
      </c>
      <c r="M50" s="29"/>
      <c r="N50" s="29"/>
      <c r="O50" s="29"/>
      <c r="P50" s="29"/>
      <c r="Q50" s="29"/>
      <c r="R50" s="29" t="s">
        <v>199</v>
      </c>
      <c r="S50" s="29"/>
      <c r="T50" s="29"/>
      <c r="U50" s="29"/>
      <c r="V50" s="29"/>
      <c r="W50" s="29" t="s">
        <v>200</v>
      </c>
      <c r="X50" s="29"/>
      <c r="Y50" s="29"/>
      <c r="Z50" s="29"/>
      <c r="AA50" s="29"/>
      <c r="AB50" s="29"/>
      <c r="AC50" s="29"/>
      <c r="AD50" s="29"/>
      <c r="AE50" s="29"/>
    </row>
    <row r="51" customFormat="false" ht="63.75" hidden="false" customHeight="true" outlineLevel="0" collapsed="false">
      <c r="A51" s="29" t="str">
        <f aca="false">TAKVİM!$B$42</f>
        <v>14-18 Aralık</v>
      </c>
      <c r="B51" s="29"/>
      <c r="C51" s="29"/>
      <c r="D51" s="29" t="s">
        <v>223</v>
      </c>
      <c r="E51" s="29"/>
      <c r="F51" s="29"/>
      <c r="G51" s="29"/>
      <c r="H51" s="29"/>
      <c r="I51" s="29"/>
      <c r="J51" s="29"/>
      <c r="K51" s="29"/>
      <c r="L51" s="29" t="s">
        <v>224</v>
      </c>
      <c r="M51" s="29"/>
      <c r="N51" s="29"/>
      <c r="O51" s="29"/>
      <c r="P51" s="29"/>
      <c r="Q51" s="29"/>
      <c r="R51" s="29" t="s">
        <v>199</v>
      </c>
      <c r="S51" s="29"/>
      <c r="T51" s="29"/>
      <c r="U51" s="29"/>
      <c r="V51" s="29"/>
      <c r="W51" s="29" t="s">
        <v>200</v>
      </c>
      <c r="X51" s="29"/>
      <c r="Y51" s="29"/>
      <c r="Z51" s="29"/>
      <c r="AA51" s="29"/>
      <c r="AB51" s="29"/>
      <c r="AC51" s="29"/>
      <c r="AD51" s="29"/>
      <c r="AE51" s="29"/>
    </row>
    <row r="52" customFormat="false" ht="74.25" hidden="false" customHeight="true" outlineLevel="0" collapsed="false">
      <c r="A52" s="29" t="str">
        <f aca="false">TAKVİM!$B$43</f>
        <v>21-25 Aralık</v>
      </c>
      <c r="B52" s="29"/>
      <c r="C52" s="29"/>
      <c r="D52" s="29" t="s">
        <v>225</v>
      </c>
      <c r="E52" s="29"/>
      <c r="F52" s="29"/>
      <c r="G52" s="29"/>
      <c r="H52" s="29"/>
      <c r="I52" s="29"/>
      <c r="J52" s="29"/>
      <c r="K52" s="29"/>
      <c r="L52" s="29" t="s">
        <v>226</v>
      </c>
      <c r="M52" s="29"/>
      <c r="N52" s="29"/>
      <c r="O52" s="29"/>
      <c r="P52" s="29"/>
      <c r="Q52" s="29"/>
      <c r="R52" s="29" t="s">
        <v>199</v>
      </c>
      <c r="S52" s="29"/>
      <c r="T52" s="29"/>
      <c r="U52" s="29"/>
      <c r="V52" s="29"/>
      <c r="W52" s="29" t="s">
        <v>200</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227</v>
      </c>
      <c r="E53" s="29"/>
      <c r="F53" s="29"/>
      <c r="G53" s="29"/>
      <c r="H53" s="29"/>
      <c r="I53" s="29"/>
      <c r="J53" s="29"/>
      <c r="K53" s="29"/>
      <c r="L53" s="29" t="s">
        <v>228</v>
      </c>
      <c r="M53" s="29"/>
      <c r="N53" s="29"/>
      <c r="O53" s="29"/>
      <c r="P53" s="29"/>
      <c r="Q53" s="29"/>
      <c r="R53" s="29" t="s">
        <v>199</v>
      </c>
      <c r="S53" s="29"/>
      <c r="T53" s="29"/>
      <c r="U53" s="29"/>
      <c r="V53" s="29"/>
      <c r="W53" s="29" t="s">
        <v>200</v>
      </c>
      <c r="X53" s="29"/>
      <c r="Y53" s="29"/>
      <c r="Z53" s="29"/>
      <c r="AA53" s="29"/>
      <c r="AB53" s="29"/>
      <c r="AC53" s="29"/>
      <c r="AD53" s="29"/>
      <c r="AE53" s="29"/>
    </row>
    <row r="54" customFormat="false" ht="42.75" hidden="false" customHeight="true" outlineLevel="0" collapsed="false">
      <c r="A54" s="29" t="str">
        <f aca="false">TAKVİM!$B$45</f>
        <v>04-08 Ocak</v>
      </c>
      <c r="B54" s="29"/>
      <c r="C54" s="29"/>
      <c r="D54" s="29" t="s">
        <v>229</v>
      </c>
      <c r="E54" s="29"/>
      <c r="F54" s="29"/>
      <c r="G54" s="29"/>
      <c r="H54" s="29"/>
      <c r="I54" s="29"/>
      <c r="J54" s="29"/>
      <c r="K54" s="29"/>
      <c r="L54" s="29" t="s">
        <v>230</v>
      </c>
      <c r="M54" s="29"/>
      <c r="N54" s="29"/>
      <c r="O54" s="29"/>
      <c r="P54" s="29"/>
      <c r="Q54" s="29"/>
      <c r="R54" s="29" t="s">
        <v>199</v>
      </c>
      <c r="S54" s="29"/>
      <c r="T54" s="29"/>
      <c r="U54" s="29"/>
      <c r="V54" s="29"/>
      <c r="W54" s="29" t="s">
        <v>200</v>
      </c>
      <c r="X54" s="29"/>
      <c r="Y54" s="29"/>
      <c r="Z54" s="29"/>
      <c r="AA54" s="29"/>
      <c r="AB54" s="29"/>
      <c r="AC54" s="29"/>
      <c r="AD54" s="29"/>
      <c r="AE54" s="29"/>
    </row>
    <row r="55" customFormat="false" ht="74.25" hidden="false" customHeight="true" outlineLevel="0" collapsed="false">
      <c r="A55" s="29" t="str">
        <f aca="false">TAKVİM!$B$46</f>
        <v>11-15 Ocak</v>
      </c>
      <c r="B55" s="29"/>
      <c r="C55" s="29"/>
      <c r="D55" s="29" t="s">
        <v>231</v>
      </c>
      <c r="E55" s="29"/>
      <c r="F55" s="29"/>
      <c r="G55" s="29"/>
      <c r="H55" s="29"/>
      <c r="I55" s="29"/>
      <c r="J55" s="29"/>
      <c r="K55" s="29"/>
      <c r="L55" s="29" t="s">
        <v>232</v>
      </c>
      <c r="M55" s="29"/>
      <c r="N55" s="29"/>
      <c r="O55" s="29"/>
      <c r="P55" s="29"/>
      <c r="Q55" s="29"/>
      <c r="R55" s="29" t="s">
        <v>199</v>
      </c>
      <c r="S55" s="29"/>
      <c r="T55" s="29"/>
      <c r="U55" s="29"/>
      <c r="V55" s="29"/>
      <c r="W55" s="29" t="s">
        <v>200</v>
      </c>
      <c r="X55" s="29"/>
      <c r="Y55" s="29"/>
      <c r="Z55" s="29"/>
      <c r="AA55" s="29"/>
      <c r="AB55" s="29"/>
      <c r="AC55" s="29"/>
      <c r="AD55" s="29"/>
      <c r="AE55" s="29"/>
    </row>
    <row r="56" customFormat="false" ht="74.25" hidden="false" customHeight="true" outlineLevel="0" collapsed="false">
      <c r="A56" s="29" t="str">
        <f aca="false">TAKVİM!$B$47</f>
        <v>18-22 Ocak</v>
      </c>
      <c r="B56" s="29"/>
      <c r="C56" s="29"/>
      <c r="D56" s="29" t="s">
        <v>233</v>
      </c>
      <c r="E56" s="29"/>
      <c r="F56" s="29"/>
      <c r="G56" s="29"/>
      <c r="H56" s="29"/>
      <c r="I56" s="29"/>
      <c r="J56" s="29"/>
      <c r="K56" s="29"/>
      <c r="L56" s="29" t="s">
        <v>234</v>
      </c>
      <c r="M56" s="29"/>
      <c r="N56" s="29"/>
      <c r="O56" s="29"/>
      <c r="P56" s="29"/>
      <c r="Q56" s="29"/>
      <c r="R56" s="29" t="s">
        <v>199</v>
      </c>
      <c r="S56" s="29"/>
      <c r="T56" s="29"/>
      <c r="U56" s="29"/>
      <c r="V56" s="29"/>
      <c r="W56" s="29" t="s">
        <v>200</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74.25" hidden="false" customHeight="true" outlineLevel="0" collapsed="false">
      <c r="A58" s="29" t="str">
        <f aca="false">TAKVİM!$B$49</f>
        <v>08-12 Şubat</v>
      </c>
      <c r="B58" s="29"/>
      <c r="C58" s="29"/>
      <c r="D58" s="29" t="s">
        <v>235</v>
      </c>
      <c r="E58" s="29"/>
      <c r="F58" s="29"/>
      <c r="G58" s="29"/>
      <c r="H58" s="29"/>
      <c r="I58" s="29"/>
      <c r="J58" s="29"/>
      <c r="K58" s="29"/>
      <c r="L58" s="29" t="s">
        <v>236</v>
      </c>
      <c r="M58" s="29"/>
      <c r="N58" s="29"/>
      <c r="O58" s="29"/>
      <c r="P58" s="29"/>
      <c r="Q58" s="29"/>
      <c r="R58" s="29" t="s">
        <v>199</v>
      </c>
      <c r="S58" s="29"/>
      <c r="T58" s="29"/>
      <c r="U58" s="29"/>
      <c r="V58" s="29"/>
      <c r="W58" s="29" t="s">
        <v>200</v>
      </c>
      <c r="X58" s="29"/>
      <c r="Y58" s="29"/>
      <c r="Z58" s="29"/>
      <c r="AA58" s="29"/>
      <c r="AB58" s="29"/>
      <c r="AC58" s="29"/>
      <c r="AD58" s="29"/>
      <c r="AE58" s="29"/>
    </row>
    <row r="59" customFormat="false" ht="178.5" hidden="false" customHeight="true" outlineLevel="0" collapsed="false">
      <c r="A59" s="29" t="str">
        <f aca="false">TAKVİM!$B$50</f>
        <v>15-19 Şubat</v>
      </c>
      <c r="B59" s="29"/>
      <c r="C59" s="29"/>
      <c r="D59" s="29" t="s">
        <v>237</v>
      </c>
      <c r="E59" s="29"/>
      <c r="F59" s="29"/>
      <c r="G59" s="29"/>
      <c r="H59" s="29"/>
      <c r="I59" s="29"/>
      <c r="J59" s="29"/>
      <c r="K59" s="29"/>
      <c r="L59" s="29" t="s">
        <v>238</v>
      </c>
      <c r="M59" s="29"/>
      <c r="N59" s="29"/>
      <c r="O59" s="29"/>
      <c r="P59" s="29"/>
      <c r="Q59" s="29"/>
      <c r="R59" s="29" t="s">
        <v>199</v>
      </c>
      <c r="S59" s="29"/>
      <c r="T59" s="29"/>
      <c r="U59" s="29"/>
      <c r="V59" s="29"/>
      <c r="W59" s="29" t="s">
        <v>200</v>
      </c>
      <c r="X59" s="29"/>
      <c r="Y59" s="29"/>
      <c r="Z59" s="29"/>
      <c r="AA59" s="29"/>
      <c r="AB59" s="29"/>
      <c r="AC59" s="29"/>
      <c r="AD59" s="29"/>
      <c r="AE59" s="29"/>
    </row>
    <row r="60" customFormat="false" ht="42.75" hidden="false" customHeight="true" outlineLevel="0" collapsed="false">
      <c r="A60" s="29" t="str">
        <f aca="false">TAKVİM!$B$51</f>
        <v>22-26 Şubat</v>
      </c>
      <c r="B60" s="29"/>
      <c r="C60" s="29"/>
      <c r="D60" s="29" t="s">
        <v>239</v>
      </c>
      <c r="E60" s="29"/>
      <c r="F60" s="29"/>
      <c r="G60" s="29"/>
      <c r="H60" s="29"/>
      <c r="I60" s="29"/>
      <c r="J60" s="29"/>
      <c r="K60" s="29"/>
      <c r="L60" s="29" t="s">
        <v>240</v>
      </c>
      <c r="M60" s="29"/>
      <c r="N60" s="29"/>
      <c r="O60" s="29"/>
      <c r="P60" s="29"/>
      <c r="Q60" s="29"/>
      <c r="R60" s="29" t="s">
        <v>199</v>
      </c>
      <c r="S60" s="29"/>
      <c r="T60" s="29"/>
      <c r="U60" s="29"/>
      <c r="V60" s="29"/>
      <c r="W60" s="29" t="s">
        <v>200</v>
      </c>
      <c r="X60" s="29"/>
      <c r="Y60" s="29"/>
      <c r="Z60" s="29"/>
      <c r="AA60" s="29"/>
      <c r="AB60" s="29"/>
      <c r="AC60" s="29"/>
      <c r="AD60" s="29"/>
      <c r="AE60" s="29"/>
    </row>
    <row r="61" customFormat="false" ht="84.75" hidden="false" customHeight="true" outlineLevel="0" collapsed="false">
      <c r="A61" s="29" t="str">
        <f aca="false">TAKVİM!$B$52</f>
        <v>01-05 Mart</v>
      </c>
      <c r="B61" s="29"/>
      <c r="C61" s="29"/>
      <c r="D61" s="29" t="s">
        <v>241</v>
      </c>
      <c r="E61" s="29"/>
      <c r="F61" s="29"/>
      <c r="G61" s="29"/>
      <c r="H61" s="29"/>
      <c r="I61" s="29"/>
      <c r="J61" s="29"/>
      <c r="K61" s="29"/>
      <c r="L61" s="29" t="s">
        <v>242</v>
      </c>
      <c r="M61" s="29"/>
      <c r="N61" s="29"/>
      <c r="O61" s="29"/>
      <c r="P61" s="29"/>
      <c r="Q61" s="29"/>
      <c r="R61" s="29" t="s">
        <v>199</v>
      </c>
      <c r="S61" s="29"/>
      <c r="T61" s="29"/>
      <c r="U61" s="29"/>
      <c r="V61" s="29"/>
      <c r="W61" s="29" t="s">
        <v>200</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74.25" hidden="false" customHeight="true" outlineLevel="0" collapsed="false">
      <c r="A63" s="29" t="str">
        <f aca="false">TAKVİM!$B$54</f>
        <v>15-19 Mart</v>
      </c>
      <c r="B63" s="29"/>
      <c r="C63" s="29"/>
      <c r="D63" s="29" t="s">
        <v>243</v>
      </c>
      <c r="E63" s="29"/>
      <c r="F63" s="29"/>
      <c r="G63" s="29"/>
      <c r="H63" s="29"/>
      <c r="I63" s="29"/>
      <c r="J63" s="29"/>
      <c r="K63" s="29"/>
      <c r="L63" s="29" t="s">
        <v>244</v>
      </c>
      <c r="M63" s="29"/>
      <c r="N63" s="29"/>
      <c r="O63" s="29"/>
      <c r="P63" s="29"/>
      <c r="Q63" s="29"/>
      <c r="R63" s="29" t="s">
        <v>199</v>
      </c>
      <c r="S63" s="29"/>
      <c r="T63" s="29"/>
      <c r="U63" s="29"/>
      <c r="V63" s="29"/>
      <c r="W63" s="29" t="s">
        <v>200</v>
      </c>
      <c r="X63" s="29"/>
      <c r="Y63" s="29"/>
      <c r="Z63" s="29"/>
      <c r="AA63" s="29"/>
      <c r="AB63" s="29"/>
      <c r="AC63" s="29"/>
      <c r="AD63" s="29"/>
      <c r="AE63" s="29"/>
    </row>
    <row r="64" customFormat="false" ht="84.75" hidden="false" customHeight="true" outlineLevel="0" collapsed="false">
      <c r="A64" s="29" t="str">
        <f aca="false">TAKVİM!$B$55</f>
        <v>22-26 Mart</v>
      </c>
      <c r="B64" s="29"/>
      <c r="C64" s="29"/>
      <c r="D64" s="29" t="s">
        <v>245</v>
      </c>
      <c r="E64" s="29"/>
      <c r="F64" s="29"/>
      <c r="G64" s="29"/>
      <c r="H64" s="29"/>
      <c r="I64" s="29"/>
      <c r="J64" s="29"/>
      <c r="K64" s="29"/>
      <c r="L64" s="29" t="s">
        <v>246</v>
      </c>
      <c r="M64" s="29"/>
      <c r="N64" s="29"/>
      <c r="O64" s="29"/>
      <c r="P64" s="29"/>
      <c r="Q64" s="29"/>
      <c r="R64" s="29" t="s">
        <v>199</v>
      </c>
      <c r="S64" s="29"/>
      <c r="T64" s="29"/>
      <c r="U64" s="29"/>
      <c r="V64" s="29"/>
      <c r="W64" s="29" t="s">
        <v>200</v>
      </c>
      <c r="X64" s="29"/>
      <c r="Y64" s="29"/>
      <c r="Z64" s="29"/>
      <c r="AA64" s="29"/>
      <c r="AB64" s="29"/>
      <c r="AC64" s="29"/>
      <c r="AD64" s="29"/>
      <c r="AE64" s="29"/>
    </row>
    <row r="65" customFormat="false" ht="74.25" hidden="false" customHeight="true" outlineLevel="0" collapsed="false">
      <c r="A65" s="29" t="str">
        <f aca="false">TAKVİM!$B$56</f>
        <v>29 Mart - 02 Nisan</v>
      </c>
      <c r="B65" s="29"/>
      <c r="C65" s="29"/>
      <c r="D65" s="29" t="s">
        <v>247</v>
      </c>
      <c r="E65" s="29"/>
      <c r="F65" s="29"/>
      <c r="G65" s="29"/>
      <c r="H65" s="29"/>
      <c r="I65" s="29"/>
      <c r="J65" s="29"/>
      <c r="K65" s="29"/>
      <c r="L65" s="29" t="s">
        <v>248</v>
      </c>
      <c r="M65" s="29"/>
      <c r="N65" s="29"/>
      <c r="O65" s="29"/>
      <c r="P65" s="29"/>
      <c r="Q65" s="29"/>
      <c r="R65" s="29" t="s">
        <v>199</v>
      </c>
      <c r="S65" s="29"/>
      <c r="T65" s="29"/>
      <c r="U65" s="29"/>
      <c r="V65" s="29"/>
      <c r="W65" s="29" t="s">
        <v>200</v>
      </c>
      <c r="X65" s="29"/>
      <c r="Y65" s="29"/>
      <c r="Z65" s="29"/>
      <c r="AA65" s="29"/>
      <c r="AB65" s="29"/>
      <c r="AC65" s="29"/>
      <c r="AD65" s="29"/>
      <c r="AE65" s="29"/>
    </row>
    <row r="66" customFormat="false" ht="63.75" hidden="false" customHeight="true" outlineLevel="0" collapsed="false">
      <c r="A66" s="29" t="str">
        <f aca="false">TAKVİM!$B$57</f>
        <v>05-09 Nisan</v>
      </c>
      <c r="B66" s="29"/>
      <c r="C66" s="29"/>
      <c r="D66" s="29" t="s">
        <v>249</v>
      </c>
      <c r="E66" s="29"/>
      <c r="F66" s="29"/>
      <c r="G66" s="29"/>
      <c r="H66" s="29"/>
      <c r="I66" s="29"/>
      <c r="J66" s="29"/>
      <c r="K66" s="29"/>
      <c r="L66" s="29" t="s">
        <v>250</v>
      </c>
      <c r="M66" s="29"/>
      <c r="N66" s="29"/>
      <c r="O66" s="29"/>
      <c r="P66" s="29"/>
      <c r="Q66" s="29"/>
      <c r="R66" s="29" t="s">
        <v>199</v>
      </c>
      <c r="S66" s="29"/>
      <c r="T66" s="29"/>
      <c r="U66" s="29"/>
      <c r="V66" s="29"/>
      <c r="W66" s="29" t="s">
        <v>200</v>
      </c>
      <c r="X66" s="29"/>
      <c r="Y66" s="29"/>
      <c r="Z66" s="29"/>
      <c r="AA66" s="29"/>
      <c r="AB66" s="29"/>
      <c r="AC66" s="29"/>
      <c r="AD66" s="29"/>
      <c r="AE66" s="29"/>
    </row>
    <row r="67" customFormat="false" ht="53.25" hidden="false" customHeight="true" outlineLevel="0" collapsed="false">
      <c r="A67" s="29" t="str">
        <f aca="false">TAKVİM!$B$58</f>
        <v>12-16 Nisan</v>
      </c>
      <c r="B67" s="29"/>
      <c r="C67" s="29"/>
      <c r="D67" s="29" t="s">
        <v>251</v>
      </c>
      <c r="E67" s="29"/>
      <c r="F67" s="29"/>
      <c r="G67" s="29"/>
      <c r="H67" s="29"/>
      <c r="I67" s="29"/>
      <c r="J67" s="29"/>
      <c r="K67" s="29"/>
      <c r="L67" s="29" t="s">
        <v>252</v>
      </c>
      <c r="M67" s="29"/>
      <c r="N67" s="29"/>
      <c r="O67" s="29"/>
      <c r="P67" s="29"/>
      <c r="Q67" s="29"/>
      <c r="R67" s="29" t="s">
        <v>199</v>
      </c>
      <c r="S67" s="29"/>
      <c r="T67" s="29"/>
      <c r="U67" s="29"/>
      <c r="V67" s="29"/>
      <c r="W67" s="29" t="s">
        <v>200</v>
      </c>
      <c r="X67" s="29"/>
      <c r="Y67" s="29"/>
      <c r="Z67" s="29"/>
      <c r="AA67" s="29"/>
      <c r="AB67" s="29"/>
      <c r="AC67" s="29"/>
      <c r="AD67" s="29"/>
      <c r="AE67" s="29"/>
    </row>
    <row r="68" customFormat="false" ht="53.25" hidden="false" customHeight="true" outlineLevel="0" collapsed="false">
      <c r="A68" s="29" t="str">
        <f aca="false">TAKVİM!$B$59</f>
        <v>19-23 Nisan</v>
      </c>
      <c r="B68" s="29"/>
      <c r="C68" s="29"/>
      <c r="D68" s="29" t="s">
        <v>253</v>
      </c>
      <c r="E68" s="29"/>
      <c r="F68" s="29"/>
      <c r="G68" s="29"/>
      <c r="H68" s="29"/>
      <c r="I68" s="29"/>
      <c r="J68" s="29"/>
      <c r="K68" s="29"/>
      <c r="L68" s="29" t="s">
        <v>254</v>
      </c>
      <c r="M68" s="29"/>
      <c r="N68" s="29"/>
      <c r="O68" s="29"/>
      <c r="P68" s="29"/>
      <c r="Q68" s="29"/>
      <c r="R68" s="29" t="s">
        <v>199</v>
      </c>
      <c r="S68" s="29"/>
      <c r="T68" s="29"/>
      <c r="U68" s="29"/>
      <c r="V68" s="29"/>
      <c r="W68" s="29" t="s">
        <v>200</v>
      </c>
      <c r="X68" s="29"/>
      <c r="Y68" s="29"/>
      <c r="Z68" s="29"/>
      <c r="AA68" s="29"/>
      <c r="AB68" s="29"/>
      <c r="AC68" s="29"/>
      <c r="AD68" s="29"/>
      <c r="AE68" s="29"/>
    </row>
    <row r="69" customFormat="false" ht="95.25" hidden="false" customHeight="true" outlineLevel="0" collapsed="false">
      <c r="A69" s="29" t="str">
        <f aca="false">TAKVİM!$B$60</f>
        <v>26-30 Nisan</v>
      </c>
      <c r="B69" s="29"/>
      <c r="C69" s="29"/>
      <c r="D69" s="29" t="s">
        <v>255</v>
      </c>
      <c r="E69" s="29"/>
      <c r="F69" s="29"/>
      <c r="G69" s="29"/>
      <c r="H69" s="29"/>
      <c r="I69" s="29"/>
      <c r="J69" s="29"/>
      <c r="K69" s="29"/>
      <c r="L69" s="29" t="s">
        <v>256</v>
      </c>
      <c r="M69" s="29"/>
      <c r="N69" s="29"/>
      <c r="O69" s="29"/>
      <c r="P69" s="29"/>
      <c r="Q69" s="29"/>
      <c r="R69" s="29" t="s">
        <v>199</v>
      </c>
      <c r="S69" s="29"/>
      <c r="T69" s="29"/>
      <c r="U69" s="29"/>
      <c r="V69" s="29"/>
      <c r="W69" s="29" t="s">
        <v>200</v>
      </c>
      <c r="X69" s="29"/>
      <c r="Y69" s="29"/>
      <c r="Z69" s="29"/>
      <c r="AA69" s="29"/>
      <c r="AB69" s="29"/>
      <c r="AC69" s="29"/>
      <c r="AD69" s="29"/>
      <c r="AE69" s="29"/>
    </row>
    <row r="70" customFormat="false" ht="116.25" hidden="false" customHeight="true" outlineLevel="0" collapsed="false">
      <c r="A70" s="29" t="str">
        <f aca="false">TAKVİM!$B$61</f>
        <v>03-07 Mayıs</v>
      </c>
      <c r="B70" s="29"/>
      <c r="C70" s="29"/>
      <c r="D70" s="29" t="s">
        <v>257</v>
      </c>
      <c r="E70" s="29"/>
      <c r="F70" s="29"/>
      <c r="G70" s="29"/>
      <c r="H70" s="29"/>
      <c r="I70" s="29"/>
      <c r="J70" s="29"/>
      <c r="K70" s="29"/>
      <c r="L70" s="29" t="s">
        <v>258</v>
      </c>
      <c r="M70" s="29"/>
      <c r="N70" s="29"/>
      <c r="O70" s="29"/>
      <c r="P70" s="29"/>
      <c r="Q70" s="29"/>
      <c r="R70" s="29" t="s">
        <v>199</v>
      </c>
      <c r="S70" s="29"/>
      <c r="T70" s="29"/>
      <c r="U70" s="29"/>
      <c r="V70" s="29"/>
      <c r="W70" s="29" t="s">
        <v>200</v>
      </c>
      <c r="X70" s="29"/>
      <c r="Y70" s="29"/>
      <c r="Z70" s="29"/>
      <c r="AA70" s="29"/>
      <c r="AB70" s="29"/>
      <c r="AC70" s="29"/>
      <c r="AD70" s="29"/>
      <c r="AE70" s="29"/>
    </row>
    <row r="71" customFormat="false" ht="105.75" hidden="false" customHeight="true" outlineLevel="0" collapsed="false">
      <c r="A71" s="29" t="str">
        <f aca="false">TAKVİM!$B$62</f>
        <v>10-14 Mayıs</v>
      </c>
      <c r="B71" s="29"/>
      <c r="C71" s="29"/>
      <c r="D71" s="29" t="s">
        <v>259</v>
      </c>
      <c r="E71" s="29"/>
      <c r="F71" s="29"/>
      <c r="G71" s="29"/>
      <c r="H71" s="29"/>
      <c r="I71" s="29"/>
      <c r="J71" s="29"/>
      <c r="K71" s="29"/>
      <c r="L71" s="29" t="s">
        <v>260</v>
      </c>
      <c r="M71" s="29"/>
      <c r="N71" s="29"/>
      <c r="O71" s="29"/>
      <c r="P71" s="29"/>
      <c r="Q71" s="29"/>
      <c r="R71" s="29" t="s">
        <v>199</v>
      </c>
      <c r="S71" s="29"/>
      <c r="T71" s="29"/>
      <c r="U71" s="29"/>
      <c r="V71" s="29"/>
      <c r="W71" s="29" t="s">
        <v>200</v>
      </c>
      <c r="X71" s="29"/>
      <c r="Y71" s="29"/>
      <c r="Z71" s="29"/>
      <c r="AA71" s="29"/>
      <c r="AB71" s="29"/>
      <c r="AC71" s="29"/>
      <c r="AD71" s="29"/>
      <c r="AE71" s="29"/>
    </row>
    <row r="72" customFormat="false" ht="74.25" hidden="false" customHeight="true" outlineLevel="0" collapsed="false">
      <c r="A72" s="29" t="str">
        <f aca="false">TAKVİM!$B$63</f>
        <v>17-21 Mayıs</v>
      </c>
      <c r="B72" s="29"/>
      <c r="C72" s="29"/>
      <c r="D72" s="29" t="s">
        <v>261</v>
      </c>
      <c r="E72" s="29"/>
      <c r="F72" s="29"/>
      <c r="G72" s="29"/>
      <c r="H72" s="29"/>
      <c r="I72" s="29"/>
      <c r="J72" s="29"/>
      <c r="K72" s="29"/>
      <c r="L72" s="29" t="s">
        <v>262</v>
      </c>
      <c r="M72" s="29"/>
      <c r="N72" s="29"/>
      <c r="O72" s="29"/>
      <c r="P72" s="29"/>
      <c r="Q72" s="29"/>
      <c r="R72" s="29" t="s">
        <v>199</v>
      </c>
      <c r="S72" s="29"/>
      <c r="T72" s="29"/>
      <c r="U72" s="29"/>
      <c r="V72" s="29"/>
      <c r="W72" s="29" t="s">
        <v>200</v>
      </c>
      <c r="X72" s="29"/>
      <c r="Y72" s="29"/>
      <c r="Z72" s="29"/>
      <c r="AA72" s="29"/>
      <c r="AB72" s="29"/>
      <c r="AC72" s="29"/>
      <c r="AD72" s="29"/>
      <c r="AE72" s="29"/>
    </row>
    <row r="73" customFormat="false" ht="53.25" hidden="false" customHeight="true" outlineLevel="0" collapsed="false">
      <c r="A73" s="29" t="str">
        <f aca="false">TAKVİM!$B$64</f>
        <v>24-28 Mayıs</v>
      </c>
      <c r="B73" s="29"/>
      <c r="C73" s="29"/>
      <c r="D73" s="29" t="s">
        <v>263</v>
      </c>
      <c r="E73" s="29"/>
      <c r="F73" s="29"/>
      <c r="G73" s="29"/>
      <c r="H73" s="29"/>
      <c r="I73" s="29"/>
      <c r="J73" s="29"/>
      <c r="K73" s="29"/>
      <c r="L73" s="29" t="s">
        <v>264</v>
      </c>
      <c r="M73" s="29"/>
      <c r="N73" s="29"/>
      <c r="O73" s="29"/>
      <c r="P73" s="29"/>
      <c r="Q73" s="29"/>
      <c r="R73" s="29" t="s">
        <v>199</v>
      </c>
      <c r="S73" s="29"/>
      <c r="T73" s="29"/>
      <c r="U73" s="29"/>
      <c r="V73" s="29"/>
      <c r="W73" s="29" t="s">
        <v>200</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265</v>
      </c>
      <c r="E74" s="29"/>
      <c r="F74" s="29"/>
      <c r="G74" s="29"/>
      <c r="H74" s="29"/>
      <c r="I74" s="29"/>
      <c r="J74" s="29"/>
      <c r="K74" s="29"/>
      <c r="L74" s="29" t="s">
        <v>266</v>
      </c>
      <c r="M74" s="29"/>
      <c r="N74" s="29"/>
      <c r="O74" s="29"/>
      <c r="P74" s="29"/>
      <c r="Q74" s="29"/>
      <c r="R74" s="29" t="s">
        <v>199</v>
      </c>
      <c r="S74" s="29"/>
      <c r="T74" s="29"/>
      <c r="U74" s="29"/>
      <c r="V74" s="29"/>
      <c r="W74" s="29" t="s">
        <v>200</v>
      </c>
      <c r="X74" s="29"/>
      <c r="Y74" s="29"/>
      <c r="Z74" s="29"/>
      <c r="AA74" s="29"/>
      <c r="AB74" s="29"/>
      <c r="AC74" s="29"/>
      <c r="AD74" s="29"/>
      <c r="AE74" s="29"/>
    </row>
    <row r="75" customFormat="false" ht="63.75" hidden="false" customHeight="true" outlineLevel="0" collapsed="false">
      <c r="A75" s="29" t="str">
        <f aca="false">TAKVİM!$B$66</f>
        <v>07-11 Haziran</v>
      </c>
      <c r="B75" s="29"/>
      <c r="C75" s="29"/>
      <c r="D75" s="29" t="s">
        <v>267</v>
      </c>
      <c r="E75" s="29"/>
      <c r="F75" s="29"/>
      <c r="G75" s="29"/>
      <c r="H75" s="29"/>
      <c r="I75" s="29"/>
      <c r="J75" s="29"/>
      <c r="K75" s="29"/>
      <c r="L75" s="29" t="s">
        <v>268</v>
      </c>
      <c r="M75" s="29"/>
      <c r="N75" s="29"/>
      <c r="O75" s="29"/>
      <c r="P75" s="29"/>
      <c r="Q75" s="29"/>
      <c r="R75" s="29" t="s">
        <v>199</v>
      </c>
      <c r="S75" s="29"/>
      <c r="T75" s="29"/>
      <c r="U75" s="29"/>
      <c r="V75" s="29"/>
      <c r="W75" s="29" t="s">
        <v>200</v>
      </c>
      <c r="X75" s="29"/>
      <c r="Y75" s="29"/>
      <c r="Z75" s="29"/>
      <c r="AA75" s="29"/>
      <c r="AB75" s="29"/>
      <c r="AC75" s="29"/>
      <c r="AD75" s="29"/>
      <c r="AE75" s="29"/>
    </row>
    <row r="76" customFormat="false" ht="105.75" hidden="false" customHeight="true" outlineLevel="0" collapsed="false">
      <c r="A76" s="29" t="str">
        <f aca="false">TAKVİM!$B$67</f>
        <v>14-18 Haziran</v>
      </c>
      <c r="B76" s="29"/>
      <c r="C76" s="29"/>
      <c r="D76" s="29" t="s">
        <v>269</v>
      </c>
      <c r="E76" s="29"/>
      <c r="F76" s="29"/>
      <c r="G76" s="29"/>
      <c r="H76" s="29"/>
      <c r="I76" s="29"/>
      <c r="J76" s="29"/>
      <c r="K76" s="29"/>
      <c r="L76" s="29" t="s">
        <v>270</v>
      </c>
      <c r="M76" s="29"/>
      <c r="N76" s="29"/>
      <c r="O76" s="29"/>
      <c r="P76" s="29"/>
      <c r="Q76" s="29"/>
      <c r="R76" s="29" t="s">
        <v>199</v>
      </c>
      <c r="S76" s="29"/>
      <c r="T76" s="29"/>
      <c r="U76" s="29"/>
      <c r="V76" s="29"/>
      <c r="W76" s="29" t="s">
        <v>200</v>
      </c>
      <c r="X76" s="29"/>
      <c r="Y76" s="29"/>
      <c r="Z76" s="29"/>
      <c r="AA76" s="29"/>
      <c r="AB76" s="29"/>
      <c r="AC76" s="29"/>
      <c r="AD76" s="29"/>
      <c r="AE76" s="29"/>
    </row>
    <row r="77" customFormat="false" ht="74.25" hidden="false" customHeight="true" outlineLevel="0" collapsed="false">
      <c r="A77" s="29" t="str">
        <f aca="false">TAKVİM!$B$68</f>
        <v>21-25 Haziran</v>
      </c>
      <c r="B77" s="29"/>
      <c r="C77" s="29"/>
      <c r="D77" s="29" t="s">
        <v>271</v>
      </c>
      <c r="E77" s="29"/>
      <c r="F77" s="29"/>
      <c r="G77" s="29"/>
      <c r="H77" s="29"/>
      <c r="I77" s="29"/>
      <c r="J77" s="29"/>
      <c r="K77" s="29"/>
      <c r="L77" s="29" t="s">
        <v>272</v>
      </c>
      <c r="M77" s="29"/>
      <c r="N77" s="29"/>
      <c r="O77" s="29"/>
      <c r="P77" s="29"/>
      <c r="Q77" s="29"/>
      <c r="R77" s="29" t="s">
        <v>199</v>
      </c>
      <c r="S77" s="29"/>
      <c r="T77" s="29"/>
      <c r="U77" s="29"/>
      <c r="V77" s="29"/>
      <c r="W77" s="29" t="s">
        <v>200</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273</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274</v>
      </c>
      <c r="H5" s="25"/>
      <c r="I5" s="25"/>
      <c r="J5" s="25"/>
      <c r="K5" s="25"/>
      <c r="L5" s="25"/>
      <c r="M5" s="25"/>
      <c r="N5" s="25"/>
      <c r="O5" s="25"/>
      <c r="P5" s="24" t="s">
        <v>106</v>
      </c>
      <c r="Q5" s="24"/>
      <c r="R5" s="24"/>
      <c r="S5" s="24"/>
      <c r="T5" s="24"/>
      <c r="U5" s="25" t="s">
        <v>107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74.25" hidden="false" customHeight="true" outlineLevel="0" collapsed="false">
      <c r="A38" s="29" t="str">
        <f aca="false">TAKVİM!$B$29</f>
        <v>14-18 Eylül</v>
      </c>
      <c r="B38" s="29"/>
      <c r="C38" s="29"/>
      <c r="D38" s="29" t="s">
        <v>275</v>
      </c>
      <c r="E38" s="29"/>
      <c r="F38" s="29"/>
      <c r="G38" s="29"/>
      <c r="H38" s="29"/>
      <c r="I38" s="29"/>
      <c r="J38" s="29"/>
      <c r="K38" s="29"/>
      <c r="L38" s="29" t="s">
        <v>276</v>
      </c>
      <c r="M38" s="29"/>
      <c r="N38" s="29"/>
      <c r="O38" s="29"/>
      <c r="P38" s="29"/>
      <c r="Q38" s="29"/>
      <c r="R38" s="29" t="s">
        <v>277</v>
      </c>
      <c r="S38" s="29"/>
      <c r="T38" s="29"/>
      <c r="U38" s="29"/>
      <c r="V38" s="29"/>
      <c r="W38" s="29" t="s">
        <v>278</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279</v>
      </c>
      <c r="E39" s="29"/>
      <c r="F39" s="29"/>
      <c r="G39" s="29"/>
      <c r="H39" s="29"/>
      <c r="I39" s="29"/>
      <c r="J39" s="29"/>
      <c r="K39" s="29"/>
      <c r="L39" s="29" t="s">
        <v>280</v>
      </c>
      <c r="M39" s="29"/>
      <c r="N39" s="29"/>
      <c r="O39" s="29"/>
      <c r="P39" s="29"/>
      <c r="Q39" s="29"/>
      <c r="R39" s="29" t="s">
        <v>277</v>
      </c>
      <c r="S39" s="29"/>
      <c r="T39" s="29"/>
      <c r="U39" s="29"/>
      <c r="V39" s="29"/>
      <c r="W39" s="29" t="s">
        <v>278</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279</v>
      </c>
      <c r="E40" s="29"/>
      <c r="F40" s="29"/>
      <c r="G40" s="29"/>
      <c r="H40" s="29"/>
      <c r="I40" s="29"/>
      <c r="J40" s="29"/>
      <c r="K40" s="29"/>
      <c r="L40" s="29" t="s">
        <v>280</v>
      </c>
      <c r="M40" s="29"/>
      <c r="N40" s="29"/>
      <c r="O40" s="29"/>
      <c r="P40" s="29"/>
      <c r="Q40" s="29"/>
      <c r="R40" s="29" t="s">
        <v>277</v>
      </c>
      <c r="S40" s="29"/>
      <c r="T40" s="29"/>
      <c r="U40" s="29"/>
      <c r="V40" s="29"/>
      <c r="W40" s="29" t="s">
        <v>278</v>
      </c>
      <c r="X40" s="29"/>
      <c r="Y40" s="29"/>
      <c r="Z40" s="29"/>
      <c r="AA40" s="29"/>
      <c r="AB40" s="29"/>
      <c r="AC40" s="29"/>
      <c r="AD40" s="29"/>
      <c r="AE40" s="29"/>
    </row>
    <row r="41" customFormat="false" ht="74.25" hidden="false" customHeight="true" outlineLevel="0" collapsed="false">
      <c r="A41" s="29" t="str">
        <f aca="false">TAKVİM!$B$32</f>
        <v>05-09 Ekim</v>
      </c>
      <c r="B41" s="29"/>
      <c r="C41" s="29"/>
      <c r="D41" s="29" t="s">
        <v>281</v>
      </c>
      <c r="E41" s="29"/>
      <c r="F41" s="29"/>
      <c r="G41" s="29"/>
      <c r="H41" s="29"/>
      <c r="I41" s="29"/>
      <c r="J41" s="29"/>
      <c r="K41" s="29"/>
      <c r="L41" s="29" t="s">
        <v>282</v>
      </c>
      <c r="M41" s="29"/>
      <c r="N41" s="29"/>
      <c r="O41" s="29"/>
      <c r="P41" s="29"/>
      <c r="Q41" s="29"/>
      <c r="R41" s="29" t="s">
        <v>277</v>
      </c>
      <c r="S41" s="29"/>
      <c r="T41" s="29"/>
      <c r="U41" s="29"/>
      <c r="V41" s="29"/>
      <c r="W41" s="29" t="s">
        <v>278</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281</v>
      </c>
      <c r="E42" s="29"/>
      <c r="F42" s="29"/>
      <c r="G42" s="29"/>
      <c r="H42" s="29"/>
      <c r="I42" s="29"/>
      <c r="J42" s="29"/>
      <c r="K42" s="29"/>
      <c r="L42" s="29" t="s">
        <v>282</v>
      </c>
      <c r="M42" s="29"/>
      <c r="N42" s="29"/>
      <c r="O42" s="29"/>
      <c r="P42" s="29"/>
      <c r="Q42" s="29"/>
      <c r="R42" s="29" t="s">
        <v>277</v>
      </c>
      <c r="S42" s="29"/>
      <c r="T42" s="29"/>
      <c r="U42" s="29"/>
      <c r="V42" s="29"/>
      <c r="W42" s="29" t="s">
        <v>278</v>
      </c>
      <c r="X42" s="29"/>
      <c r="Y42" s="29"/>
      <c r="Z42" s="29"/>
      <c r="AA42" s="29"/>
      <c r="AB42" s="29"/>
      <c r="AC42" s="29"/>
      <c r="AD42" s="29"/>
      <c r="AE42" s="29"/>
    </row>
    <row r="43" customFormat="false" ht="63.75" hidden="false" customHeight="true" outlineLevel="0" collapsed="false">
      <c r="A43" s="29" t="str">
        <f aca="false">TAKVİM!$B$34</f>
        <v>19-23 Ekim</v>
      </c>
      <c r="B43" s="29"/>
      <c r="C43" s="29"/>
      <c r="D43" s="29" t="s">
        <v>283</v>
      </c>
      <c r="E43" s="29"/>
      <c r="F43" s="29"/>
      <c r="G43" s="29"/>
      <c r="H43" s="29"/>
      <c r="I43" s="29"/>
      <c r="J43" s="29"/>
      <c r="K43" s="29"/>
      <c r="L43" s="29" t="s">
        <v>284</v>
      </c>
      <c r="M43" s="29"/>
      <c r="N43" s="29"/>
      <c r="O43" s="29"/>
      <c r="P43" s="29"/>
      <c r="Q43" s="29"/>
      <c r="R43" s="29" t="s">
        <v>277</v>
      </c>
      <c r="S43" s="29"/>
      <c r="T43" s="29"/>
      <c r="U43" s="29"/>
      <c r="V43" s="29"/>
      <c r="W43" s="29" t="s">
        <v>278</v>
      </c>
      <c r="X43" s="29"/>
      <c r="Y43" s="29"/>
      <c r="Z43" s="29"/>
      <c r="AA43" s="29"/>
      <c r="AB43" s="29"/>
      <c r="AC43" s="29"/>
      <c r="AD43" s="29"/>
      <c r="AE43" s="29"/>
    </row>
    <row r="44" customFormat="false" ht="63.75" hidden="false" customHeight="true" outlineLevel="0" collapsed="false">
      <c r="A44" s="29" t="str">
        <f aca="false">TAKVİM!$B$35</f>
        <v>26-30 Ekim</v>
      </c>
      <c r="B44" s="29"/>
      <c r="C44" s="29"/>
      <c r="D44" s="29" t="s">
        <v>285</v>
      </c>
      <c r="E44" s="29"/>
      <c r="F44" s="29"/>
      <c r="G44" s="29"/>
      <c r="H44" s="29"/>
      <c r="I44" s="29"/>
      <c r="J44" s="29"/>
      <c r="K44" s="29"/>
      <c r="L44" s="29" t="s">
        <v>284</v>
      </c>
      <c r="M44" s="29"/>
      <c r="N44" s="29"/>
      <c r="O44" s="29"/>
      <c r="P44" s="29"/>
      <c r="Q44" s="29"/>
      <c r="R44" s="29" t="s">
        <v>277</v>
      </c>
      <c r="S44" s="29"/>
      <c r="T44" s="29"/>
      <c r="U44" s="29"/>
      <c r="V44" s="29"/>
      <c r="W44" s="29" t="s">
        <v>278</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286</v>
      </c>
      <c r="E45" s="29"/>
      <c r="F45" s="29"/>
      <c r="G45" s="29"/>
      <c r="H45" s="29"/>
      <c r="I45" s="29"/>
      <c r="J45" s="29"/>
      <c r="K45" s="29"/>
      <c r="L45" s="29" t="s">
        <v>284</v>
      </c>
      <c r="M45" s="29"/>
      <c r="N45" s="29"/>
      <c r="O45" s="29"/>
      <c r="P45" s="29"/>
      <c r="Q45" s="29"/>
      <c r="R45" s="29" t="s">
        <v>277</v>
      </c>
      <c r="S45" s="29"/>
      <c r="T45" s="29"/>
      <c r="U45" s="29"/>
      <c r="V45" s="29"/>
      <c r="W45" s="29" t="s">
        <v>278</v>
      </c>
      <c r="X45" s="29"/>
      <c r="Y45" s="29"/>
      <c r="Z45" s="29"/>
      <c r="AA45" s="29"/>
      <c r="AB45" s="29"/>
      <c r="AC45" s="29"/>
      <c r="AD45" s="29"/>
      <c r="AE45" s="29"/>
    </row>
    <row r="46" customFormat="false" ht="74.25" hidden="false" customHeight="true" outlineLevel="0" collapsed="false">
      <c r="A46" s="29" t="str">
        <f aca="false">TAKVİM!$B$37</f>
        <v>09-13 Kasım</v>
      </c>
      <c r="B46" s="29"/>
      <c r="C46" s="29"/>
      <c r="D46" s="29" t="s">
        <v>287</v>
      </c>
      <c r="E46" s="29"/>
      <c r="F46" s="29"/>
      <c r="G46" s="29"/>
      <c r="H46" s="29"/>
      <c r="I46" s="29"/>
      <c r="J46" s="29"/>
      <c r="K46" s="29"/>
      <c r="L46" s="29" t="s">
        <v>284</v>
      </c>
      <c r="M46" s="29"/>
      <c r="N46" s="29"/>
      <c r="O46" s="29"/>
      <c r="P46" s="29"/>
      <c r="Q46" s="29"/>
      <c r="R46" s="29" t="s">
        <v>277</v>
      </c>
      <c r="S46" s="29"/>
      <c r="T46" s="29"/>
      <c r="U46" s="29"/>
      <c r="V46" s="29"/>
      <c r="W46" s="29" t="s">
        <v>278</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63.75" hidden="false" customHeight="true" outlineLevel="0" collapsed="false">
      <c r="A48" s="29" t="str">
        <f aca="false">TAKVİM!$B$39</f>
        <v>23-27 Kasım</v>
      </c>
      <c r="B48" s="29"/>
      <c r="C48" s="29"/>
      <c r="D48" s="29" t="s">
        <v>288</v>
      </c>
      <c r="E48" s="29"/>
      <c r="F48" s="29"/>
      <c r="G48" s="29"/>
      <c r="H48" s="29"/>
      <c r="I48" s="29"/>
      <c r="J48" s="29"/>
      <c r="K48" s="29"/>
      <c r="L48" s="29" t="s">
        <v>289</v>
      </c>
      <c r="M48" s="29"/>
      <c r="N48" s="29"/>
      <c r="O48" s="29"/>
      <c r="P48" s="29"/>
      <c r="Q48" s="29"/>
      <c r="R48" s="29" t="s">
        <v>277</v>
      </c>
      <c r="S48" s="29"/>
      <c r="T48" s="29"/>
      <c r="U48" s="29"/>
      <c r="V48" s="29"/>
      <c r="W48" s="29" t="s">
        <v>278</v>
      </c>
      <c r="X48" s="29"/>
      <c r="Y48" s="29"/>
      <c r="Z48" s="29"/>
      <c r="AA48" s="29"/>
      <c r="AB48" s="29"/>
      <c r="AC48" s="29"/>
      <c r="AD48" s="29"/>
      <c r="AE48" s="29"/>
    </row>
    <row r="49" customFormat="false" ht="53.25" hidden="false" customHeight="true" outlineLevel="0" collapsed="false">
      <c r="A49" s="29" t="str">
        <f aca="false">TAKVİM!$B$40</f>
        <v>30 Kasım - 04 Aralık</v>
      </c>
      <c r="B49" s="29"/>
      <c r="C49" s="29"/>
      <c r="D49" s="29" t="s">
        <v>290</v>
      </c>
      <c r="E49" s="29"/>
      <c r="F49" s="29"/>
      <c r="G49" s="29"/>
      <c r="H49" s="29"/>
      <c r="I49" s="29"/>
      <c r="J49" s="29"/>
      <c r="K49" s="29"/>
      <c r="L49" s="29" t="s">
        <v>291</v>
      </c>
      <c r="M49" s="29"/>
      <c r="N49" s="29"/>
      <c r="O49" s="29"/>
      <c r="P49" s="29"/>
      <c r="Q49" s="29"/>
      <c r="R49" s="29" t="s">
        <v>277</v>
      </c>
      <c r="S49" s="29"/>
      <c r="T49" s="29"/>
      <c r="U49" s="29"/>
      <c r="V49" s="29"/>
      <c r="W49" s="29" t="s">
        <v>278</v>
      </c>
      <c r="X49" s="29"/>
      <c r="Y49" s="29"/>
      <c r="Z49" s="29"/>
      <c r="AA49" s="29"/>
      <c r="AB49" s="29"/>
      <c r="AC49" s="29"/>
      <c r="AD49" s="29"/>
      <c r="AE49" s="29"/>
    </row>
    <row r="50" customFormat="false" ht="53.25" hidden="false" customHeight="true" outlineLevel="0" collapsed="false">
      <c r="A50" s="29" t="str">
        <f aca="false">TAKVİM!$B$41</f>
        <v>07-11 Aralık</v>
      </c>
      <c r="B50" s="29"/>
      <c r="C50" s="29"/>
      <c r="D50" s="29" t="s">
        <v>292</v>
      </c>
      <c r="E50" s="29"/>
      <c r="F50" s="29"/>
      <c r="G50" s="29"/>
      <c r="H50" s="29"/>
      <c r="I50" s="29"/>
      <c r="J50" s="29"/>
      <c r="K50" s="29"/>
      <c r="L50" s="29" t="s">
        <v>291</v>
      </c>
      <c r="M50" s="29"/>
      <c r="N50" s="29"/>
      <c r="O50" s="29"/>
      <c r="P50" s="29"/>
      <c r="Q50" s="29"/>
      <c r="R50" s="29" t="s">
        <v>277</v>
      </c>
      <c r="S50" s="29"/>
      <c r="T50" s="29"/>
      <c r="U50" s="29"/>
      <c r="V50" s="29"/>
      <c r="W50" s="29" t="s">
        <v>278</v>
      </c>
      <c r="X50" s="29"/>
      <c r="Y50" s="29"/>
      <c r="Z50" s="29"/>
      <c r="AA50" s="29"/>
      <c r="AB50" s="29"/>
      <c r="AC50" s="29"/>
      <c r="AD50" s="29"/>
      <c r="AE50" s="29"/>
    </row>
    <row r="51" customFormat="false" ht="53.25" hidden="false" customHeight="true" outlineLevel="0" collapsed="false">
      <c r="A51" s="29" t="str">
        <f aca="false">TAKVİM!$B$42</f>
        <v>14-18 Aralık</v>
      </c>
      <c r="B51" s="29"/>
      <c r="C51" s="29"/>
      <c r="D51" s="29" t="s">
        <v>293</v>
      </c>
      <c r="E51" s="29"/>
      <c r="F51" s="29"/>
      <c r="G51" s="29"/>
      <c r="H51" s="29"/>
      <c r="I51" s="29"/>
      <c r="J51" s="29"/>
      <c r="K51" s="29"/>
      <c r="L51" s="29" t="s">
        <v>291</v>
      </c>
      <c r="M51" s="29"/>
      <c r="N51" s="29"/>
      <c r="O51" s="29"/>
      <c r="P51" s="29"/>
      <c r="Q51" s="29"/>
      <c r="R51" s="29" t="s">
        <v>277</v>
      </c>
      <c r="S51" s="29"/>
      <c r="T51" s="29"/>
      <c r="U51" s="29"/>
      <c r="V51" s="29"/>
      <c r="W51" s="29" t="s">
        <v>278</v>
      </c>
      <c r="X51" s="29"/>
      <c r="Y51" s="29"/>
      <c r="Z51" s="29"/>
      <c r="AA51" s="29"/>
      <c r="AB51" s="29"/>
      <c r="AC51" s="29"/>
      <c r="AD51" s="29"/>
      <c r="AE51" s="29"/>
    </row>
    <row r="52" customFormat="false" ht="53.25" hidden="false" customHeight="true" outlineLevel="0" collapsed="false">
      <c r="A52" s="29" t="str">
        <f aca="false">TAKVİM!$B$43</f>
        <v>21-25 Aralık</v>
      </c>
      <c r="B52" s="29"/>
      <c r="C52" s="29"/>
      <c r="D52" s="29" t="s">
        <v>293</v>
      </c>
      <c r="E52" s="29"/>
      <c r="F52" s="29"/>
      <c r="G52" s="29"/>
      <c r="H52" s="29"/>
      <c r="I52" s="29"/>
      <c r="J52" s="29"/>
      <c r="K52" s="29"/>
      <c r="L52" s="29" t="s">
        <v>291</v>
      </c>
      <c r="M52" s="29"/>
      <c r="N52" s="29"/>
      <c r="O52" s="29"/>
      <c r="P52" s="29"/>
      <c r="Q52" s="29"/>
      <c r="R52" s="29" t="s">
        <v>277</v>
      </c>
      <c r="S52" s="29"/>
      <c r="T52" s="29"/>
      <c r="U52" s="29"/>
      <c r="V52" s="29"/>
      <c r="W52" s="29" t="s">
        <v>278</v>
      </c>
      <c r="X52" s="29"/>
      <c r="Y52" s="29"/>
      <c r="Z52" s="29"/>
      <c r="AA52" s="29"/>
      <c r="AB52" s="29"/>
      <c r="AC52" s="29"/>
      <c r="AD52" s="29"/>
      <c r="AE52" s="29"/>
    </row>
    <row r="53" customFormat="false" ht="74.25" hidden="false" customHeight="true" outlineLevel="0" collapsed="false">
      <c r="A53" s="29" t="str">
        <f aca="false">TAKVİM!$B$44</f>
        <v>28 Aralık - 01 Ocak</v>
      </c>
      <c r="B53" s="29"/>
      <c r="C53" s="29"/>
      <c r="D53" s="29" t="s">
        <v>294</v>
      </c>
      <c r="E53" s="29"/>
      <c r="F53" s="29"/>
      <c r="G53" s="29"/>
      <c r="H53" s="29"/>
      <c r="I53" s="29"/>
      <c r="J53" s="29"/>
      <c r="K53" s="29"/>
      <c r="L53" s="29" t="s">
        <v>295</v>
      </c>
      <c r="M53" s="29"/>
      <c r="N53" s="29"/>
      <c r="O53" s="29"/>
      <c r="P53" s="29"/>
      <c r="Q53" s="29"/>
      <c r="R53" s="29" t="s">
        <v>277</v>
      </c>
      <c r="S53" s="29"/>
      <c r="T53" s="29"/>
      <c r="U53" s="29"/>
      <c r="V53" s="29"/>
      <c r="W53" s="29" t="s">
        <v>278</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296</v>
      </c>
      <c r="E54" s="29"/>
      <c r="F54" s="29"/>
      <c r="G54" s="29"/>
      <c r="H54" s="29"/>
      <c r="I54" s="29"/>
      <c r="J54" s="29"/>
      <c r="K54" s="29"/>
      <c r="L54" s="29" t="s">
        <v>295</v>
      </c>
      <c r="M54" s="29"/>
      <c r="N54" s="29"/>
      <c r="O54" s="29"/>
      <c r="P54" s="29"/>
      <c r="Q54" s="29"/>
      <c r="R54" s="29" t="s">
        <v>277</v>
      </c>
      <c r="S54" s="29"/>
      <c r="T54" s="29"/>
      <c r="U54" s="29"/>
      <c r="V54" s="29"/>
      <c r="W54" s="29" t="s">
        <v>278</v>
      </c>
      <c r="X54" s="29"/>
      <c r="Y54" s="29"/>
      <c r="Z54" s="29"/>
      <c r="AA54" s="29"/>
      <c r="AB54" s="29"/>
      <c r="AC54" s="29"/>
      <c r="AD54" s="29"/>
      <c r="AE54" s="29"/>
    </row>
    <row r="55" customFormat="false" ht="53.25" hidden="false" customHeight="true" outlineLevel="0" collapsed="false">
      <c r="A55" s="29" t="str">
        <f aca="false">TAKVİM!$B$46</f>
        <v>11-15 Ocak</v>
      </c>
      <c r="B55" s="29"/>
      <c r="C55" s="29"/>
      <c r="D55" s="29" t="s">
        <v>297</v>
      </c>
      <c r="E55" s="29"/>
      <c r="F55" s="29"/>
      <c r="G55" s="29"/>
      <c r="H55" s="29"/>
      <c r="I55" s="29"/>
      <c r="J55" s="29"/>
      <c r="K55" s="29"/>
      <c r="L55" s="29" t="s">
        <v>295</v>
      </c>
      <c r="M55" s="29"/>
      <c r="N55" s="29"/>
      <c r="O55" s="29"/>
      <c r="P55" s="29"/>
      <c r="Q55" s="29"/>
      <c r="R55" s="29" t="s">
        <v>277</v>
      </c>
      <c r="S55" s="29"/>
      <c r="T55" s="29"/>
      <c r="U55" s="29"/>
      <c r="V55" s="29"/>
      <c r="W55" s="29" t="s">
        <v>278</v>
      </c>
      <c r="X55" s="29"/>
      <c r="Y55" s="29"/>
      <c r="Z55" s="29"/>
      <c r="AA55" s="29"/>
      <c r="AB55" s="29"/>
      <c r="AC55" s="29"/>
      <c r="AD55" s="29"/>
      <c r="AE55" s="29"/>
    </row>
    <row r="56" customFormat="false" ht="53.25" hidden="false" customHeight="true" outlineLevel="0" collapsed="false">
      <c r="A56" s="29" t="str">
        <f aca="false">TAKVİM!$B$47</f>
        <v>18-22 Ocak</v>
      </c>
      <c r="B56" s="29"/>
      <c r="C56" s="29"/>
      <c r="D56" s="29" t="s">
        <v>297</v>
      </c>
      <c r="E56" s="29"/>
      <c r="F56" s="29"/>
      <c r="G56" s="29"/>
      <c r="H56" s="29"/>
      <c r="I56" s="29"/>
      <c r="J56" s="29"/>
      <c r="K56" s="29"/>
      <c r="L56" s="29" t="s">
        <v>295</v>
      </c>
      <c r="M56" s="29"/>
      <c r="N56" s="29"/>
      <c r="O56" s="29"/>
      <c r="P56" s="29"/>
      <c r="Q56" s="29"/>
      <c r="R56" s="29" t="s">
        <v>277</v>
      </c>
      <c r="S56" s="29"/>
      <c r="T56" s="29"/>
      <c r="U56" s="29"/>
      <c r="V56" s="29"/>
      <c r="W56" s="29" t="s">
        <v>278</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74.25" hidden="false" customHeight="true" outlineLevel="0" collapsed="false">
      <c r="A58" s="29" t="str">
        <f aca="false">TAKVİM!$B$49</f>
        <v>08-12 Şubat</v>
      </c>
      <c r="B58" s="29"/>
      <c r="C58" s="29"/>
      <c r="D58" s="29" t="s">
        <v>298</v>
      </c>
      <c r="E58" s="29"/>
      <c r="F58" s="29"/>
      <c r="G58" s="29"/>
      <c r="H58" s="29"/>
      <c r="I58" s="29"/>
      <c r="J58" s="29"/>
      <c r="K58" s="29"/>
      <c r="L58" s="29" t="s">
        <v>299</v>
      </c>
      <c r="M58" s="29"/>
      <c r="N58" s="29"/>
      <c r="O58" s="29"/>
      <c r="P58" s="29"/>
      <c r="Q58" s="29"/>
      <c r="R58" s="29" t="s">
        <v>277</v>
      </c>
      <c r="S58" s="29"/>
      <c r="T58" s="29"/>
      <c r="U58" s="29"/>
      <c r="V58" s="29"/>
      <c r="W58" s="29" t="s">
        <v>278</v>
      </c>
      <c r="X58" s="29"/>
      <c r="Y58" s="29"/>
      <c r="Z58" s="29"/>
      <c r="AA58" s="29"/>
      <c r="AB58" s="29"/>
      <c r="AC58" s="29"/>
      <c r="AD58" s="29"/>
      <c r="AE58" s="29"/>
    </row>
    <row r="59" customFormat="false" ht="74.25" hidden="false" customHeight="true" outlineLevel="0" collapsed="false">
      <c r="A59" s="29" t="str">
        <f aca="false">TAKVİM!$B$50</f>
        <v>15-19 Şubat</v>
      </c>
      <c r="B59" s="29"/>
      <c r="C59" s="29"/>
      <c r="D59" s="29" t="s">
        <v>300</v>
      </c>
      <c r="E59" s="29"/>
      <c r="F59" s="29"/>
      <c r="G59" s="29"/>
      <c r="H59" s="29"/>
      <c r="I59" s="29"/>
      <c r="J59" s="29"/>
      <c r="K59" s="29"/>
      <c r="L59" s="29" t="s">
        <v>301</v>
      </c>
      <c r="M59" s="29"/>
      <c r="N59" s="29"/>
      <c r="O59" s="29"/>
      <c r="P59" s="29"/>
      <c r="Q59" s="29"/>
      <c r="R59" s="29" t="s">
        <v>277</v>
      </c>
      <c r="S59" s="29"/>
      <c r="T59" s="29"/>
      <c r="U59" s="29"/>
      <c r="V59" s="29"/>
      <c r="W59" s="29" t="s">
        <v>278</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302</v>
      </c>
      <c r="E60" s="29"/>
      <c r="F60" s="29"/>
      <c r="G60" s="29"/>
      <c r="H60" s="29"/>
      <c r="I60" s="29"/>
      <c r="J60" s="29"/>
      <c r="K60" s="29"/>
      <c r="L60" s="29" t="s">
        <v>301</v>
      </c>
      <c r="M60" s="29"/>
      <c r="N60" s="29"/>
      <c r="O60" s="29"/>
      <c r="P60" s="29"/>
      <c r="Q60" s="29"/>
      <c r="R60" s="29" t="s">
        <v>277</v>
      </c>
      <c r="S60" s="29"/>
      <c r="T60" s="29"/>
      <c r="U60" s="29"/>
      <c r="V60" s="29"/>
      <c r="W60" s="29" t="s">
        <v>278</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302</v>
      </c>
      <c r="E61" s="29"/>
      <c r="F61" s="29"/>
      <c r="G61" s="29"/>
      <c r="H61" s="29"/>
      <c r="I61" s="29"/>
      <c r="J61" s="29"/>
      <c r="K61" s="29"/>
      <c r="L61" s="29" t="s">
        <v>301</v>
      </c>
      <c r="M61" s="29"/>
      <c r="N61" s="29"/>
      <c r="O61" s="29"/>
      <c r="P61" s="29"/>
      <c r="Q61" s="29"/>
      <c r="R61" s="29" t="s">
        <v>277</v>
      </c>
      <c r="S61" s="29"/>
      <c r="T61" s="29"/>
      <c r="U61" s="29"/>
      <c r="V61" s="29"/>
      <c r="W61" s="29" t="s">
        <v>278</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95.25" hidden="false" customHeight="true" outlineLevel="0" collapsed="false">
      <c r="A63" s="29" t="str">
        <f aca="false">TAKVİM!$B$54</f>
        <v>15-19 Mart</v>
      </c>
      <c r="B63" s="29"/>
      <c r="C63" s="29"/>
      <c r="D63" s="29" t="s">
        <v>303</v>
      </c>
      <c r="E63" s="29"/>
      <c r="F63" s="29"/>
      <c r="G63" s="29"/>
      <c r="H63" s="29"/>
      <c r="I63" s="29"/>
      <c r="J63" s="29"/>
      <c r="K63" s="29"/>
      <c r="L63" s="29" t="s">
        <v>304</v>
      </c>
      <c r="M63" s="29"/>
      <c r="N63" s="29"/>
      <c r="O63" s="29"/>
      <c r="P63" s="29"/>
      <c r="Q63" s="29"/>
      <c r="R63" s="29" t="s">
        <v>277</v>
      </c>
      <c r="S63" s="29"/>
      <c r="T63" s="29"/>
      <c r="U63" s="29"/>
      <c r="V63" s="29"/>
      <c r="W63" s="29" t="s">
        <v>278</v>
      </c>
      <c r="X63" s="29"/>
      <c r="Y63" s="29"/>
      <c r="Z63" s="29"/>
      <c r="AA63" s="29"/>
      <c r="AB63" s="29"/>
      <c r="AC63" s="29"/>
      <c r="AD63" s="29"/>
      <c r="AE63" s="29"/>
    </row>
    <row r="64" customFormat="false" ht="63.75" hidden="false" customHeight="true" outlineLevel="0" collapsed="false">
      <c r="A64" s="29" t="str">
        <f aca="false">TAKVİM!$B$55</f>
        <v>22-26 Mart</v>
      </c>
      <c r="B64" s="29"/>
      <c r="C64" s="29"/>
      <c r="D64" s="29" t="s">
        <v>305</v>
      </c>
      <c r="E64" s="29"/>
      <c r="F64" s="29"/>
      <c r="G64" s="29"/>
      <c r="H64" s="29"/>
      <c r="I64" s="29"/>
      <c r="J64" s="29"/>
      <c r="K64" s="29"/>
      <c r="L64" s="29" t="s">
        <v>304</v>
      </c>
      <c r="M64" s="29"/>
      <c r="N64" s="29"/>
      <c r="O64" s="29"/>
      <c r="P64" s="29"/>
      <c r="Q64" s="29"/>
      <c r="R64" s="29" t="s">
        <v>277</v>
      </c>
      <c r="S64" s="29"/>
      <c r="T64" s="29"/>
      <c r="U64" s="29"/>
      <c r="V64" s="29"/>
      <c r="W64" s="29" t="s">
        <v>278</v>
      </c>
      <c r="X64" s="29"/>
      <c r="Y64" s="29"/>
      <c r="Z64" s="29"/>
      <c r="AA64" s="29"/>
      <c r="AB64" s="29"/>
      <c r="AC64" s="29"/>
      <c r="AD64" s="29"/>
      <c r="AE64" s="29"/>
    </row>
    <row r="65" customFormat="false" ht="74.25" hidden="false" customHeight="true" outlineLevel="0" collapsed="false">
      <c r="A65" s="29" t="str">
        <f aca="false">TAKVİM!$B$56</f>
        <v>29 Mart - 02 Nisan</v>
      </c>
      <c r="B65" s="29"/>
      <c r="C65" s="29"/>
      <c r="D65" s="29" t="s">
        <v>306</v>
      </c>
      <c r="E65" s="29"/>
      <c r="F65" s="29"/>
      <c r="G65" s="29"/>
      <c r="H65" s="29"/>
      <c r="I65" s="29"/>
      <c r="J65" s="29"/>
      <c r="K65" s="29"/>
      <c r="L65" s="29" t="s">
        <v>307</v>
      </c>
      <c r="M65" s="29"/>
      <c r="N65" s="29"/>
      <c r="O65" s="29"/>
      <c r="P65" s="29"/>
      <c r="Q65" s="29"/>
      <c r="R65" s="29" t="s">
        <v>277</v>
      </c>
      <c r="S65" s="29"/>
      <c r="T65" s="29"/>
      <c r="U65" s="29"/>
      <c r="V65" s="29"/>
      <c r="W65" s="29" t="s">
        <v>278</v>
      </c>
      <c r="X65" s="29"/>
      <c r="Y65" s="29"/>
      <c r="Z65" s="29"/>
      <c r="AA65" s="29"/>
      <c r="AB65" s="29"/>
      <c r="AC65" s="29"/>
      <c r="AD65" s="29"/>
      <c r="AE65" s="29"/>
    </row>
    <row r="66" customFormat="false" ht="74.25" hidden="false" customHeight="true" outlineLevel="0" collapsed="false">
      <c r="A66" s="29" t="str">
        <f aca="false">TAKVİM!$B$57</f>
        <v>05-09 Nisan</v>
      </c>
      <c r="B66" s="29"/>
      <c r="C66" s="29"/>
      <c r="D66" s="29" t="s">
        <v>308</v>
      </c>
      <c r="E66" s="29"/>
      <c r="F66" s="29"/>
      <c r="G66" s="29"/>
      <c r="H66" s="29"/>
      <c r="I66" s="29"/>
      <c r="J66" s="29"/>
      <c r="K66" s="29"/>
      <c r="L66" s="29" t="s">
        <v>307</v>
      </c>
      <c r="M66" s="29"/>
      <c r="N66" s="29"/>
      <c r="O66" s="29"/>
      <c r="P66" s="29"/>
      <c r="Q66" s="29"/>
      <c r="R66" s="29" t="s">
        <v>277</v>
      </c>
      <c r="S66" s="29"/>
      <c r="T66" s="29"/>
      <c r="U66" s="29"/>
      <c r="V66" s="29"/>
      <c r="W66" s="29" t="s">
        <v>278</v>
      </c>
      <c r="X66" s="29"/>
      <c r="Y66" s="29"/>
      <c r="Z66" s="29"/>
      <c r="AA66" s="29"/>
      <c r="AB66" s="29"/>
      <c r="AC66" s="29"/>
      <c r="AD66" s="29"/>
      <c r="AE66" s="29"/>
    </row>
    <row r="67" customFormat="false" ht="63.75" hidden="false" customHeight="true" outlineLevel="0" collapsed="false">
      <c r="A67" s="29" t="str">
        <f aca="false">TAKVİM!$B$58</f>
        <v>12-16 Nisan</v>
      </c>
      <c r="B67" s="29"/>
      <c r="C67" s="29"/>
      <c r="D67" s="29" t="s">
        <v>309</v>
      </c>
      <c r="E67" s="29"/>
      <c r="F67" s="29"/>
      <c r="G67" s="29"/>
      <c r="H67" s="29"/>
      <c r="I67" s="29"/>
      <c r="J67" s="29"/>
      <c r="K67" s="29"/>
      <c r="L67" s="29" t="s">
        <v>310</v>
      </c>
      <c r="M67" s="29"/>
      <c r="N67" s="29"/>
      <c r="O67" s="29"/>
      <c r="P67" s="29"/>
      <c r="Q67" s="29"/>
      <c r="R67" s="29" t="s">
        <v>277</v>
      </c>
      <c r="S67" s="29"/>
      <c r="T67" s="29"/>
      <c r="U67" s="29"/>
      <c r="V67" s="29"/>
      <c r="W67" s="29" t="s">
        <v>278</v>
      </c>
      <c r="X67" s="29"/>
      <c r="Y67" s="29"/>
      <c r="Z67" s="29"/>
      <c r="AA67" s="29"/>
      <c r="AB67" s="29"/>
      <c r="AC67" s="29"/>
      <c r="AD67" s="29"/>
      <c r="AE67" s="29"/>
    </row>
    <row r="68" customFormat="false" ht="63.75" hidden="false" customHeight="true" outlineLevel="0" collapsed="false">
      <c r="A68" s="29" t="str">
        <f aca="false">TAKVİM!$B$59</f>
        <v>19-23 Nisan</v>
      </c>
      <c r="B68" s="29"/>
      <c r="C68" s="29"/>
      <c r="D68" s="29" t="s">
        <v>311</v>
      </c>
      <c r="E68" s="29"/>
      <c r="F68" s="29"/>
      <c r="G68" s="29"/>
      <c r="H68" s="29"/>
      <c r="I68" s="29"/>
      <c r="J68" s="29"/>
      <c r="K68" s="29"/>
      <c r="L68" s="29" t="s">
        <v>312</v>
      </c>
      <c r="M68" s="29"/>
      <c r="N68" s="29"/>
      <c r="O68" s="29"/>
      <c r="P68" s="29"/>
      <c r="Q68" s="29"/>
      <c r="R68" s="29" t="s">
        <v>277</v>
      </c>
      <c r="S68" s="29"/>
      <c r="T68" s="29"/>
      <c r="U68" s="29"/>
      <c r="V68" s="29"/>
      <c r="W68" s="29" t="s">
        <v>278</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313</v>
      </c>
      <c r="E69" s="29"/>
      <c r="F69" s="29"/>
      <c r="G69" s="29"/>
      <c r="H69" s="29"/>
      <c r="I69" s="29"/>
      <c r="J69" s="29"/>
      <c r="K69" s="29"/>
      <c r="L69" s="29" t="s">
        <v>312</v>
      </c>
      <c r="M69" s="29"/>
      <c r="N69" s="29"/>
      <c r="O69" s="29"/>
      <c r="P69" s="29"/>
      <c r="Q69" s="29"/>
      <c r="R69" s="29" t="s">
        <v>277</v>
      </c>
      <c r="S69" s="29"/>
      <c r="T69" s="29"/>
      <c r="U69" s="29"/>
      <c r="V69" s="29"/>
      <c r="W69" s="29" t="s">
        <v>278</v>
      </c>
      <c r="X69" s="29"/>
      <c r="Y69" s="29"/>
      <c r="Z69" s="29"/>
      <c r="AA69" s="29"/>
      <c r="AB69" s="29"/>
      <c r="AC69" s="29"/>
      <c r="AD69" s="29"/>
      <c r="AE69" s="29"/>
    </row>
    <row r="70" customFormat="false" ht="74.25" hidden="false" customHeight="true" outlineLevel="0" collapsed="false">
      <c r="A70" s="29" t="str">
        <f aca="false">TAKVİM!$B$61</f>
        <v>03-07 Mayıs</v>
      </c>
      <c r="B70" s="29"/>
      <c r="C70" s="29"/>
      <c r="D70" s="29" t="s">
        <v>314</v>
      </c>
      <c r="E70" s="29"/>
      <c r="F70" s="29"/>
      <c r="G70" s="29"/>
      <c r="H70" s="29"/>
      <c r="I70" s="29"/>
      <c r="J70" s="29"/>
      <c r="K70" s="29"/>
      <c r="L70" s="29" t="s">
        <v>315</v>
      </c>
      <c r="M70" s="29"/>
      <c r="N70" s="29"/>
      <c r="O70" s="29"/>
      <c r="P70" s="29"/>
      <c r="Q70" s="29"/>
      <c r="R70" s="29" t="s">
        <v>277</v>
      </c>
      <c r="S70" s="29"/>
      <c r="T70" s="29"/>
      <c r="U70" s="29"/>
      <c r="V70" s="29"/>
      <c r="W70" s="29" t="s">
        <v>278</v>
      </c>
      <c r="X70" s="29"/>
      <c r="Y70" s="29"/>
      <c r="Z70" s="29"/>
      <c r="AA70" s="29"/>
      <c r="AB70" s="29"/>
      <c r="AC70" s="29"/>
      <c r="AD70" s="29"/>
      <c r="AE70" s="29"/>
    </row>
    <row r="71" customFormat="false" ht="84.75" hidden="false" customHeight="true" outlineLevel="0" collapsed="false">
      <c r="A71" s="29" t="str">
        <f aca="false">TAKVİM!$B$62</f>
        <v>10-14 Mayıs</v>
      </c>
      <c r="B71" s="29"/>
      <c r="C71" s="29"/>
      <c r="D71" s="29" t="s">
        <v>316</v>
      </c>
      <c r="E71" s="29"/>
      <c r="F71" s="29"/>
      <c r="G71" s="29"/>
      <c r="H71" s="29"/>
      <c r="I71" s="29"/>
      <c r="J71" s="29"/>
      <c r="K71" s="29"/>
      <c r="L71" s="29" t="s">
        <v>315</v>
      </c>
      <c r="M71" s="29"/>
      <c r="N71" s="29"/>
      <c r="O71" s="29"/>
      <c r="P71" s="29"/>
      <c r="Q71" s="29"/>
      <c r="R71" s="29" t="s">
        <v>277</v>
      </c>
      <c r="S71" s="29"/>
      <c r="T71" s="29"/>
      <c r="U71" s="29"/>
      <c r="V71" s="29"/>
      <c r="W71" s="29" t="s">
        <v>278</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317</v>
      </c>
      <c r="E72" s="29"/>
      <c r="F72" s="29"/>
      <c r="G72" s="29"/>
      <c r="H72" s="29"/>
      <c r="I72" s="29"/>
      <c r="J72" s="29"/>
      <c r="K72" s="29"/>
      <c r="L72" s="29" t="s">
        <v>315</v>
      </c>
      <c r="M72" s="29"/>
      <c r="N72" s="29"/>
      <c r="O72" s="29"/>
      <c r="P72" s="29"/>
      <c r="Q72" s="29"/>
      <c r="R72" s="29" t="s">
        <v>277</v>
      </c>
      <c r="S72" s="29"/>
      <c r="T72" s="29"/>
      <c r="U72" s="29"/>
      <c r="V72" s="29"/>
      <c r="W72" s="29" t="s">
        <v>278</v>
      </c>
      <c r="X72" s="29"/>
      <c r="Y72" s="29"/>
      <c r="Z72" s="29"/>
      <c r="AA72" s="29"/>
      <c r="AB72" s="29"/>
      <c r="AC72" s="29"/>
      <c r="AD72" s="29"/>
      <c r="AE72" s="29"/>
    </row>
    <row r="73" customFormat="false" ht="74.25" hidden="false" customHeight="true" outlineLevel="0" collapsed="false">
      <c r="A73" s="29" t="str">
        <f aca="false">TAKVİM!$B$64</f>
        <v>24-28 Mayıs</v>
      </c>
      <c r="B73" s="29"/>
      <c r="C73" s="29"/>
      <c r="D73" s="29" t="s">
        <v>318</v>
      </c>
      <c r="E73" s="29"/>
      <c r="F73" s="29"/>
      <c r="G73" s="29"/>
      <c r="H73" s="29"/>
      <c r="I73" s="29"/>
      <c r="J73" s="29"/>
      <c r="K73" s="29"/>
      <c r="L73" s="29" t="s">
        <v>319</v>
      </c>
      <c r="M73" s="29"/>
      <c r="N73" s="29"/>
      <c r="O73" s="29"/>
      <c r="P73" s="29"/>
      <c r="Q73" s="29"/>
      <c r="R73" s="29" t="s">
        <v>277</v>
      </c>
      <c r="S73" s="29"/>
      <c r="T73" s="29"/>
      <c r="U73" s="29"/>
      <c r="V73" s="29"/>
      <c r="W73" s="29" t="s">
        <v>278</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320</v>
      </c>
      <c r="E74" s="29"/>
      <c r="F74" s="29"/>
      <c r="G74" s="29"/>
      <c r="H74" s="29"/>
      <c r="I74" s="29"/>
      <c r="J74" s="29"/>
      <c r="K74" s="29"/>
      <c r="L74" s="29" t="s">
        <v>319</v>
      </c>
      <c r="M74" s="29"/>
      <c r="N74" s="29"/>
      <c r="O74" s="29"/>
      <c r="P74" s="29"/>
      <c r="Q74" s="29"/>
      <c r="R74" s="29" t="s">
        <v>277</v>
      </c>
      <c r="S74" s="29"/>
      <c r="T74" s="29"/>
      <c r="U74" s="29"/>
      <c r="V74" s="29"/>
      <c r="W74" s="29" t="s">
        <v>278</v>
      </c>
      <c r="X74" s="29"/>
      <c r="Y74" s="29"/>
      <c r="Z74" s="29"/>
      <c r="AA74" s="29"/>
      <c r="AB74" s="29"/>
      <c r="AC74" s="29"/>
      <c r="AD74" s="29"/>
      <c r="AE74" s="29"/>
    </row>
    <row r="75" customFormat="false" ht="42.75" hidden="false" customHeight="true" outlineLevel="0" collapsed="false">
      <c r="A75" s="29" t="str">
        <f aca="false">TAKVİM!$B$66</f>
        <v>07-11 Haziran</v>
      </c>
      <c r="B75" s="29"/>
      <c r="C75" s="29"/>
      <c r="D75" s="29" t="s">
        <v>320</v>
      </c>
      <c r="E75" s="29"/>
      <c r="F75" s="29"/>
      <c r="G75" s="29"/>
      <c r="H75" s="29"/>
      <c r="I75" s="29"/>
      <c r="J75" s="29"/>
      <c r="K75" s="29"/>
      <c r="L75" s="29" t="s">
        <v>319</v>
      </c>
      <c r="M75" s="29"/>
      <c r="N75" s="29"/>
      <c r="O75" s="29"/>
      <c r="P75" s="29"/>
      <c r="Q75" s="29"/>
      <c r="R75" s="29" t="s">
        <v>277</v>
      </c>
      <c r="S75" s="29"/>
      <c r="T75" s="29"/>
      <c r="U75" s="29"/>
      <c r="V75" s="29"/>
      <c r="W75" s="29" t="s">
        <v>278</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320</v>
      </c>
      <c r="E76" s="29"/>
      <c r="F76" s="29"/>
      <c r="G76" s="29"/>
      <c r="H76" s="29"/>
      <c r="I76" s="29"/>
      <c r="J76" s="29"/>
      <c r="K76" s="29"/>
      <c r="L76" s="29" t="s">
        <v>319</v>
      </c>
      <c r="M76" s="29"/>
      <c r="N76" s="29"/>
      <c r="O76" s="29"/>
      <c r="P76" s="29"/>
      <c r="Q76" s="29"/>
      <c r="R76" s="29" t="s">
        <v>277</v>
      </c>
      <c r="S76" s="29"/>
      <c r="T76" s="29"/>
      <c r="U76" s="29"/>
      <c r="V76" s="29"/>
      <c r="W76" s="29" t="s">
        <v>278</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320</v>
      </c>
      <c r="E77" s="29"/>
      <c r="F77" s="29"/>
      <c r="G77" s="29"/>
      <c r="H77" s="29"/>
      <c r="I77" s="29"/>
      <c r="J77" s="29"/>
      <c r="K77" s="29"/>
      <c r="L77" s="29" t="s">
        <v>319</v>
      </c>
      <c r="M77" s="29"/>
      <c r="N77" s="29"/>
      <c r="O77" s="29"/>
      <c r="P77" s="29"/>
      <c r="Q77" s="29"/>
      <c r="R77" s="29" t="s">
        <v>277</v>
      </c>
      <c r="S77" s="29"/>
      <c r="T77" s="29"/>
      <c r="U77" s="29"/>
      <c r="V77" s="29"/>
      <c r="W77" s="29" t="s">
        <v>278</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321</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323</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32.25" hidden="false" customHeight="true" outlineLevel="0" collapsed="false">
      <c r="A38" s="29" t="str">
        <f aca="false">TAKVİM!$B$29</f>
        <v>14-18 Eylül</v>
      </c>
      <c r="B38" s="29"/>
      <c r="C38" s="29"/>
      <c r="D38" s="29" t="s">
        <v>324</v>
      </c>
      <c r="E38" s="29"/>
      <c r="F38" s="29"/>
      <c r="G38" s="29"/>
      <c r="H38" s="29"/>
      <c r="I38" s="29"/>
      <c r="J38" s="29"/>
      <c r="K38" s="29"/>
      <c r="L38" s="29" t="s">
        <v>325</v>
      </c>
      <c r="M38" s="29"/>
      <c r="N38" s="29"/>
      <c r="O38" s="29"/>
      <c r="P38" s="29"/>
      <c r="Q38" s="29"/>
      <c r="R38" s="29" t="s">
        <v>326</v>
      </c>
      <c r="S38" s="29"/>
      <c r="T38" s="29"/>
      <c r="U38" s="29"/>
      <c r="V38" s="29"/>
      <c r="W38" s="29" t="s">
        <v>327</v>
      </c>
      <c r="X38" s="29"/>
      <c r="Y38" s="29"/>
      <c r="Z38" s="29"/>
      <c r="AA38" s="29"/>
      <c r="AB38" s="29"/>
      <c r="AC38" s="29"/>
      <c r="AD38" s="29"/>
      <c r="AE38" s="29"/>
    </row>
    <row r="39" customFormat="false" ht="32.25" hidden="false" customHeight="true" outlineLevel="0" collapsed="false">
      <c r="A39" s="29" t="str">
        <f aca="false">TAKVİM!$B$30</f>
        <v>21-25 Eylül</v>
      </c>
      <c r="B39" s="29"/>
      <c r="C39" s="29"/>
      <c r="D39" s="29" t="s">
        <v>324</v>
      </c>
      <c r="E39" s="29"/>
      <c r="F39" s="29"/>
      <c r="G39" s="29"/>
      <c r="H39" s="29"/>
      <c r="I39" s="29"/>
      <c r="J39" s="29"/>
      <c r="K39" s="29"/>
      <c r="L39" s="29" t="s">
        <v>328</v>
      </c>
      <c r="M39" s="29"/>
      <c r="N39" s="29"/>
      <c r="O39" s="29"/>
      <c r="P39" s="29"/>
      <c r="Q39" s="29"/>
      <c r="R39" s="29" t="s">
        <v>326</v>
      </c>
      <c r="S39" s="29"/>
      <c r="T39" s="29"/>
      <c r="U39" s="29"/>
      <c r="V39" s="29"/>
      <c r="W39" s="29" t="s">
        <v>327</v>
      </c>
      <c r="X39" s="29"/>
      <c r="Y39" s="29"/>
      <c r="Z39" s="29"/>
      <c r="AA39" s="29"/>
      <c r="AB39" s="29"/>
      <c r="AC39" s="29"/>
      <c r="AD39" s="29"/>
      <c r="AE39" s="29"/>
    </row>
    <row r="40" customFormat="false" ht="42.75" hidden="false" customHeight="true" outlineLevel="0" collapsed="false">
      <c r="A40" s="29" t="str">
        <f aca="false">TAKVİM!$B$31</f>
        <v>28 Eylül - 02 Ekim</v>
      </c>
      <c r="B40" s="29"/>
      <c r="C40" s="29"/>
      <c r="D40" s="29" t="s">
        <v>329</v>
      </c>
      <c r="E40" s="29"/>
      <c r="F40" s="29"/>
      <c r="G40" s="29"/>
      <c r="H40" s="29"/>
      <c r="I40" s="29"/>
      <c r="J40" s="29"/>
      <c r="K40" s="29"/>
      <c r="L40" s="29" t="s">
        <v>330</v>
      </c>
      <c r="M40" s="29"/>
      <c r="N40" s="29"/>
      <c r="O40" s="29"/>
      <c r="P40" s="29"/>
      <c r="Q40" s="29"/>
      <c r="R40" s="29" t="s">
        <v>326</v>
      </c>
      <c r="S40" s="29"/>
      <c r="T40" s="29"/>
      <c r="U40" s="29"/>
      <c r="V40" s="29"/>
      <c r="W40" s="29" t="s">
        <v>327</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331</v>
      </c>
      <c r="E41" s="29"/>
      <c r="F41" s="29"/>
      <c r="G41" s="29"/>
      <c r="H41" s="29"/>
      <c r="I41" s="29"/>
      <c r="J41" s="29"/>
      <c r="K41" s="29"/>
      <c r="L41" s="29" t="s">
        <v>330</v>
      </c>
      <c r="M41" s="29"/>
      <c r="N41" s="29"/>
      <c r="O41" s="29"/>
      <c r="P41" s="29"/>
      <c r="Q41" s="29"/>
      <c r="R41" s="29" t="s">
        <v>326</v>
      </c>
      <c r="S41" s="29"/>
      <c r="T41" s="29"/>
      <c r="U41" s="29"/>
      <c r="V41" s="29"/>
      <c r="W41" s="29" t="s">
        <v>327</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331</v>
      </c>
      <c r="E42" s="29"/>
      <c r="F42" s="29"/>
      <c r="G42" s="29"/>
      <c r="H42" s="29"/>
      <c r="I42" s="29"/>
      <c r="J42" s="29"/>
      <c r="K42" s="29"/>
      <c r="L42" s="29" t="s">
        <v>330</v>
      </c>
      <c r="M42" s="29"/>
      <c r="N42" s="29"/>
      <c r="O42" s="29"/>
      <c r="P42" s="29"/>
      <c r="Q42" s="29"/>
      <c r="R42" s="29" t="s">
        <v>326</v>
      </c>
      <c r="S42" s="29"/>
      <c r="T42" s="29"/>
      <c r="U42" s="29"/>
      <c r="V42" s="29"/>
      <c r="W42" s="29" t="s">
        <v>327</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331</v>
      </c>
      <c r="E43" s="29"/>
      <c r="F43" s="29"/>
      <c r="G43" s="29"/>
      <c r="H43" s="29"/>
      <c r="I43" s="29"/>
      <c r="J43" s="29"/>
      <c r="K43" s="29"/>
      <c r="L43" s="29" t="s">
        <v>330</v>
      </c>
      <c r="M43" s="29"/>
      <c r="N43" s="29"/>
      <c r="O43" s="29"/>
      <c r="P43" s="29"/>
      <c r="Q43" s="29"/>
      <c r="R43" s="29" t="s">
        <v>326</v>
      </c>
      <c r="S43" s="29"/>
      <c r="T43" s="29"/>
      <c r="U43" s="29"/>
      <c r="V43" s="29"/>
      <c r="W43" s="29" t="s">
        <v>327</v>
      </c>
      <c r="X43" s="29"/>
      <c r="Y43" s="29"/>
      <c r="Z43" s="29"/>
      <c r="AA43" s="29"/>
      <c r="AB43" s="29"/>
      <c r="AC43" s="29"/>
      <c r="AD43" s="29"/>
      <c r="AE43" s="29"/>
    </row>
    <row r="44" customFormat="false" ht="32.25" hidden="false" customHeight="true" outlineLevel="0" collapsed="false">
      <c r="A44" s="29" t="str">
        <f aca="false">TAKVİM!$B$35</f>
        <v>26-30 Ekim</v>
      </c>
      <c r="B44" s="29"/>
      <c r="C44" s="29"/>
      <c r="D44" s="29" t="s">
        <v>332</v>
      </c>
      <c r="E44" s="29"/>
      <c r="F44" s="29"/>
      <c r="G44" s="29"/>
      <c r="H44" s="29"/>
      <c r="I44" s="29"/>
      <c r="J44" s="29"/>
      <c r="K44" s="29"/>
      <c r="L44" s="29" t="s">
        <v>330</v>
      </c>
      <c r="M44" s="29"/>
      <c r="N44" s="29"/>
      <c r="O44" s="29"/>
      <c r="P44" s="29"/>
      <c r="Q44" s="29"/>
      <c r="R44" s="29" t="s">
        <v>326</v>
      </c>
      <c r="S44" s="29"/>
      <c r="T44" s="29"/>
      <c r="U44" s="29"/>
      <c r="V44" s="29"/>
      <c r="W44" s="29" t="s">
        <v>327</v>
      </c>
      <c r="X44" s="29"/>
      <c r="Y44" s="29"/>
      <c r="Z44" s="29"/>
      <c r="AA44" s="29"/>
      <c r="AB44" s="29"/>
      <c r="AC44" s="29"/>
      <c r="AD44" s="29"/>
      <c r="AE44" s="29"/>
    </row>
    <row r="45" customFormat="false" ht="42.75" hidden="false" customHeight="true" outlineLevel="0" collapsed="false">
      <c r="A45" s="29" t="str">
        <f aca="false">TAKVİM!$B$36</f>
        <v>02-06 Kasım</v>
      </c>
      <c r="B45" s="29"/>
      <c r="C45" s="29"/>
      <c r="D45" s="29" t="s">
        <v>333</v>
      </c>
      <c r="E45" s="29"/>
      <c r="F45" s="29"/>
      <c r="G45" s="29"/>
      <c r="H45" s="29"/>
      <c r="I45" s="29"/>
      <c r="J45" s="29"/>
      <c r="K45" s="29"/>
      <c r="L45" s="29" t="s">
        <v>334</v>
      </c>
      <c r="M45" s="29"/>
      <c r="N45" s="29"/>
      <c r="O45" s="29"/>
      <c r="P45" s="29"/>
      <c r="Q45" s="29"/>
      <c r="R45" s="29" t="s">
        <v>326</v>
      </c>
      <c r="S45" s="29"/>
      <c r="T45" s="29"/>
      <c r="U45" s="29"/>
      <c r="V45" s="29"/>
      <c r="W45" s="29" t="s">
        <v>327</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335</v>
      </c>
      <c r="E46" s="29"/>
      <c r="F46" s="29"/>
      <c r="G46" s="29"/>
      <c r="H46" s="29"/>
      <c r="I46" s="29"/>
      <c r="J46" s="29"/>
      <c r="K46" s="29"/>
      <c r="L46" s="29" t="s">
        <v>336</v>
      </c>
      <c r="M46" s="29"/>
      <c r="N46" s="29"/>
      <c r="O46" s="29"/>
      <c r="P46" s="29"/>
      <c r="Q46" s="29"/>
      <c r="R46" s="29" t="s">
        <v>326</v>
      </c>
      <c r="S46" s="29"/>
      <c r="T46" s="29"/>
      <c r="U46" s="29"/>
      <c r="V46" s="29"/>
      <c r="W46" s="29" t="s">
        <v>327</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337</v>
      </c>
      <c r="E48" s="29"/>
      <c r="F48" s="29"/>
      <c r="G48" s="29"/>
      <c r="H48" s="29"/>
      <c r="I48" s="29"/>
      <c r="J48" s="29"/>
      <c r="K48" s="29"/>
      <c r="L48" s="29" t="s">
        <v>338</v>
      </c>
      <c r="M48" s="29"/>
      <c r="N48" s="29"/>
      <c r="O48" s="29"/>
      <c r="P48" s="29"/>
      <c r="Q48" s="29"/>
      <c r="R48" s="29" t="s">
        <v>326</v>
      </c>
      <c r="S48" s="29"/>
      <c r="T48" s="29"/>
      <c r="U48" s="29"/>
      <c r="V48" s="29"/>
      <c r="W48" s="29" t="s">
        <v>327</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337</v>
      </c>
      <c r="E49" s="29"/>
      <c r="F49" s="29"/>
      <c r="G49" s="29"/>
      <c r="H49" s="29"/>
      <c r="I49" s="29"/>
      <c r="J49" s="29"/>
      <c r="K49" s="29"/>
      <c r="L49" s="29" t="s">
        <v>338</v>
      </c>
      <c r="M49" s="29"/>
      <c r="N49" s="29"/>
      <c r="O49" s="29"/>
      <c r="P49" s="29"/>
      <c r="Q49" s="29"/>
      <c r="R49" s="29" t="s">
        <v>326</v>
      </c>
      <c r="S49" s="29"/>
      <c r="T49" s="29"/>
      <c r="U49" s="29"/>
      <c r="V49" s="29"/>
      <c r="W49" s="29" t="s">
        <v>327</v>
      </c>
      <c r="X49" s="29"/>
      <c r="Y49" s="29"/>
      <c r="Z49" s="29"/>
      <c r="AA49" s="29"/>
      <c r="AB49" s="29"/>
      <c r="AC49" s="29"/>
      <c r="AD49" s="29"/>
      <c r="AE49" s="29"/>
    </row>
    <row r="50" customFormat="false" ht="32.25" hidden="false" customHeight="true" outlineLevel="0" collapsed="false">
      <c r="A50" s="29" t="str">
        <f aca="false">TAKVİM!$B$41</f>
        <v>07-11 Aralık</v>
      </c>
      <c r="B50" s="29"/>
      <c r="C50" s="29"/>
      <c r="D50" s="29" t="s">
        <v>339</v>
      </c>
      <c r="E50" s="29"/>
      <c r="F50" s="29"/>
      <c r="G50" s="29"/>
      <c r="H50" s="29"/>
      <c r="I50" s="29"/>
      <c r="J50" s="29"/>
      <c r="K50" s="29"/>
      <c r="L50" s="29" t="s">
        <v>338</v>
      </c>
      <c r="M50" s="29"/>
      <c r="N50" s="29"/>
      <c r="O50" s="29"/>
      <c r="P50" s="29"/>
      <c r="Q50" s="29"/>
      <c r="R50" s="29" t="s">
        <v>326</v>
      </c>
      <c r="S50" s="29"/>
      <c r="T50" s="29"/>
      <c r="U50" s="29"/>
      <c r="V50" s="29"/>
      <c r="W50" s="29" t="s">
        <v>327</v>
      </c>
      <c r="X50" s="29"/>
      <c r="Y50" s="29"/>
      <c r="Z50" s="29"/>
      <c r="AA50" s="29"/>
      <c r="AB50" s="29"/>
      <c r="AC50" s="29"/>
      <c r="AD50" s="29"/>
      <c r="AE50" s="29"/>
    </row>
    <row r="51" customFormat="false" ht="32.25" hidden="false" customHeight="true" outlineLevel="0" collapsed="false">
      <c r="A51" s="29" t="str">
        <f aca="false">TAKVİM!$B$42</f>
        <v>14-18 Aralık</v>
      </c>
      <c r="B51" s="29"/>
      <c r="C51" s="29"/>
      <c r="D51" s="29" t="s">
        <v>339</v>
      </c>
      <c r="E51" s="29"/>
      <c r="F51" s="29"/>
      <c r="G51" s="29"/>
      <c r="H51" s="29"/>
      <c r="I51" s="29"/>
      <c r="J51" s="29"/>
      <c r="K51" s="29"/>
      <c r="L51" s="29" t="s">
        <v>338</v>
      </c>
      <c r="M51" s="29"/>
      <c r="N51" s="29"/>
      <c r="O51" s="29"/>
      <c r="P51" s="29"/>
      <c r="Q51" s="29"/>
      <c r="R51" s="29" t="s">
        <v>326</v>
      </c>
      <c r="S51" s="29"/>
      <c r="T51" s="29"/>
      <c r="U51" s="29"/>
      <c r="V51" s="29"/>
      <c r="W51" s="29" t="s">
        <v>327</v>
      </c>
      <c r="X51" s="29"/>
      <c r="Y51" s="29"/>
      <c r="Z51" s="29"/>
      <c r="AA51" s="29"/>
      <c r="AB51" s="29"/>
      <c r="AC51" s="29"/>
      <c r="AD51" s="29"/>
      <c r="AE51" s="29"/>
    </row>
    <row r="52" customFormat="false" ht="32.25" hidden="false" customHeight="true" outlineLevel="0" collapsed="false">
      <c r="A52" s="29" t="str">
        <f aca="false">TAKVİM!$B$43</f>
        <v>21-25 Aralık</v>
      </c>
      <c r="B52" s="29"/>
      <c r="C52" s="29"/>
      <c r="D52" s="29" t="s">
        <v>339</v>
      </c>
      <c r="E52" s="29"/>
      <c r="F52" s="29"/>
      <c r="G52" s="29"/>
      <c r="H52" s="29"/>
      <c r="I52" s="29"/>
      <c r="J52" s="29"/>
      <c r="K52" s="29"/>
      <c r="L52" s="29" t="s">
        <v>338</v>
      </c>
      <c r="M52" s="29"/>
      <c r="N52" s="29"/>
      <c r="O52" s="29"/>
      <c r="P52" s="29"/>
      <c r="Q52" s="29"/>
      <c r="R52" s="29" t="s">
        <v>326</v>
      </c>
      <c r="S52" s="29"/>
      <c r="T52" s="29"/>
      <c r="U52" s="29"/>
      <c r="V52" s="29"/>
      <c r="W52" s="29" t="s">
        <v>327</v>
      </c>
      <c r="X52" s="29"/>
      <c r="Y52" s="29"/>
      <c r="Z52" s="29"/>
      <c r="AA52" s="29"/>
      <c r="AB52" s="29"/>
      <c r="AC52" s="29"/>
      <c r="AD52" s="29"/>
      <c r="AE52" s="29"/>
    </row>
    <row r="53" customFormat="false" ht="32.25" hidden="false" customHeight="true" outlineLevel="0" collapsed="false">
      <c r="A53" s="29" t="str">
        <f aca="false">TAKVİM!$B$44</f>
        <v>28 Aralık - 01 Ocak</v>
      </c>
      <c r="B53" s="29"/>
      <c r="C53" s="29"/>
      <c r="D53" s="29" t="s">
        <v>340</v>
      </c>
      <c r="E53" s="29"/>
      <c r="F53" s="29"/>
      <c r="G53" s="29"/>
      <c r="H53" s="29"/>
      <c r="I53" s="29"/>
      <c r="J53" s="29"/>
      <c r="K53" s="29"/>
      <c r="L53" s="29" t="s">
        <v>341</v>
      </c>
      <c r="M53" s="29"/>
      <c r="N53" s="29"/>
      <c r="O53" s="29"/>
      <c r="P53" s="29"/>
      <c r="Q53" s="29"/>
      <c r="R53" s="29" t="s">
        <v>326</v>
      </c>
      <c r="S53" s="29"/>
      <c r="T53" s="29"/>
      <c r="U53" s="29"/>
      <c r="V53" s="29"/>
      <c r="W53" s="29" t="s">
        <v>327</v>
      </c>
      <c r="X53" s="29"/>
      <c r="Y53" s="29"/>
      <c r="Z53" s="29"/>
      <c r="AA53" s="29"/>
      <c r="AB53" s="29"/>
      <c r="AC53" s="29"/>
      <c r="AD53" s="29"/>
      <c r="AE53" s="29"/>
    </row>
    <row r="54" customFormat="false" ht="32.25" hidden="false" customHeight="true" outlineLevel="0" collapsed="false">
      <c r="A54" s="29" t="str">
        <f aca="false">TAKVİM!$B$45</f>
        <v>04-08 Ocak</v>
      </c>
      <c r="B54" s="29"/>
      <c r="C54" s="29"/>
      <c r="D54" s="29" t="s">
        <v>340</v>
      </c>
      <c r="E54" s="29"/>
      <c r="F54" s="29"/>
      <c r="G54" s="29"/>
      <c r="H54" s="29"/>
      <c r="I54" s="29"/>
      <c r="J54" s="29"/>
      <c r="K54" s="29"/>
      <c r="L54" s="29" t="s">
        <v>342</v>
      </c>
      <c r="M54" s="29"/>
      <c r="N54" s="29"/>
      <c r="O54" s="29"/>
      <c r="P54" s="29"/>
      <c r="Q54" s="29"/>
      <c r="R54" s="29" t="s">
        <v>326</v>
      </c>
      <c r="S54" s="29"/>
      <c r="T54" s="29"/>
      <c r="U54" s="29"/>
      <c r="V54" s="29"/>
      <c r="W54" s="29" t="s">
        <v>327</v>
      </c>
      <c r="X54" s="29"/>
      <c r="Y54" s="29"/>
      <c r="Z54" s="29"/>
      <c r="AA54" s="29"/>
      <c r="AB54" s="29"/>
      <c r="AC54" s="29"/>
      <c r="AD54" s="29"/>
      <c r="AE54" s="29"/>
    </row>
    <row r="55" customFormat="false" ht="32.25" hidden="false" customHeight="true" outlineLevel="0" collapsed="false">
      <c r="A55" s="29" t="str">
        <f aca="false">TAKVİM!$B$46</f>
        <v>11-15 Ocak</v>
      </c>
      <c r="B55" s="29"/>
      <c r="C55" s="29"/>
      <c r="D55" s="29" t="s">
        <v>343</v>
      </c>
      <c r="E55" s="29"/>
      <c r="F55" s="29"/>
      <c r="G55" s="29"/>
      <c r="H55" s="29"/>
      <c r="I55" s="29"/>
      <c r="J55" s="29"/>
      <c r="K55" s="29"/>
      <c r="L55" s="29" t="s">
        <v>342</v>
      </c>
      <c r="M55" s="29"/>
      <c r="N55" s="29"/>
      <c r="O55" s="29"/>
      <c r="P55" s="29"/>
      <c r="Q55" s="29"/>
      <c r="R55" s="29" t="s">
        <v>326</v>
      </c>
      <c r="S55" s="29"/>
      <c r="T55" s="29"/>
      <c r="U55" s="29"/>
      <c r="V55" s="29"/>
      <c r="W55" s="29" t="s">
        <v>327</v>
      </c>
      <c r="X55" s="29"/>
      <c r="Y55" s="29"/>
      <c r="Z55" s="29"/>
      <c r="AA55" s="29"/>
      <c r="AB55" s="29"/>
      <c r="AC55" s="29"/>
      <c r="AD55" s="29"/>
      <c r="AE55" s="29"/>
    </row>
    <row r="56" customFormat="false" ht="32.25" hidden="false" customHeight="true" outlineLevel="0" collapsed="false">
      <c r="A56" s="29" t="str">
        <f aca="false">TAKVİM!$B$47</f>
        <v>18-22 Ocak</v>
      </c>
      <c r="B56" s="29"/>
      <c r="C56" s="29"/>
      <c r="D56" s="29" t="s">
        <v>343</v>
      </c>
      <c r="E56" s="29"/>
      <c r="F56" s="29"/>
      <c r="G56" s="29"/>
      <c r="H56" s="29"/>
      <c r="I56" s="29"/>
      <c r="J56" s="29"/>
      <c r="K56" s="29"/>
      <c r="L56" s="29" t="s">
        <v>342</v>
      </c>
      <c r="M56" s="29"/>
      <c r="N56" s="29"/>
      <c r="O56" s="29"/>
      <c r="P56" s="29"/>
      <c r="Q56" s="29"/>
      <c r="R56" s="29" t="s">
        <v>326</v>
      </c>
      <c r="S56" s="29"/>
      <c r="T56" s="29"/>
      <c r="U56" s="29"/>
      <c r="V56" s="29"/>
      <c r="W56" s="29" t="s">
        <v>327</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32.25" hidden="false" customHeight="true" outlineLevel="0" collapsed="false">
      <c r="A58" s="29" t="str">
        <f aca="false">TAKVİM!$B$49</f>
        <v>08-12 Şubat</v>
      </c>
      <c r="B58" s="29"/>
      <c r="C58" s="29"/>
      <c r="D58" s="29" t="s">
        <v>344</v>
      </c>
      <c r="E58" s="29"/>
      <c r="F58" s="29"/>
      <c r="G58" s="29"/>
      <c r="H58" s="29"/>
      <c r="I58" s="29"/>
      <c r="J58" s="29"/>
      <c r="K58" s="29"/>
      <c r="L58" s="29" t="s">
        <v>345</v>
      </c>
      <c r="M58" s="29"/>
      <c r="N58" s="29"/>
      <c r="O58" s="29"/>
      <c r="P58" s="29"/>
      <c r="Q58" s="29"/>
      <c r="R58" s="29" t="s">
        <v>326</v>
      </c>
      <c r="S58" s="29"/>
      <c r="T58" s="29"/>
      <c r="U58" s="29"/>
      <c r="V58" s="29"/>
      <c r="W58" s="29" t="s">
        <v>327</v>
      </c>
      <c r="X58" s="29"/>
      <c r="Y58" s="29"/>
      <c r="Z58" s="29"/>
      <c r="AA58" s="29"/>
      <c r="AB58" s="29"/>
      <c r="AC58" s="29"/>
      <c r="AD58" s="29"/>
      <c r="AE58" s="29"/>
    </row>
    <row r="59" customFormat="false" ht="32.25" hidden="false" customHeight="true" outlineLevel="0" collapsed="false">
      <c r="A59" s="29" t="str">
        <f aca="false">TAKVİM!$B$50</f>
        <v>15-19 Şubat</v>
      </c>
      <c r="B59" s="29"/>
      <c r="C59" s="29"/>
      <c r="D59" s="29" t="s">
        <v>346</v>
      </c>
      <c r="E59" s="29"/>
      <c r="F59" s="29"/>
      <c r="G59" s="29"/>
      <c r="H59" s="29"/>
      <c r="I59" s="29"/>
      <c r="J59" s="29"/>
      <c r="K59" s="29"/>
      <c r="L59" s="29" t="s">
        <v>347</v>
      </c>
      <c r="M59" s="29"/>
      <c r="N59" s="29"/>
      <c r="O59" s="29"/>
      <c r="P59" s="29"/>
      <c r="Q59" s="29"/>
      <c r="R59" s="29" t="s">
        <v>326</v>
      </c>
      <c r="S59" s="29"/>
      <c r="T59" s="29"/>
      <c r="U59" s="29"/>
      <c r="V59" s="29"/>
      <c r="W59" s="29" t="s">
        <v>327</v>
      </c>
      <c r="X59" s="29"/>
      <c r="Y59" s="29"/>
      <c r="Z59" s="29"/>
      <c r="AA59" s="29"/>
      <c r="AB59" s="29"/>
      <c r="AC59" s="29"/>
      <c r="AD59" s="29"/>
      <c r="AE59" s="29"/>
    </row>
    <row r="60" customFormat="false" ht="32.25" hidden="false" customHeight="true" outlineLevel="0" collapsed="false">
      <c r="A60" s="29" t="str">
        <f aca="false">TAKVİM!$B$51</f>
        <v>22-26 Şubat</v>
      </c>
      <c r="B60" s="29"/>
      <c r="C60" s="29"/>
      <c r="D60" s="29" t="s">
        <v>348</v>
      </c>
      <c r="E60" s="29"/>
      <c r="F60" s="29"/>
      <c r="G60" s="29"/>
      <c r="H60" s="29"/>
      <c r="I60" s="29"/>
      <c r="J60" s="29"/>
      <c r="K60" s="29"/>
      <c r="L60" s="29" t="s">
        <v>349</v>
      </c>
      <c r="M60" s="29"/>
      <c r="N60" s="29"/>
      <c r="O60" s="29"/>
      <c r="P60" s="29"/>
      <c r="Q60" s="29"/>
      <c r="R60" s="29" t="s">
        <v>326</v>
      </c>
      <c r="S60" s="29"/>
      <c r="T60" s="29"/>
      <c r="U60" s="29"/>
      <c r="V60" s="29"/>
      <c r="W60" s="29" t="s">
        <v>327</v>
      </c>
      <c r="X60" s="29"/>
      <c r="Y60" s="29"/>
      <c r="Z60" s="29"/>
      <c r="AA60" s="29"/>
      <c r="AB60" s="29"/>
      <c r="AC60" s="29"/>
      <c r="AD60" s="29"/>
      <c r="AE60" s="29"/>
    </row>
    <row r="61" customFormat="false" ht="32.25" hidden="false" customHeight="true" outlineLevel="0" collapsed="false">
      <c r="A61" s="29" t="str">
        <f aca="false">TAKVİM!$B$52</f>
        <v>01-05 Mart</v>
      </c>
      <c r="B61" s="29"/>
      <c r="C61" s="29"/>
      <c r="D61" s="29" t="s">
        <v>350</v>
      </c>
      <c r="E61" s="29"/>
      <c r="F61" s="29"/>
      <c r="G61" s="29"/>
      <c r="H61" s="29"/>
      <c r="I61" s="29"/>
      <c r="J61" s="29"/>
      <c r="K61" s="29"/>
      <c r="L61" s="29" t="s">
        <v>351</v>
      </c>
      <c r="M61" s="29"/>
      <c r="N61" s="29"/>
      <c r="O61" s="29"/>
      <c r="P61" s="29"/>
      <c r="Q61" s="29"/>
      <c r="R61" s="29" t="s">
        <v>326</v>
      </c>
      <c r="S61" s="29"/>
      <c r="T61" s="29"/>
      <c r="U61" s="29"/>
      <c r="V61" s="29"/>
      <c r="W61" s="29" t="s">
        <v>327</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32.25" hidden="false" customHeight="true" outlineLevel="0" collapsed="false">
      <c r="A63" s="29" t="str">
        <f aca="false">TAKVİM!$B$54</f>
        <v>15-19 Mart</v>
      </c>
      <c r="B63" s="29"/>
      <c r="C63" s="29"/>
      <c r="D63" s="29" t="s">
        <v>352</v>
      </c>
      <c r="E63" s="29"/>
      <c r="F63" s="29"/>
      <c r="G63" s="29"/>
      <c r="H63" s="29"/>
      <c r="I63" s="29"/>
      <c r="J63" s="29"/>
      <c r="K63" s="29"/>
      <c r="L63" s="29" t="s">
        <v>351</v>
      </c>
      <c r="M63" s="29"/>
      <c r="N63" s="29"/>
      <c r="O63" s="29"/>
      <c r="P63" s="29"/>
      <c r="Q63" s="29"/>
      <c r="R63" s="29" t="s">
        <v>326</v>
      </c>
      <c r="S63" s="29"/>
      <c r="T63" s="29"/>
      <c r="U63" s="29"/>
      <c r="V63" s="29"/>
      <c r="W63" s="29" t="s">
        <v>327</v>
      </c>
      <c r="X63" s="29"/>
      <c r="Y63" s="29"/>
      <c r="Z63" s="29"/>
      <c r="AA63" s="29"/>
      <c r="AB63" s="29"/>
      <c r="AC63" s="29"/>
      <c r="AD63" s="29"/>
      <c r="AE63" s="29"/>
    </row>
    <row r="64" customFormat="false" ht="32.25" hidden="false" customHeight="true" outlineLevel="0" collapsed="false">
      <c r="A64" s="29" t="str">
        <f aca="false">TAKVİM!$B$55</f>
        <v>22-26 Mart</v>
      </c>
      <c r="B64" s="29"/>
      <c r="C64" s="29"/>
      <c r="D64" s="29" t="s">
        <v>353</v>
      </c>
      <c r="E64" s="29"/>
      <c r="F64" s="29"/>
      <c r="G64" s="29"/>
      <c r="H64" s="29"/>
      <c r="I64" s="29"/>
      <c r="J64" s="29"/>
      <c r="K64" s="29"/>
      <c r="L64" s="29" t="s">
        <v>354</v>
      </c>
      <c r="M64" s="29"/>
      <c r="N64" s="29"/>
      <c r="O64" s="29"/>
      <c r="P64" s="29"/>
      <c r="Q64" s="29"/>
      <c r="R64" s="29" t="s">
        <v>326</v>
      </c>
      <c r="S64" s="29"/>
      <c r="T64" s="29"/>
      <c r="U64" s="29"/>
      <c r="V64" s="29"/>
      <c r="W64" s="29" t="s">
        <v>327</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355</v>
      </c>
      <c r="E65" s="29"/>
      <c r="F65" s="29"/>
      <c r="G65" s="29"/>
      <c r="H65" s="29"/>
      <c r="I65" s="29"/>
      <c r="J65" s="29"/>
      <c r="K65" s="29"/>
      <c r="L65" s="29" t="s">
        <v>356</v>
      </c>
      <c r="M65" s="29"/>
      <c r="N65" s="29"/>
      <c r="O65" s="29"/>
      <c r="P65" s="29"/>
      <c r="Q65" s="29"/>
      <c r="R65" s="29" t="s">
        <v>326</v>
      </c>
      <c r="S65" s="29"/>
      <c r="T65" s="29"/>
      <c r="U65" s="29"/>
      <c r="V65" s="29"/>
      <c r="W65" s="29" t="s">
        <v>327</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355</v>
      </c>
      <c r="E66" s="29"/>
      <c r="F66" s="29"/>
      <c r="G66" s="29"/>
      <c r="H66" s="29"/>
      <c r="I66" s="29"/>
      <c r="J66" s="29"/>
      <c r="K66" s="29"/>
      <c r="L66" s="29" t="s">
        <v>356</v>
      </c>
      <c r="M66" s="29"/>
      <c r="N66" s="29"/>
      <c r="O66" s="29"/>
      <c r="P66" s="29"/>
      <c r="Q66" s="29"/>
      <c r="R66" s="29" t="s">
        <v>326</v>
      </c>
      <c r="S66" s="29"/>
      <c r="T66" s="29"/>
      <c r="U66" s="29"/>
      <c r="V66" s="29"/>
      <c r="W66" s="29" t="s">
        <v>327</v>
      </c>
      <c r="X66" s="29"/>
      <c r="Y66" s="29"/>
      <c r="Z66" s="29"/>
      <c r="AA66" s="29"/>
      <c r="AB66" s="29"/>
      <c r="AC66" s="29"/>
      <c r="AD66" s="29"/>
      <c r="AE66" s="29"/>
    </row>
    <row r="67" customFormat="false" ht="32.25" hidden="false" customHeight="true" outlineLevel="0" collapsed="false">
      <c r="A67" s="29" t="str">
        <f aca="false">TAKVİM!$B$58</f>
        <v>12-16 Nisan</v>
      </c>
      <c r="B67" s="29"/>
      <c r="C67" s="29"/>
      <c r="D67" s="29" t="s">
        <v>357</v>
      </c>
      <c r="E67" s="29"/>
      <c r="F67" s="29"/>
      <c r="G67" s="29"/>
      <c r="H67" s="29"/>
      <c r="I67" s="29"/>
      <c r="J67" s="29"/>
      <c r="K67" s="29"/>
      <c r="L67" s="29" t="s">
        <v>358</v>
      </c>
      <c r="M67" s="29"/>
      <c r="N67" s="29"/>
      <c r="O67" s="29"/>
      <c r="P67" s="29"/>
      <c r="Q67" s="29"/>
      <c r="R67" s="29" t="s">
        <v>326</v>
      </c>
      <c r="S67" s="29"/>
      <c r="T67" s="29"/>
      <c r="U67" s="29"/>
      <c r="V67" s="29"/>
      <c r="W67" s="29" t="s">
        <v>327</v>
      </c>
      <c r="X67" s="29"/>
      <c r="Y67" s="29"/>
      <c r="Z67" s="29"/>
      <c r="AA67" s="29"/>
      <c r="AB67" s="29"/>
      <c r="AC67" s="29"/>
      <c r="AD67" s="29"/>
      <c r="AE67" s="29"/>
    </row>
    <row r="68" customFormat="false" ht="32.25" hidden="false" customHeight="true" outlineLevel="0" collapsed="false">
      <c r="A68" s="29" t="str">
        <f aca="false">TAKVİM!$B$59</f>
        <v>19-23 Nisan</v>
      </c>
      <c r="B68" s="29"/>
      <c r="C68" s="29"/>
      <c r="D68" s="29" t="s">
        <v>359</v>
      </c>
      <c r="E68" s="29"/>
      <c r="F68" s="29"/>
      <c r="G68" s="29"/>
      <c r="H68" s="29"/>
      <c r="I68" s="29"/>
      <c r="J68" s="29"/>
      <c r="K68" s="29"/>
      <c r="L68" s="29" t="s">
        <v>360</v>
      </c>
      <c r="M68" s="29"/>
      <c r="N68" s="29"/>
      <c r="O68" s="29"/>
      <c r="P68" s="29"/>
      <c r="Q68" s="29"/>
      <c r="R68" s="29" t="s">
        <v>326</v>
      </c>
      <c r="S68" s="29"/>
      <c r="T68" s="29"/>
      <c r="U68" s="29"/>
      <c r="V68" s="29"/>
      <c r="W68" s="29" t="s">
        <v>327</v>
      </c>
      <c r="X68" s="29"/>
      <c r="Y68" s="29"/>
      <c r="Z68" s="29"/>
      <c r="AA68" s="29"/>
      <c r="AB68" s="29"/>
      <c r="AC68" s="29"/>
      <c r="AD68" s="29"/>
      <c r="AE68" s="29"/>
    </row>
    <row r="69" customFormat="false" ht="32.25" hidden="false" customHeight="true" outlineLevel="0" collapsed="false">
      <c r="A69" s="29" t="str">
        <f aca="false">TAKVİM!$B$60</f>
        <v>26-30 Nisan</v>
      </c>
      <c r="B69" s="29"/>
      <c r="C69" s="29"/>
      <c r="D69" s="29" t="s">
        <v>361</v>
      </c>
      <c r="E69" s="29"/>
      <c r="F69" s="29"/>
      <c r="G69" s="29"/>
      <c r="H69" s="29"/>
      <c r="I69" s="29"/>
      <c r="J69" s="29"/>
      <c r="K69" s="29"/>
      <c r="L69" s="29" t="s">
        <v>362</v>
      </c>
      <c r="M69" s="29"/>
      <c r="N69" s="29"/>
      <c r="O69" s="29"/>
      <c r="P69" s="29"/>
      <c r="Q69" s="29"/>
      <c r="R69" s="29" t="s">
        <v>326</v>
      </c>
      <c r="S69" s="29"/>
      <c r="T69" s="29"/>
      <c r="U69" s="29"/>
      <c r="V69" s="29"/>
      <c r="W69" s="29" t="s">
        <v>327</v>
      </c>
      <c r="X69" s="29"/>
      <c r="Y69" s="29"/>
      <c r="Z69" s="29"/>
      <c r="AA69" s="29"/>
      <c r="AB69" s="29"/>
      <c r="AC69" s="29"/>
      <c r="AD69" s="29"/>
      <c r="AE69" s="29"/>
    </row>
    <row r="70" customFormat="false" ht="32.25" hidden="false" customHeight="true" outlineLevel="0" collapsed="false">
      <c r="A70" s="29" t="str">
        <f aca="false">TAKVİM!$B$61</f>
        <v>03-07 Mayıs</v>
      </c>
      <c r="B70" s="29"/>
      <c r="C70" s="29"/>
      <c r="D70" s="29" t="s">
        <v>361</v>
      </c>
      <c r="E70" s="29"/>
      <c r="F70" s="29"/>
      <c r="G70" s="29"/>
      <c r="H70" s="29"/>
      <c r="I70" s="29"/>
      <c r="J70" s="29"/>
      <c r="K70" s="29"/>
      <c r="L70" s="29" t="s">
        <v>362</v>
      </c>
      <c r="M70" s="29"/>
      <c r="N70" s="29"/>
      <c r="O70" s="29"/>
      <c r="P70" s="29"/>
      <c r="Q70" s="29"/>
      <c r="R70" s="29" t="s">
        <v>326</v>
      </c>
      <c r="S70" s="29"/>
      <c r="T70" s="29"/>
      <c r="U70" s="29"/>
      <c r="V70" s="29"/>
      <c r="W70" s="29" t="s">
        <v>327</v>
      </c>
      <c r="X70" s="29"/>
      <c r="Y70" s="29"/>
      <c r="Z70" s="29"/>
      <c r="AA70" s="29"/>
      <c r="AB70" s="29"/>
      <c r="AC70" s="29"/>
      <c r="AD70" s="29"/>
      <c r="AE70" s="29"/>
    </row>
    <row r="71" customFormat="false" ht="42.75" hidden="false" customHeight="true" outlineLevel="0" collapsed="false">
      <c r="A71" s="29" t="str">
        <f aca="false">TAKVİM!$B$62</f>
        <v>10-14 Mayıs</v>
      </c>
      <c r="B71" s="29"/>
      <c r="C71" s="29"/>
      <c r="D71" s="29" t="s">
        <v>363</v>
      </c>
      <c r="E71" s="29"/>
      <c r="F71" s="29"/>
      <c r="G71" s="29"/>
      <c r="H71" s="29"/>
      <c r="I71" s="29"/>
      <c r="J71" s="29"/>
      <c r="K71" s="29"/>
      <c r="L71" s="29" t="s">
        <v>364</v>
      </c>
      <c r="M71" s="29"/>
      <c r="N71" s="29"/>
      <c r="O71" s="29"/>
      <c r="P71" s="29"/>
      <c r="Q71" s="29"/>
      <c r="R71" s="29" t="s">
        <v>326</v>
      </c>
      <c r="S71" s="29"/>
      <c r="T71" s="29"/>
      <c r="U71" s="29"/>
      <c r="V71" s="29"/>
      <c r="W71" s="29" t="s">
        <v>327</v>
      </c>
      <c r="X71" s="29"/>
      <c r="Y71" s="29"/>
      <c r="Z71" s="29"/>
      <c r="AA71" s="29"/>
      <c r="AB71" s="29"/>
      <c r="AC71" s="29"/>
      <c r="AD71" s="29"/>
      <c r="AE71" s="29"/>
    </row>
    <row r="72" customFormat="false" ht="32.25" hidden="false" customHeight="true" outlineLevel="0" collapsed="false">
      <c r="A72" s="29" t="str">
        <f aca="false">TAKVİM!$B$63</f>
        <v>17-21 Mayıs</v>
      </c>
      <c r="B72" s="29"/>
      <c r="C72" s="29"/>
      <c r="D72" s="29" t="s">
        <v>365</v>
      </c>
      <c r="E72" s="29"/>
      <c r="F72" s="29"/>
      <c r="G72" s="29"/>
      <c r="H72" s="29"/>
      <c r="I72" s="29"/>
      <c r="J72" s="29"/>
      <c r="K72" s="29"/>
      <c r="L72" s="29" t="s">
        <v>366</v>
      </c>
      <c r="M72" s="29"/>
      <c r="N72" s="29"/>
      <c r="O72" s="29"/>
      <c r="P72" s="29"/>
      <c r="Q72" s="29"/>
      <c r="R72" s="29" t="s">
        <v>326</v>
      </c>
      <c r="S72" s="29"/>
      <c r="T72" s="29"/>
      <c r="U72" s="29"/>
      <c r="V72" s="29"/>
      <c r="W72" s="29" t="s">
        <v>327</v>
      </c>
      <c r="X72" s="29"/>
      <c r="Y72" s="29"/>
      <c r="Z72" s="29"/>
      <c r="AA72" s="29"/>
      <c r="AB72" s="29"/>
      <c r="AC72" s="29"/>
      <c r="AD72" s="29"/>
      <c r="AE72" s="29"/>
    </row>
    <row r="73" customFormat="false" ht="32.25" hidden="false" customHeight="true" outlineLevel="0" collapsed="false">
      <c r="A73" s="29" t="str">
        <f aca="false">TAKVİM!$B$64</f>
        <v>24-28 Mayıs</v>
      </c>
      <c r="B73" s="29"/>
      <c r="C73" s="29"/>
      <c r="D73" s="29" t="s">
        <v>365</v>
      </c>
      <c r="E73" s="29"/>
      <c r="F73" s="29"/>
      <c r="G73" s="29"/>
      <c r="H73" s="29"/>
      <c r="I73" s="29"/>
      <c r="J73" s="29"/>
      <c r="K73" s="29"/>
      <c r="L73" s="29" t="s">
        <v>366</v>
      </c>
      <c r="M73" s="29"/>
      <c r="N73" s="29"/>
      <c r="O73" s="29"/>
      <c r="P73" s="29"/>
      <c r="Q73" s="29"/>
      <c r="R73" s="29" t="s">
        <v>326</v>
      </c>
      <c r="S73" s="29"/>
      <c r="T73" s="29"/>
      <c r="U73" s="29"/>
      <c r="V73" s="29"/>
      <c r="W73" s="29" t="s">
        <v>327</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367</v>
      </c>
      <c r="E74" s="29"/>
      <c r="F74" s="29"/>
      <c r="G74" s="29"/>
      <c r="H74" s="29"/>
      <c r="I74" s="29"/>
      <c r="J74" s="29"/>
      <c r="K74" s="29"/>
      <c r="L74" s="29" t="s">
        <v>368</v>
      </c>
      <c r="M74" s="29"/>
      <c r="N74" s="29"/>
      <c r="O74" s="29"/>
      <c r="P74" s="29"/>
      <c r="Q74" s="29"/>
      <c r="R74" s="29" t="s">
        <v>326</v>
      </c>
      <c r="S74" s="29"/>
      <c r="T74" s="29"/>
      <c r="U74" s="29"/>
      <c r="V74" s="29"/>
      <c r="W74" s="29" t="s">
        <v>327</v>
      </c>
      <c r="X74" s="29"/>
      <c r="Y74" s="29"/>
      <c r="Z74" s="29"/>
      <c r="AA74" s="29"/>
      <c r="AB74" s="29"/>
      <c r="AC74" s="29"/>
      <c r="AD74" s="29"/>
      <c r="AE74" s="29"/>
    </row>
    <row r="75" customFormat="false" ht="32.25" hidden="false" customHeight="true" outlineLevel="0" collapsed="false">
      <c r="A75" s="29" t="str">
        <f aca="false">TAKVİM!$B$66</f>
        <v>07-11 Haziran</v>
      </c>
      <c r="B75" s="29"/>
      <c r="C75" s="29"/>
      <c r="D75" s="29" t="s">
        <v>365</v>
      </c>
      <c r="E75" s="29"/>
      <c r="F75" s="29"/>
      <c r="G75" s="29"/>
      <c r="H75" s="29"/>
      <c r="I75" s="29"/>
      <c r="J75" s="29"/>
      <c r="K75" s="29"/>
      <c r="L75" s="29" t="s">
        <v>369</v>
      </c>
      <c r="M75" s="29"/>
      <c r="N75" s="29"/>
      <c r="O75" s="29"/>
      <c r="P75" s="29"/>
      <c r="Q75" s="29"/>
      <c r="R75" s="29" t="s">
        <v>326</v>
      </c>
      <c r="S75" s="29"/>
      <c r="T75" s="29"/>
      <c r="U75" s="29"/>
      <c r="V75" s="29"/>
      <c r="W75" s="29" t="s">
        <v>327</v>
      </c>
      <c r="X75" s="29"/>
      <c r="Y75" s="29"/>
      <c r="Z75" s="29"/>
      <c r="AA75" s="29"/>
      <c r="AB75" s="29"/>
      <c r="AC75" s="29"/>
      <c r="AD75" s="29"/>
      <c r="AE75" s="29"/>
    </row>
    <row r="76" customFormat="false" ht="32.25" hidden="false" customHeight="true" outlineLevel="0" collapsed="false">
      <c r="A76" s="29" t="str">
        <f aca="false">TAKVİM!$B$67</f>
        <v>14-18 Haziran</v>
      </c>
      <c r="B76" s="29"/>
      <c r="C76" s="29"/>
      <c r="D76" s="29" t="s">
        <v>365</v>
      </c>
      <c r="E76" s="29"/>
      <c r="F76" s="29"/>
      <c r="G76" s="29"/>
      <c r="H76" s="29"/>
      <c r="I76" s="29"/>
      <c r="J76" s="29"/>
      <c r="K76" s="29"/>
      <c r="L76" s="29" t="s">
        <v>369</v>
      </c>
      <c r="M76" s="29"/>
      <c r="N76" s="29"/>
      <c r="O76" s="29"/>
      <c r="P76" s="29"/>
      <c r="Q76" s="29"/>
      <c r="R76" s="29" t="s">
        <v>326</v>
      </c>
      <c r="S76" s="29"/>
      <c r="T76" s="29"/>
      <c r="U76" s="29"/>
      <c r="V76" s="29"/>
      <c r="W76" s="29" t="s">
        <v>327</v>
      </c>
      <c r="X76" s="29"/>
      <c r="Y76" s="29"/>
      <c r="Z76" s="29"/>
      <c r="AA76" s="29"/>
      <c r="AB76" s="29"/>
      <c r="AC76" s="29"/>
      <c r="AD76" s="29"/>
      <c r="AE76" s="29"/>
    </row>
    <row r="77" customFormat="false" ht="32.25" hidden="false" customHeight="true" outlineLevel="0" collapsed="false">
      <c r="A77" s="29" t="str">
        <f aca="false">TAKVİM!$B$68</f>
        <v>21-25 Haziran</v>
      </c>
      <c r="B77" s="29"/>
      <c r="C77" s="29"/>
      <c r="D77" s="29" t="s">
        <v>365</v>
      </c>
      <c r="E77" s="29"/>
      <c r="F77" s="29"/>
      <c r="G77" s="29"/>
      <c r="H77" s="29"/>
      <c r="I77" s="29"/>
      <c r="J77" s="29"/>
      <c r="K77" s="29"/>
      <c r="L77" s="29" t="s">
        <v>369</v>
      </c>
      <c r="M77" s="29"/>
      <c r="N77" s="29"/>
      <c r="O77" s="29"/>
      <c r="P77" s="29"/>
      <c r="Q77" s="29"/>
      <c r="R77" s="29" t="s">
        <v>326</v>
      </c>
      <c r="S77" s="29"/>
      <c r="T77" s="29"/>
      <c r="U77" s="29"/>
      <c r="V77" s="29"/>
      <c r="W77" s="29" t="s">
        <v>327</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370</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274</v>
      </c>
      <c r="H5" s="25"/>
      <c r="I5" s="25"/>
      <c r="J5" s="25"/>
      <c r="K5" s="25"/>
      <c r="L5" s="25"/>
      <c r="M5" s="25"/>
      <c r="N5" s="25"/>
      <c r="O5" s="25"/>
      <c r="P5" s="24" t="s">
        <v>106</v>
      </c>
      <c r="Q5" s="24"/>
      <c r="R5" s="24"/>
      <c r="S5" s="24"/>
      <c r="T5" s="24"/>
      <c r="U5" s="25" t="s">
        <v>323</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84.75" hidden="false" customHeight="true" outlineLevel="0" collapsed="false">
      <c r="A38" s="29" t="str">
        <f aca="false">TAKVİM!$B$29</f>
        <v>14-18 Eylül</v>
      </c>
      <c r="B38" s="29"/>
      <c r="C38" s="29"/>
      <c r="D38" s="29" t="s">
        <v>371</v>
      </c>
      <c r="E38" s="29"/>
      <c r="F38" s="29"/>
      <c r="G38" s="29"/>
      <c r="H38" s="29"/>
      <c r="I38" s="29"/>
      <c r="J38" s="29"/>
      <c r="K38" s="29"/>
      <c r="L38" s="29" t="s">
        <v>372</v>
      </c>
      <c r="M38" s="29"/>
      <c r="N38" s="29"/>
      <c r="O38" s="29"/>
      <c r="P38" s="29"/>
      <c r="Q38" s="29"/>
      <c r="R38" s="29" t="s">
        <v>277</v>
      </c>
      <c r="S38" s="29"/>
      <c r="T38" s="29"/>
      <c r="U38" s="29"/>
      <c r="V38" s="29"/>
      <c r="W38" s="29" t="s">
        <v>373</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374</v>
      </c>
      <c r="E39" s="29"/>
      <c r="F39" s="29"/>
      <c r="G39" s="29"/>
      <c r="H39" s="29"/>
      <c r="I39" s="29"/>
      <c r="J39" s="29"/>
      <c r="K39" s="29"/>
      <c r="L39" s="29" t="s">
        <v>375</v>
      </c>
      <c r="M39" s="29"/>
      <c r="N39" s="29"/>
      <c r="O39" s="29"/>
      <c r="P39" s="29"/>
      <c r="Q39" s="29"/>
      <c r="R39" s="29" t="s">
        <v>277</v>
      </c>
      <c r="S39" s="29"/>
      <c r="T39" s="29"/>
      <c r="U39" s="29"/>
      <c r="V39" s="29"/>
      <c r="W39" s="29" t="s">
        <v>373</v>
      </c>
      <c r="X39" s="29"/>
      <c r="Y39" s="29"/>
      <c r="Z39" s="29"/>
      <c r="AA39" s="29"/>
      <c r="AB39" s="29"/>
      <c r="AC39" s="29"/>
      <c r="AD39" s="29"/>
      <c r="AE39" s="29"/>
    </row>
    <row r="40" customFormat="false" ht="63.75" hidden="false" customHeight="true" outlineLevel="0" collapsed="false">
      <c r="A40" s="29" t="str">
        <f aca="false">TAKVİM!$B$31</f>
        <v>28 Eylül - 02 Ekim</v>
      </c>
      <c r="B40" s="29"/>
      <c r="C40" s="29"/>
      <c r="D40" s="29" t="s">
        <v>376</v>
      </c>
      <c r="E40" s="29"/>
      <c r="F40" s="29"/>
      <c r="G40" s="29"/>
      <c r="H40" s="29"/>
      <c r="I40" s="29"/>
      <c r="J40" s="29"/>
      <c r="K40" s="29"/>
      <c r="L40" s="29" t="s">
        <v>377</v>
      </c>
      <c r="M40" s="29"/>
      <c r="N40" s="29"/>
      <c r="O40" s="29"/>
      <c r="P40" s="29"/>
      <c r="Q40" s="29"/>
      <c r="R40" s="29" t="s">
        <v>277</v>
      </c>
      <c r="S40" s="29"/>
      <c r="T40" s="29"/>
      <c r="U40" s="29"/>
      <c r="V40" s="29"/>
      <c r="W40" s="29" t="s">
        <v>373</v>
      </c>
      <c r="X40" s="29"/>
      <c r="Y40" s="29"/>
      <c r="Z40" s="29"/>
      <c r="AA40" s="29"/>
      <c r="AB40" s="29"/>
      <c r="AC40" s="29"/>
      <c r="AD40" s="29"/>
      <c r="AE40" s="29"/>
    </row>
    <row r="41" customFormat="false" ht="63.75" hidden="false" customHeight="true" outlineLevel="0" collapsed="false">
      <c r="A41" s="29" t="str">
        <f aca="false">TAKVİM!$B$32</f>
        <v>05-09 Ekim</v>
      </c>
      <c r="B41" s="29"/>
      <c r="C41" s="29"/>
      <c r="D41" s="29" t="s">
        <v>378</v>
      </c>
      <c r="E41" s="29"/>
      <c r="F41" s="29"/>
      <c r="G41" s="29"/>
      <c r="H41" s="29"/>
      <c r="I41" s="29"/>
      <c r="J41" s="29"/>
      <c r="K41" s="29"/>
      <c r="L41" s="29" t="s">
        <v>379</v>
      </c>
      <c r="M41" s="29"/>
      <c r="N41" s="29"/>
      <c r="O41" s="29"/>
      <c r="P41" s="29"/>
      <c r="Q41" s="29"/>
      <c r="R41" s="29" t="s">
        <v>277</v>
      </c>
      <c r="S41" s="29"/>
      <c r="T41" s="29"/>
      <c r="U41" s="29"/>
      <c r="V41" s="29"/>
      <c r="W41" s="29" t="s">
        <v>373</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380</v>
      </c>
      <c r="E42" s="29"/>
      <c r="F42" s="29"/>
      <c r="G42" s="29"/>
      <c r="H42" s="29"/>
      <c r="I42" s="29"/>
      <c r="J42" s="29"/>
      <c r="K42" s="29"/>
      <c r="L42" s="29" t="s">
        <v>381</v>
      </c>
      <c r="M42" s="29"/>
      <c r="N42" s="29"/>
      <c r="O42" s="29"/>
      <c r="P42" s="29"/>
      <c r="Q42" s="29"/>
      <c r="R42" s="29" t="s">
        <v>277</v>
      </c>
      <c r="S42" s="29"/>
      <c r="T42" s="29"/>
      <c r="U42" s="29"/>
      <c r="V42" s="29"/>
      <c r="W42" s="29" t="s">
        <v>373</v>
      </c>
      <c r="X42" s="29"/>
      <c r="Y42" s="29"/>
      <c r="Z42" s="29"/>
      <c r="AA42" s="29"/>
      <c r="AB42" s="29"/>
      <c r="AC42" s="29"/>
      <c r="AD42" s="29"/>
      <c r="AE42" s="29"/>
    </row>
    <row r="43" customFormat="false" ht="42.75" hidden="false" customHeight="true" outlineLevel="0" collapsed="false">
      <c r="A43" s="29" t="str">
        <f aca="false">TAKVİM!$B$34</f>
        <v>19-23 Ekim</v>
      </c>
      <c r="B43" s="29"/>
      <c r="C43" s="29"/>
      <c r="D43" s="29" t="s">
        <v>382</v>
      </c>
      <c r="E43" s="29"/>
      <c r="F43" s="29"/>
      <c r="G43" s="29"/>
      <c r="H43" s="29"/>
      <c r="I43" s="29"/>
      <c r="J43" s="29"/>
      <c r="K43" s="29"/>
      <c r="L43" s="29" t="s">
        <v>381</v>
      </c>
      <c r="M43" s="29"/>
      <c r="N43" s="29"/>
      <c r="O43" s="29"/>
      <c r="P43" s="29"/>
      <c r="Q43" s="29"/>
      <c r="R43" s="29" t="s">
        <v>277</v>
      </c>
      <c r="S43" s="29"/>
      <c r="T43" s="29"/>
      <c r="U43" s="29"/>
      <c r="V43" s="29"/>
      <c r="W43" s="29" t="s">
        <v>373</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383</v>
      </c>
      <c r="E44" s="29"/>
      <c r="F44" s="29"/>
      <c r="G44" s="29"/>
      <c r="H44" s="29"/>
      <c r="I44" s="29"/>
      <c r="J44" s="29"/>
      <c r="K44" s="29"/>
      <c r="L44" s="29" t="s">
        <v>381</v>
      </c>
      <c r="M44" s="29"/>
      <c r="N44" s="29"/>
      <c r="O44" s="29"/>
      <c r="P44" s="29"/>
      <c r="Q44" s="29"/>
      <c r="R44" s="29" t="s">
        <v>277</v>
      </c>
      <c r="S44" s="29"/>
      <c r="T44" s="29"/>
      <c r="U44" s="29"/>
      <c r="V44" s="29"/>
      <c r="W44" s="29" t="s">
        <v>373</v>
      </c>
      <c r="X44" s="29"/>
      <c r="Y44" s="29"/>
      <c r="Z44" s="29"/>
      <c r="AA44" s="29"/>
      <c r="AB44" s="29"/>
      <c r="AC44" s="29"/>
      <c r="AD44" s="29"/>
      <c r="AE44" s="29"/>
    </row>
    <row r="45" customFormat="false" ht="63.75" hidden="false" customHeight="true" outlineLevel="0" collapsed="false">
      <c r="A45" s="29" t="str">
        <f aca="false">TAKVİM!$B$36</f>
        <v>02-06 Kasım</v>
      </c>
      <c r="B45" s="29"/>
      <c r="C45" s="29"/>
      <c r="D45" s="29" t="s">
        <v>384</v>
      </c>
      <c r="E45" s="29"/>
      <c r="F45" s="29"/>
      <c r="G45" s="29"/>
      <c r="H45" s="29"/>
      <c r="I45" s="29"/>
      <c r="J45" s="29"/>
      <c r="K45" s="29"/>
      <c r="L45" s="29" t="s">
        <v>385</v>
      </c>
      <c r="M45" s="29"/>
      <c r="N45" s="29"/>
      <c r="O45" s="29"/>
      <c r="P45" s="29"/>
      <c r="Q45" s="29"/>
      <c r="R45" s="29" t="s">
        <v>277</v>
      </c>
      <c r="S45" s="29"/>
      <c r="T45" s="29"/>
      <c r="U45" s="29"/>
      <c r="V45" s="29"/>
      <c r="W45" s="29" t="s">
        <v>373</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386</v>
      </c>
      <c r="E46" s="29"/>
      <c r="F46" s="29"/>
      <c r="G46" s="29"/>
      <c r="H46" s="29"/>
      <c r="I46" s="29"/>
      <c r="J46" s="29"/>
      <c r="K46" s="29"/>
      <c r="L46" s="29" t="s">
        <v>387</v>
      </c>
      <c r="M46" s="29"/>
      <c r="N46" s="29"/>
      <c r="O46" s="29"/>
      <c r="P46" s="29"/>
      <c r="Q46" s="29"/>
      <c r="R46" s="29" t="s">
        <v>277</v>
      </c>
      <c r="S46" s="29"/>
      <c r="T46" s="29"/>
      <c r="U46" s="29"/>
      <c r="V46" s="29"/>
      <c r="W46" s="29" t="s">
        <v>373</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63.75" hidden="false" customHeight="true" outlineLevel="0" collapsed="false">
      <c r="A48" s="29" t="str">
        <f aca="false">TAKVİM!$B$39</f>
        <v>23-27 Kasım</v>
      </c>
      <c r="B48" s="29"/>
      <c r="C48" s="29"/>
      <c r="D48" s="29" t="s">
        <v>388</v>
      </c>
      <c r="E48" s="29"/>
      <c r="F48" s="29"/>
      <c r="G48" s="29"/>
      <c r="H48" s="29"/>
      <c r="I48" s="29"/>
      <c r="J48" s="29"/>
      <c r="K48" s="29"/>
      <c r="L48" s="29" t="s">
        <v>389</v>
      </c>
      <c r="M48" s="29"/>
      <c r="N48" s="29"/>
      <c r="O48" s="29"/>
      <c r="P48" s="29"/>
      <c r="Q48" s="29"/>
      <c r="R48" s="29" t="s">
        <v>277</v>
      </c>
      <c r="S48" s="29"/>
      <c r="T48" s="29"/>
      <c r="U48" s="29"/>
      <c r="V48" s="29"/>
      <c r="W48" s="29" t="s">
        <v>373</v>
      </c>
      <c r="X48" s="29"/>
      <c r="Y48" s="29"/>
      <c r="Z48" s="29"/>
      <c r="AA48" s="29"/>
      <c r="AB48" s="29"/>
      <c r="AC48" s="29"/>
      <c r="AD48" s="29"/>
      <c r="AE48" s="29"/>
    </row>
    <row r="49" customFormat="false" ht="74.25" hidden="false" customHeight="true" outlineLevel="0" collapsed="false">
      <c r="A49" s="29" t="str">
        <f aca="false">TAKVİM!$B$40</f>
        <v>30 Kasım - 04 Aralık</v>
      </c>
      <c r="B49" s="29"/>
      <c r="C49" s="29"/>
      <c r="D49" s="29" t="s">
        <v>390</v>
      </c>
      <c r="E49" s="29"/>
      <c r="F49" s="29"/>
      <c r="G49" s="29"/>
      <c r="H49" s="29"/>
      <c r="I49" s="29"/>
      <c r="J49" s="29"/>
      <c r="K49" s="29"/>
      <c r="L49" s="29" t="s">
        <v>391</v>
      </c>
      <c r="M49" s="29"/>
      <c r="N49" s="29"/>
      <c r="O49" s="29"/>
      <c r="P49" s="29"/>
      <c r="Q49" s="29"/>
      <c r="R49" s="29" t="s">
        <v>277</v>
      </c>
      <c r="S49" s="29"/>
      <c r="T49" s="29"/>
      <c r="U49" s="29"/>
      <c r="V49" s="29"/>
      <c r="W49" s="29" t="s">
        <v>373</v>
      </c>
      <c r="X49" s="29"/>
      <c r="Y49" s="29"/>
      <c r="Z49" s="29"/>
      <c r="AA49" s="29"/>
      <c r="AB49" s="29"/>
      <c r="AC49" s="29"/>
      <c r="AD49" s="29"/>
      <c r="AE49" s="29"/>
    </row>
    <row r="50" customFormat="false" ht="63.75" hidden="false" customHeight="true" outlineLevel="0" collapsed="false">
      <c r="A50" s="29" t="str">
        <f aca="false">TAKVİM!$B$41</f>
        <v>07-11 Aralık</v>
      </c>
      <c r="B50" s="29"/>
      <c r="C50" s="29"/>
      <c r="D50" s="29" t="s">
        <v>392</v>
      </c>
      <c r="E50" s="29"/>
      <c r="F50" s="29"/>
      <c r="G50" s="29"/>
      <c r="H50" s="29"/>
      <c r="I50" s="29"/>
      <c r="J50" s="29"/>
      <c r="K50" s="29"/>
      <c r="L50" s="29" t="s">
        <v>393</v>
      </c>
      <c r="M50" s="29"/>
      <c r="N50" s="29"/>
      <c r="O50" s="29"/>
      <c r="P50" s="29"/>
      <c r="Q50" s="29"/>
      <c r="R50" s="29" t="s">
        <v>277</v>
      </c>
      <c r="S50" s="29"/>
      <c r="T50" s="29"/>
      <c r="U50" s="29"/>
      <c r="V50" s="29"/>
      <c r="W50" s="29" t="s">
        <v>373</v>
      </c>
      <c r="X50" s="29"/>
      <c r="Y50" s="29"/>
      <c r="Z50" s="29"/>
      <c r="AA50" s="29"/>
      <c r="AB50" s="29"/>
      <c r="AC50" s="29"/>
      <c r="AD50" s="29"/>
      <c r="AE50" s="29"/>
    </row>
    <row r="51" customFormat="false" ht="63.75" hidden="false" customHeight="true" outlineLevel="0" collapsed="false">
      <c r="A51" s="29" t="str">
        <f aca="false">TAKVİM!$B$42</f>
        <v>14-18 Aralık</v>
      </c>
      <c r="B51" s="29"/>
      <c r="C51" s="29"/>
      <c r="D51" s="29" t="s">
        <v>394</v>
      </c>
      <c r="E51" s="29"/>
      <c r="F51" s="29"/>
      <c r="G51" s="29"/>
      <c r="H51" s="29"/>
      <c r="I51" s="29"/>
      <c r="J51" s="29"/>
      <c r="K51" s="29"/>
      <c r="L51" s="29" t="s">
        <v>395</v>
      </c>
      <c r="M51" s="29"/>
      <c r="N51" s="29"/>
      <c r="O51" s="29"/>
      <c r="P51" s="29"/>
      <c r="Q51" s="29"/>
      <c r="R51" s="29" t="s">
        <v>277</v>
      </c>
      <c r="S51" s="29"/>
      <c r="T51" s="29"/>
      <c r="U51" s="29"/>
      <c r="V51" s="29"/>
      <c r="W51" s="29" t="s">
        <v>373</v>
      </c>
      <c r="X51" s="29"/>
      <c r="Y51" s="29"/>
      <c r="Z51" s="29"/>
      <c r="AA51" s="29"/>
      <c r="AB51" s="29"/>
      <c r="AC51" s="29"/>
      <c r="AD51" s="29"/>
      <c r="AE51" s="29"/>
    </row>
    <row r="52" customFormat="false" ht="42.75" hidden="false" customHeight="true" outlineLevel="0" collapsed="false">
      <c r="A52" s="29" t="str">
        <f aca="false">TAKVİM!$B$43</f>
        <v>21-25 Aralık</v>
      </c>
      <c r="B52" s="29"/>
      <c r="C52" s="29"/>
      <c r="D52" s="29" t="s">
        <v>396</v>
      </c>
      <c r="E52" s="29"/>
      <c r="F52" s="29"/>
      <c r="G52" s="29"/>
      <c r="H52" s="29"/>
      <c r="I52" s="29"/>
      <c r="J52" s="29"/>
      <c r="K52" s="29"/>
      <c r="L52" s="29" t="s">
        <v>397</v>
      </c>
      <c r="M52" s="29"/>
      <c r="N52" s="29"/>
      <c r="O52" s="29"/>
      <c r="P52" s="29"/>
      <c r="Q52" s="29"/>
      <c r="R52" s="29" t="s">
        <v>277</v>
      </c>
      <c r="S52" s="29"/>
      <c r="T52" s="29"/>
      <c r="U52" s="29"/>
      <c r="V52" s="29"/>
      <c r="W52" s="29" t="s">
        <v>373</v>
      </c>
      <c r="X52" s="29"/>
      <c r="Y52" s="29"/>
      <c r="Z52" s="29"/>
      <c r="AA52" s="29"/>
      <c r="AB52" s="29"/>
      <c r="AC52" s="29"/>
      <c r="AD52" s="29"/>
      <c r="AE52" s="29"/>
    </row>
    <row r="53" customFormat="false" ht="42.75" hidden="false" customHeight="true" outlineLevel="0" collapsed="false">
      <c r="A53" s="29" t="str">
        <f aca="false">TAKVİM!$B$44</f>
        <v>28 Aralık - 01 Ocak</v>
      </c>
      <c r="B53" s="29"/>
      <c r="C53" s="29"/>
      <c r="D53" s="29" t="s">
        <v>398</v>
      </c>
      <c r="E53" s="29"/>
      <c r="F53" s="29"/>
      <c r="G53" s="29"/>
      <c r="H53" s="29"/>
      <c r="I53" s="29"/>
      <c r="J53" s="29"/>
      <c r="K53" s="29"/>
      <c r="L53" s="29" t="s">
        <v>399</v>
      </c>
      <c r="M53" s="29"/>
      <c r="N53" s="29"/>
      <c r="O53" s="29"/>
      <c r="P53" s="29"/>
      <c r="Q53" s="29"/>
      <c r="R53" s="29" t="s">
        <v>277</v>
      </c>
      <c r="S53" s="29"/>
      <c r="T53" s="29"/>
      <c r="U53" s="29"/>
      <c r="V53" s="29"/>
      <c r="W53" s="29" t="s">
        <v>373</v>
      </c>
      <c r="X53" s="29"/>
      <c r="Y53" s="29"/>
      <c r="Z53" s="29"/>
      <c r="AA53" s="29"/>
      <c r="AB53" s="29"/>
      <c r="AC53" s="29"/>
      <c r="AD53" s="29"/>
      <c r="AE53" s="29"/>
    </row>
    <row r="54" customFormat="false" ht="42.75" hidden="false" customHeight="true" outlineLevel="0" collapsed="false">
      <c r="A54" s="29" t="str">
        <f aca="false">TAKVİM!$B$45</f>
        <v>04-08 Ocak</v>
      </c>
      <c r="B54" s="29"/>
      <c r="C54" s="29"/>
      <c r="D54" s="29" t="s">
        <v>400</v>
      </c>
      <c r="E54" s="29"/>
      <c r="F54" s="29"/>
      <c r="G54" s="29"/>
      <c r="H54" s="29"/>
      <c r="I54" s="29"/>
      <c r="J54" s="29"/>
      <c r="K54" s="29"/>
      <c r="L54" s="29" t="s">
        <v>401</v>
      </c>
      <c r="M54" s="29"/>
      <c r="N54" s="29"/>
      <c r="O54" s="29"/>
      <c r="P54" s="29"/>
      <c r="Q54" s="29"/>
      <c r="R54" s="29" t="s">
        <v>277</v>
      </c>
      <c r="S54" s="29"/>
      <c r="T54" s="29"/>
      <c r="U54" s="29"/>
      <c r="V54" s="29"/>
      <c r="W54" s="29" t="s">
        <v>373</v>
      </c>
      <c r="X54" s="29"/>
      <c r="Y54" s="29"/>
      <c r="Z54" s="29"/>
      <c r="AA54" s="29"/>
      <c r="AB54" s="29"/>
      <c r="AC54" s="29"/>
      <c r="AD54" s="29"/>
      <c r="AE54" s="29"/>
    </row>
    <row r="55" customFormat="false" ht="74.25" hidden="false" customHeight="true" outlineLevel="0" collapsed="false">
      <c r="A55" s="29" t="str">
        <f aca="false">TAKVİM!$B$46</f>
        <v>11-15 Ocak</v>
      </c>
      <c r="B55" s="29"/>
      <c r="C55" s="29"/>
      <c r="D55" s="29" t="s">
        <v>402</v>
      </c>
      <c r="E55" s="29"/>
      <c r="F55" s="29"/>
      <c r="G55" s="29"/>
      <c r="H55" s="29"/>
      <c r="I55" s="29"/>
      <c r="J55" s="29"/>
      <c r="K55" s="29"/>
      <c r="L55" s="29" t="s">
        <v>403</v>
      </c>
      <c r="M55" s="29"/>
      <c r="N55" s="29"/>
      <c r="O55" s="29"/>
      <c r="P55" s="29"/>
      <c r="Q55" s="29"/>
      <c r="R55" s="29" t="s">
        <v>277</v>
      </c>
      <c r="S55" s="29"/>
      <c r="T55" s="29"/>
      <c r="U55" s="29"/>
      <c r="V55" s="29"/>
      <c r="W55" s="29" t="s">
        <v>373</v>
      </c>
      <c r="X55" s="29"/>
      <c r="Y55" s="29"/>
      <c r="Z55" s="29"/>
      <c r="AA55" s="29"/>
      <c r="AB55" s="29"/>
      <c r="AC55" s="29"/>
      <c r="AD55" s="29"/>
      <c r="AE55" s="29"/>
    </row>
    <row r="56" customFormat="false" ht="42.75" hidden="false" customHeight="true" outlineLevel="0" collapsed="false">
      <c r="A56" s="29" t="str">
        <f aca="false">TAKVİM!$B$47</f>
        <v>18-22 Ocak</v>
      </c>
      <c r="B56" s="29"/>
      <c r="C56" s="29"/>
      <c r="D56" s="29" t="s">
        <v>404</v>
      </c>
      <c r="E56" s="29"/>
      <c r="F56" s="29"/>
      <c r="G56" s="29"/>
      <c r="H56" s="29"/>
      <c r="I56" s="29"/>
      <c r="J56" s="29"/>
      <c r="K56" s="29"/>
      <c r="L56" s="29" t="s">
        <v>405</v>
      </c>
      <c r="M56" s="29"/>
      <c r="N56" s="29"/>
      <c r="O56" s="29"/>
      <c r="P56" s="29"/>
      <c r="Q56" s="29"/>
      <c r="R56" s="29" t="s">
        <v>277</v>
      </c>
      <c r="S56" s="29"/>
      <c r="T56" s="29"/>
      <c r="U56" s="29"/>
      <c r="V56" s="29"/>
      <c r="W56" s="29" t="s">
        <v>373</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63.75" hidden="false" customHeight="true" outlineLevel="0" collapsed="false">
      <c r="A58" s="29" t="str">
        <f aca="false">TAKVİM!$B$49</f>
        <v>08-12 Şubat</v>
      </c>
      <c r="B58" s="29"/>
      <c r="C58" s="29"/>
      <c r="D58" s="29" t="s">
        <v>406</v>
      </c>
      <c r="E58" s="29"/>
      <c r="F58" s="29"/>
      <c r="G58" s="29"/>
      <c r="H58" s="29"/>
      <c r="I58" s="29"/>
      <c r="J58" s="29"/>
      <c r="K58" s="29"/>
      <c r="L58" s="29" t="s">
        <v>407</v>
      </c>
      <c r="M58" s="29"/>
      <c r="N58" s="29"/>
      <c r="O58" s="29"/>
      <c r="P58" s="29"/>
      <c r="Q58" s="29"/>
      <c r="R58" s="29" t="s">
        <v>277</v>
      </c>
      <c r="S58" s="29"/>
      <c r="T58" s="29"/>
      <c r="U58" s="29"/>
      <c r="V58" s="29"/>
      <c r="W58" s="29" t="s">
        <v>373</v>
      </c>
      <c r="X58" s="29"/>
      <c r="Y58" s="29"/>
      <c r="Z58" s="29"/>
      <c r="AA58" s="29"/>
      <c r="AB58" s="29"/>
      <c r="AC58" s="29"/>
      <c r="AD58" s="29"/>
      <c r="AE58" s="29"/>
    </row>
    <row r="59" customFormat="false" ht="63.75" hidden="false" customHeight="true" outlineLevel="0" collapsed="false">
      <c r="A59" s="29" t="str">
        <f aca="false">TAKVİM!$B$50</f>
        <v>15-19 Şubat</v>
      </c>
      <c r="B59" s="29"/>
      <c r="C59" s="29"/>
      <c r="D59" s="29" t="s">
        <v>408</v>
      </c>
      <c r="E59" s="29"/>
      <c r="F59" s="29"/>
      <c r="G59" s="29"/>
      <c r="H59" s="29"/>
      <c r="I59" s="29"/>
      <c r="J59" s="29"/>
      <c r="K59" s="29"/>
      <c r="L59" s="29" t="s">
        <v>407</v>
      </c>
      <c r="M59" s="29"/>
      <c r="N59" s="29"/>
      <c r="O59" s="29"/>
      <c r="P59" s="29"/>
      <c r="Q59" s="29"/>
      <c r="R59" s="29" t="s">
        <v>277</v>
      </c>
      <c r="S59" s="29"/>
      <c r="T59" s="29"/>
      <c r="U59" s="29"/>
      <c r="V59" s="29"/>
      <c r="W59" s="29" t="s">
        <v>373</v>
      </c>
      <c r="X59" s="29"/>
      <c r="Y59" s="29"/>
      <c r="Z59" s="29"/>
      <c r="AA59" s="29"/>
      <c r="AB59" s="29"/>
      <c r="AC59" s="29"/>
      <c r="AD59" s="29"/>
      <c r="AE59" s="29"/>
    </row>
    <row r="60" customFormat="false" ht="42.75" hidden="false" customHeight="true" outlineLevel="0" collapsed="false">
      <c r="A60" s="29" t="str">
        <f aca="false">TAKVİM!$B$51</f>
        <v>22-26 Şubat</v>
      </c>
      <c r="B60" s="29"/>
      <c r="C60" s="29"/>
      <c r="D60" s="29" t="s">
        <v>409</v>
      </c>
      <c r="E60" s="29"/>
      <c r="F60" s="29"/>
      <c r="G60" s="29"/>
      <c r="H60" s="29"/>
      <c r="I60" s="29"/>
      <c r="J60" s="29"/>
      <c r="K60" s="29"/>
      <c r="L60" s="29" t="s">
        <v>407</v>
      </c>
      <c r="M60" s="29"/>
      <c r="N60" s="29"/>
      <c r="O60" s="29"/>
      <c r="P60" s="29"/>
      <c r="Q60" s="29"/>
      <c r="R60" s="29" t="s">
        <v>277</v>
      </c>
      <c r="S60" s="29"/>
      <c r="T60" s="29"/>
      <c r="U60" s="29"/>
      <c r="V60" s="29"/>
      <c r="W60" s="29" t="s">
        <v>373</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410</v>
      </c>
      <c r="E61" s="29"/>
      <c r="F61" s="29"/>
      <c r="G61" s="29"/>
      <c r="H61" s="29"/>
      <c r="I61" s="29"/>
      <c r="J61" s="29"/>
      <c r="K61" s="29"/>
      <c r="L61" s="29" t="s">
        <v>411</v>
      </c>
      <c r="M61" s="29"/>
      <c r="N61" s="29"/>
      <c r="O61" s="29"/>
      <c r="P61" s="29"/>
      <c r="Q61" s="29"/>
      <c r="R61" s="29" t="s">
        <v>277</v>
      </c>
      <c r="S61" s="29"/>
      <c r="T61" s="29"/>
      <c r="U61" s="29"/>
      <c r="V61" s="29"/>
      <c r="W61" s="29" t="s">
        <v>373</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42.75" hidden="false" customHeight="true" outlineLevel="0" collapsed="false">
      <c r="A63" s="29" t="str">
        <f aca="false">TAKVİM!$B$54</f>
        <v>15-19 Mart</v>
      </c>
      <c r="B63" s="29"/>
      <c r="C63" s="29"/>
      <c r="D63" s="29" t="s">
        <v>412</v>
      </c>
      <c r="E63" s="29"/>
      <c r="F63" s="29"/>
      <c r="G63" s="29"/>
      <c r="H63" s="29"/>
      <c r="I63" s="29"/>
      <c r="J63" s="29"/>
      <c r="K63" s="29"/>
      <c r="L63" s="29" t="s">
        <v>413</v>
      </c>
      <c r="M63" s="29"/>
      <c r="N63" s="29"/>
      <c r="O63" s="29"/>
      <c r="P63" s="29"/>
      <c r="Q63" s="29"/>
      <c r="R63" s="29" t="s">
        <v>277</v>
      </c>
      <c r="S63" s="29"/>
      <c r="T63" s="29"/>
      <c r="U63" s="29"/>
      <c r="V63" s="29"/>
      <c r="W63" s="29" t="s">
        <v>373</v>
      </c>
      <c r="X63" s="29"/>
      <c r="Y63" s="29"/>
      <c r="Z63" s="29"/>
      <c r="AA63" s="29"/>
      <c r="AB63" s="29"/>
      <c r="AC63" s="29"/>
      <c r="AD63" s="29"/>
      <c r="AE63" s="29"/>
    </row>
    <row r="64" customFormat="false" ht="84.75" hidden="false" customHeight="true" outlineLevel="0" collapsed="false">
      <c r="A64" s="29" t="str">
        <f aca="false">TAKVİM!$B$55</f>
        <v>22-26 Mart</v>
      </c>
      <c r="B64" s="29"/>
      <c r="C64" s="29"/>
      <c r="D64" s="29" t="s">
        <v>414</v>
      </c>
      <c r="E64" s="29"/>
      <c r="F64" s="29"/>
      <c r="G64" s="29"/>
      <c r="H64" s="29"/>
      <c r="I64" s="29"/>
      <c r="J64" s="29"/>
      <c r="K64" s="29"/>
      <c r="L64" s="29" t="s">
        <v>415</v>
      </c>
      <c r="M64" s="29"/>
      <c r="N64" s="29"/>
      <c r="O64" s="29"/>
      <c r="P64" s="29"/>
      <c r="Q64" s="29"/>
      <c r="R64" s="29" t="s">
        <v>277</v>
      </c>
      <c r="S64" s="29"/>
      <c r="T64" s="29"/>
      <c r="U64" s="29"/>
      <c r="V64" s="29"/>
      <c r="W64" s="29" t="s">
        <v>373</v>
      </c>
      <c r="X64" s="29"/>
      <c r="Y64" s="29"/>
      <c r="Z64" s="29"/>
      <c r="AA64" s="29"/>
      <c r="AB64" s="29"/>
      <c r="AC64" s="29"/>
      <c r="AD64" s="29"/>
      <c r="AE64" s="29"/>
    </row>
    <row r="65" customFormat="false" ht="53.25" hidden="false" customHeight="true" outlineLevel="0" collapsed="false">
      <c r="A65" s="29" t="str">
        <f aca="false">TAKVİM!$B$56</f>
        <v>29 Mart - 02 Nisan</v>
      </c>
      <c r="B65" s="29"/>
      <c r="C65" s="29"/>
      <c r="D65" s="29" t="s">
        <v>416</v>
      </c>
      <c r="E65" s="29"/>
      <c r="F65" s="29"/>
      <c r="G65" s="29"/>
      <c r="H65" s="29"/>
      <c r="I65" s="29"/>
      <c r="J65" s="29"/>
      <c r="K65" s="29"/>
      <c r="L65" s="29" t="s">
        <v>417</v>
      </c>
      <c r="M65" s="29"/>
      <c r="N65" s="29"/>
      <c r="O65" s="29"/>
      <c r="P65" s="29"/>
      <c r="Q65" s="29"/>
      <c r="R65" s="29" t="s">
        <v>277</v>
      </c>
      <c r="S65" s="29"/>
      <c r="T65" s="29"/>
      <c r="U65" s="29"/>
      <c r="V65" s="29"/>
      <c r="W65" s="29" t="s">
        <v>373</v>
      </c>
      <c r="X65" s="29"/>
      <c r="Y65" s="29"/>
      <c r="Z65" s="29"/>
      <c r="AA65" s="29"/>
      <c r="AB65" s="29"/>
      <c r="AC65" s="29"/>
      <c r="AD65" s="29"/>
      <c r="AE65" s="29"/>
    </row>
    <row r="66" customFormat="false" ht="63.75" hidden="false" customHeight="true" outlineLevel="0" collapsed="false">
      <c r="A66" s="29" t="str">
        <f aca="false">TAKVİM!$B$57</f>
        <v>05-09 Nisan</v>
      </c>
      <c r="B66" s="29"/>
      <c r="C66" s="29"/>
      <c r="D66" s="29" t="s">
        <v>418</v>
      </c>
      <c r="E66" s="29"/>
      <c r="F66" s="29"/>
      <c r="G66" s="29"/>
      <c r="H66" s="29"/>
      <c r="I66" s="29"/>
      <c r="J66" s="29"/>
      <c r="K66" s="29"/>
      <c r="L66" s="29" t="s">
        <v>419</v>
      </c>
      <c r="M66" s="29"/>
      <c r="N66" s="29"/>
      <c r="O66" s="29"/>
      <c r="P66" s="29"/>
      <c r="Q66" s="29"/>
      <c r="R66" s="29" t="s">
        <v>277</v>
      </c>
      <c r="S66" s="29"/>
      <c r="T66" s="29"/>
      <c r="U66" s="29"/>
      <c r="V66" s="29"/>
      <c r="W66" s="29" t="s">
        <v>373</v>
      </c>
      <c r="X66" s="29"/>
      <c r="Y66" s="29"/>
      <c r="Z66" s="29"/>
      <c r="AA66" s="29"/>
      <c r="AB66" s="29"/>
      <c r="AC66" s="29"/>
      <c r="AD66" s="29"/>
      <c r="AE66" s="29"/>
    </row>
    <row r="67" customFormat="false" ht="74.25" hidden="false" customHeight="true" outlineLevel="0" collapsed="false">
      <c r="A67" s="29" t="str">
        <f aca="false">TAKVİM!$B$58</f>
        <v>12-16 Nisan</v>
      </c>
      <c r="B67" s="29"/>
      <c r="C67" s="29"/>
      <c r="D67" s="29" t="s">
        <v>420</v>
      </c>
      <c r="E67" s="29"/>
      <c r="F67" s="29"/>
      <c r="G67" s="29"/>
      <c r="H67" s="29"/>
      <c r="I67" s="29"/>
      <c r="J67" s="29"/>
      <c r="K67" s="29"/>
      <c r="L67" s="29" t="s">
        <v>421</v>
      </c>
      <c r="M67" s="29"/>
      <c r="N67" s="29"/>
      <c r="O67" s="29"/>
      <c r="P67" s="29"/>
      <c r="Q67" s="29"/>
      <c r="R67" s="29" t="s">
        <v>277</v>
      </c>
      <c r="S67" s="29"/>
      <c r="T67" s="29"/>
      <c r="U67" s="29"/>
      <c r="V67" s="29"/>
      <c r="W67" s="29" t="s">
        <v>373</v>
      </c>
      <c r="X67" s="29"/>
      <c r="Y67" s="29"/>
      <c r="Z67" s="29"/>
      <c r="AA67" s="29"/>
      <c r="AB67" s="29"/>
      <c r="AC67" s="29"/>
      <c r="AD67" s="29"/>
      <c r="AE67" s="29"/>
    </row>
    <row r="68" customFormat="false" ht="42.75" hidden="false" customHeight="true" outlineLevel="0" collapsed="false">
      <c r="A68" s="29" t="str">
        <f aca="false">TAKVİM!$B$59</f>
        <v>19-23 Nisan</v>
      </c>
      <c r="B68" s="29"/>
      <c r="C68" s="29"/>
      <c r="D68" s="29" t="s">
        <v>422</v>
      </c>
      <c r="E68" s="29"/>
      <c r="F68" s="29"/>
      <c r="G68" s="29"/>
      <c r="H68" s="29"/>
      <c r="I68" s="29"/>
      <c r="J68" s="29"/>
      <c r="K68" s="29"/>
      <c r="L68" s="29" t="s">
        <v>421</v>
      </c>
      <c r="M68" s="29"/>
      <c r="N68" s="29"/>
      <c r="O68" s="29"/>
      <c r="P68" s="29"/>
      <c r="Q68" s="29"/>
      <c r="R68" s="29" t="s">
        <v>277</v>
      </c>
      <c r="S68" s="29"/>
      <c r="T68" s="29"/>
      <c r="U68" s="29"/>
      <c r="V68" s="29"/>
      <c r="W68" s="29" t="s">
        <v>373</v>
      </c>
      <c r="X68" s="29"/>
      <c r="Y68" s="29"/>
      <c r="Z68" s="29"/>
      <c r="AA68" s="29"/>
      <c r="AB68" s="29"/>
      <c r="AC68" s="29"/>
      <c r="AD68" s="29"/>
      <c r="AE68" s="29"/>
    </row>
    <row r="69" customFormat="false" ht="63.75" hidden="false" customHeight="true" outlineLevel="0" collapsed="false">
      <c r="A69" s="29" t="str">
        <f aca="false">TAKVİM!$B$60</f>
        <v>26-30 Nisan</v>
      </c>
      <c r="B69" s="29"/>
      <c r="C69" s="29"/>
      <c r="D69" s="29" t="s">
        <v>423</v>
      </c>
      <c r="E69" s="29"/>
      <c r="F69" s="29"/>
      <c r="G69" s="29"/>
      <c r="H69" s="29"/>
      <c r="I69" s="29"/>
      <c r="J69" s="29"/>
      <c r="K69" s="29"/>
      <c r="L69" s="29" t="s">
        <v>424</v>
      </c>
      <c r="M69" s="29"/>
      <c r="N69" s="29"/>
      <c r="O69" s="29"/>
      <c r="P69" s="29"/>
      <c r="Q69" s="29"/>
      <c r="R69" s="29" t="s">
        <v>277</v>
      </c>
      <c r="S69" s="29"/>
      <c r="T69" s="29"/>
      <c r="U69" s="29"/>
      <c r="V69" s="29"/>
      <c r="W69" s="29" t="s">
        <v>373</v>
      </c>
      <c r="X69" s="29"/>
      <c r="Y69" s="29"/>
      <c r="Z69" s="29"/>
      <c r="AA69" s="29"/>
      <c r="AB69" s="29"/>
      <c r="AC69" s="29"/>
      <c r="AD69" s="29"/>
      <c r="AE69" s="29"/>
    </row>
    <row r="70" customFormat="false" ht="74.25" hidden="false" customHeight="true" outlineLevel="0" collapsed="false">
      <c r="A70" s="29" t="str">
        <f aca="false">TAKVİM!$B$61</f>
        <v>03-07 Mayıs</v>
      </c>
      <c r="B70" s="29"/>
      <c r="C70" s="29"/>
      <c r="D70" s="29" t="s">
        <v>425</v>
      </c>
      <c r="E70" s="29"/>
      <c r="F70" s="29"/>
      <c r="G70" s="29"/>
      <c r="H70" s="29"/>
      <c r="I70" s="29"/>
      <c r="J70" s="29"/>
      <c r="K70" s="29"/>
      <c r="L70" s="29" t="s">
        <v>426</v>
      </c>
      <c r="M70" s="29"/>
      <c r="N70" s="29"/>
      <c r="O70" s="29"/>
      <c r="P70" s="29"/>
      <c r="Q70" s="29"/>
      <c r="R70" s="29" t="s">
        <v>277</v>
      </c>
      <c r="S70" s="29"/>
      <c r="T70" s="29"/>
      <c r="U70" s="29"/>
      <c r="V70" s="29"/>
      <c r="W70" s="29" t="s">
        <v>373</v>
      </c>
      <c r="X70" s="29"/>
      <c r="Y70" s="29"/>
      <c r="Z70" s="29"/>
      <c r="AA70" s="29"/>
      <c r="AB70" s="29"/>
      <c r="AC70" s="29"/>
      <c r="AD70" s="29"/>
      <c r="AE70" s="29"/>
    </row>
    <row r="71" customFormat="false" ht="84.75" hidden="false" customHeight="true" outlineLevel="0" collapsed="false">
      <c r="A71" s="29" t="str">
        <f aca="false">TAKVİM!$B$62</f>
        <v>10-14 Mayıs</v>
      </c>
      <c r="B71" s="29"/>
      <c r="C71" s="29"/>
      <c r="D71" s="29" t="s">
        <v>427</v>
      </c>
      <c r="E71" s="29"/>
      <c r="F71" s="29"/>
      <c r="G71" s="29"/>
      <c r="H71" s="29"/>
      <c r="I71" s="29"/>
      <c r="J71" s="29"/>
      <c r="K71" s="29"/>
      <c r="L71" s="29" t="s">
        <v>428</v>
      </c>
      <c r="M71" s="29"/>
      <c r="N71" s="29"/>
      <c r="O71" s="29"/>
      <c r="P71" s="29"/>
      <c r="Q71" s="29"/>
      <c r="R71" s="29" t="s">
        <v>277</v>
      </c>
      <c r="S71" s="29"/>
      <c r="T71" s="29"/>
      <c r="U71" s="29"/>
      <c r="V71" s="29"/>
      <c r="W71" s="29" t="s">
        <v>373</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429</v>
      </c>
      <c r="E72" s="29"/>
      <c r="F72" s="29"/>
      <c r="G72" s="29"/>
      <c r="H72" s="29"/>
      <c r="I72" s="29"/>
      <c r="J72" s="29"/>
      <c r="K72" s="29"/>
      <c r="L72" s="29" t="s">
        <v>430</v>
      </c>
      <c r="M72" s="29"/>
      <c r="N72" s="29"/>
      <c r="O72" s="29"/>
      <c r="P72" s="29"/>
      <c r="Q72" s="29"/>
      <c r="R72" s="29" t="s">
        <v>277</v>
      </c>
      <c r="S72" s="29"/>
      <c r="T72" s="29"/>
      <c r="U72" s="29"/>
      <c r="V72" s="29"/>
      <c r="W72" s="29" t="s">
        <v>373</v>
      </c>
      <c r="X72" s="29"/>
      <c r="Y72" s="29"/>
      <c r="Z72" s="29"/>
      <c r="AA72" s="29"/>
      <c r="AB72" s="29"/>
      <c r="AC72" s="29"/>
      <c r="AD72" s="29"/>
      <c r="AE72" s="29"/>
    </row>
    <row r="73" customFormat="false" ht="63.75" hidden="false" customHeight="true" outlineLevel="0" collapsed="false">
      <c r="A73" s="29" t="str">
        <f aca="false">TAKVİM!$B$64</f>
        <v>24-28 Mayıs</v>
      </c>
      <c r="B73" s="29"/>
      <c r="C73" s="29"/>
      <c r="D73" s="29" t="s">
        <v>431</v>
      </c>
      <c r="E73" s="29"/>
      <c r="F73" s="29"/>
      <c r="G73" s="29"/>
      <c r="H73" s="29"/>
      <c r="I73" s="29"/>
      <c r="J73" s="29"/>
      <c r="K73" s="29"/>
      <c r="L73" s="29" t="s">
        <v>432</v>
      </c>
      <c r="M73" s="29"/>
      <c r="N73" s="29"/>
      <c r="O73" s="29"/>
      <c r="P73" s="29"/>
      <c r="Q73" s="29"/>
      <c r="R73" s="29" t="s">
        <v>277</v>
      </c>
      <c r="S73" s="29"/>
      <c r="T73" s="29"/>
      <c r="U73" s="29"/>
      <c r="V73" s="29"/>
      <c r="W73" s="29" t="s">
        <v>373</v>
      </c>
      <c r="X73" s="29"/>
      <c r="Y73" s="29"/>
      <c r="Z73" s="29"/>
      <c r="AA73" s="29"/>
      <c r="AB73" s="29"/>
      <c r="AC73" s="29"/>
      <c r="AD73" s="29"/>
      <c r="AE73" s="29"/>
    </row>
    <row r="74" customFormat="false" ht="53.25" hidden="false" customHeight="true" outlineLevel="0" collapsed="false">
      <c r="A74" s="29" t="str">
        <f aca="false">TAKVİM!$B$65</f>
        <v>31 Mayıs - 04 Haziran</v>
      </c>
      <c r="B74" s="29"/>
      <c r="C74" s="29"/>
      <c r="D74" s="29" t="s">
        <v>433</v>
      </c>
      <c r="E74" s="29"/>
      <c r="F74" s="29"/>
      <c r="G74" s="29"/>
      <c r="H74" s="29"/>
      <c r="I74" s="29"/>
      <c r="J74" s="29"/>
      <c r="K74" s="29"/>
      <c r="L74" s="29" t="s">
        <v>432</v>
      </c>
      <c r="M74" s="29"/>
      <c r="N74" s="29"/>
      <c r="O74" s="29"/>
      <c r="P74" s="29"/>
      <c r="Q74" s="29"/>
      <c r="R74" s="29" t="s">
        <v>277</v>
      </c>
      <c r="S74" s="29"/>
      <c r="T74" s="29"/>
      <c r="U74" s="29"/>
      <c r="V74" s="29"/>
      <c r="W74" s="29" t="s">
        <v>373</v>
      </c>
      <c r="X74" s="29"/>
      <c r="Y74" s="29"/>
      <c r="Z74" s="29"/>
      <c r="AA74" s="29"/>
      <c r="AB74" s="29"/>
      <c r="AC74" s="29"/>
      <c r="AD74" s="29"/>
      <c r="AE74" s="29"/>
    </row>
    <row r="75" customFormat="false" ht="95.25" hidden="false" customHeight="true" outlineLevel="0" collapsed="false">
      <c r="A75" s="29" t="str">
        <f aca="false">TAKVİM!$B$66</f>
        <v>07-11 Haziran</v>
      </c>
      <c r="B75" s="29"/>
      <c r="C75" s="29"/>
      <c r="D75" s="29" t="s">
        <v>434</v>
      </c>
      <c r="E75" s="29"/>
      <c r="F75" s="29"/>
      <c r="G75" s="29"/>
      <c r="H75" s="29"/>
      <c r="I75" s="29"/>
      <c r="J75" s="29"/>
      <c r="K75" s="29"/>
      <c r="L75" s="29" t="s">
        <v>435</v>
      </c>
      <c r="M75" s="29"/>
      <c r="N75" s="29"/>
      <c r="O75" s="29"/>
      <c r="P75" s="29"/>
      <c r="Q75" s="29"/>
      <c r="R75" s="29" t="s">
        <v>277</v>
      </c>
      <c r="S75" s="29"/>
      <c r="T75" s="29"/>
      <c r="U75" s="29"/>
      <c r="V75" s="29"/>
      <c r="W75" s="29" t="s">
        <v>373</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436</v>
      </c>
      <c r="E76" s="29"/>
      <c r="F76" s="29"/>
      <c r="G76" s="29"/>
      <c r="H76" s="29"/>
      <c r="I76" s="29"/>
      <c r="J76" s="29"/>
      <c r="K76" s="29"/>
      <c r="L76" s="29" t="s">
        <v>435</v>
      </c>
      <c r="M76" s="29"/>
      <c r="N76" s="29"/>
      <c r="O76" s="29"/>
      <c r="P76" s="29"/>
      <c r="Q76" s="29"/>
      <c r="R76" s="29" t="s">
        <v>277</v>
      </c>
      <c r="S76" s="29"/>
      <c r="T76" s="29"/>
      <c r="U76" s="29"/>
      <c r="V76" s="29"/>
      <c r="W76" s="29" t="s">
        <v>373</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436</v>
      </c>
      <c r="E77" s="29"/>
      <c r="F77" s="29"/>
      <c r="G77" s="29"/>
      <c r="H77" s="29"/>
      <c r="I77" s="29"/>
      <c r="J77" s="29"/>
      <c r="K77" s="29"/>
      <c r="L77" s="29" t="s">
        <v>435</v>
      </c>
      <c r="M77" s="29"/>
      <c r="N77" s="29"/>
      <c r="O77" s="29"/>
      <c r="P77" s="29"/>
      <c r="Q77" s="29"/>
      <c r="R77" s="29" t="s">
        <v>277</v>
      </c>
      <c r="S77" s="29"/>
      <c r="T77" s="29"/>
      <c r="U77" s="29"/>
      <c r="V77" s="29"/>
      <c r="W77" s="29" t="s">
        <v>373</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437</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105</v>
      </c>
      <c r="H5" s="25"/>
      <c r="I5" s="25"/>
      <c r="J5" s="25"/>
      <c r="K5" s="25"/>
      <c r="L5" s="25"/>
      <c r="M5" s="25"/>
      <c r="N5" s="25"/>
      <c r="O5" s="25"/>
      <c r="P5" s="24" t="s">
        <v>106</v>
      </c>
      <c r="Q5" s="24"/>
      <c r="R5" s="24"/>
      <c r="S5" s="24"/>
      <c r="T5" s="24"/>
      <c r="U5" s="25" t="s">
        <v>323</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63.75" hidden="false" customHeight="true" outlineLevel="0" collapsed="false">
      <c r="A38" s="29" t="str">
        <f aca="false">TAKVİM!$B$29</f>
        <v>14-18 Eylül</v>
      </c>
      <c r="B38" s="29"/>
      <c r="C38" s="29"/>
      <c r="D38" s="29" t="s">
        <v>438</v>
      </c>
      <c r="E38" s="29"/>
      <c r="F38" s="29"/>
      <c r="G38" s="29"/>
      <c r="H38" s="29"/>
      <c r="I38" s="29"/>
      <c r="J38" s="29"/>
      <c r="K38" s="29"/>
      <c r="L38" s="29" t="s">
        <v>439</v>
      </c>
      <c r="M38" s="29"/>
      <c r="N38" s="29"/>
      <c r="O38" s="29"/>
      <c r="P38" s="29"/>
      <c r="Q38" s="29"/>
      <c r="R38" s="29" t="s">
        <v>440</v>
      </c>
      <c r="S38" s="29"/>
      <c r="T38" s="29"/>
      <c r="U38" s="29"/>
      <c r="V38" s="29"/>
      <c r="W38" s="29" t="s">
        <v>441</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442</v>
      </c>
      <c r="E39" s="29"/>
      <c r="F39" s="29"/>
      <c r="G39" s="29"/>
      <c r="H39" s="29"/>
      <c r="I39" s="29"/>
      <c r="J39" s="29"/>
      <c r="K39" s="29"/>
      <c r="L39" s="29" t="s">
        <v>443</v>
      </c>
      <c r="M39" s="29"/>
      <c r="N39" s="29"/>
      <c r="O39" s="29"/>
      <c r="P39" s="29"/>
      <c r="Q39" s="29"/>
      <c r="R39" s="29" t="s">
        <v>440</v>
      </c>
      <c r="S39" s="29"/>
      <c r="T39" s="29"/>
      <c r="U39" s="29"/>
      <c r="V39" s="29"/>
      <c r="W39" s="29" t="s">
        <v>441</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444</v>
      </c>
      <c r="E40" s="29"/>
      <c r="F40" s="29"/>
      <c r="G40" s="29"/>
      <c r="H40" s="29"/>
      <c r="I40" s="29"/>
      <c r="J40" s="29"/>
      <c r="K40" s="29"/>
      <c r="L40" s="29" t="s">
        <v>445</v>
      </c>
      <c r="M40" s="29"/>
      <c r="N40" s="29"/>
      <c r="O40" s="29"/>
      <c r="P40" s="29"/>
      <c r="Q40" s="29"/>
      <c r="R40" s="29" t="s">
        <v>440</v>
      </c>
      <c r="S40" s="29"/>
      <c r="T40" s="29"/>
      <c r="U40" s="29"/>
      <c r="V40" s="29"/>
      <c r="W40" s="29" t="s">
        <v>441</v>
      </c>
      <c r="X40" s="29"/>
      <c r="Y40" s="29"/>
      <c r="Z40" s="29"/>
      <c r="AA40" s="29"/>
      <c r="AB40" s="29"/>
      <c r="AC40" s="29"/>
      <c r="AD40" s="29"/>
      <c r="AE40" s="29"/>
    </row>
    <row r="41" customFormat="false" ht="42.75" hidden="false" customHeight="true" outlineLevel="0" collapsed="false">
      <c r="A41" s="29" t="str">
        <f aca="false">TAKVİM!$B$32</f>
        <v>05-09 Ekim</v>
      </c>
      <c r="B41" s="29"/>
      <c r="C41" s="29"/>
      <c r="D41" s="29" t="s">
        <v>446</v>
      </c>
      <c r="E41" s="29"/>
      <c r="F41" s="29"/>
      <c r="G41" s="29"/>
      <c r="H41" s="29"/>
      <c r="I41" s="29"/>
      <c r="J41" s="29"/>
      <c r="K41" s="29"/>
      <c r="L41" s="29" t="s">
        <v>447</v>
      </c>
      <c r="M41" s="29"/>
      <c r="N41" s="29"/>
      <c r="O41" s="29"/>
      <c r="P41" s="29"/>
      <c r="Q41" s="29"/>
      <c r="R41" s="29" t="s">
        <v>440</v>
      </c>
      <c r="S41" s="29"/>
      <c r="T41" s="29"/>
      <c r="U41" s="29"/>
      <c r="V41" s="29"/>
      <c r="W41" s="29" t="s">
        <v>441</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448</v>
      </c>
      <c r="E42" s="29"/>
      <c r="F42" s="29"/>
      <c r="G42" s="29"/>
      <c r="H42" s="29"/>
      <c r="I42" s="29"/>
      <c r="J42" s="29"/>
      <c r="K42" s="29"/>
      <c r="L42" s="29" t="s">
        <v>447</v>
      </c>
      <c r="M42" s="29"/>
      <c r="N42" s="29"/>
      <c r="O42" s="29"/>
      <c r="P42" s="29"/>
      <c r="Q42" s="29"/>
      <c r="R42" s="29" t="s">
        <v>440</v>
      </c>
      <c r="S42" s="29"/>
      <c r="T42" s="29"/>
      <c r="U42" s="29"/>
      <c r="V42" s="29"/>
      <c r="W42" s="29" t="s">
        <v>441</v>
      </c>
      <c r="X42" s="29"/>
      <c r="Y42" s="29"/>
      <c r="Z42" s="29"/>
      <c r="AA42" s="29"/>
      <c r="AB42" s="29"/>
      <c r="AC42" s="29"/>
      <c r="AD42" s="29"/>
      <c r="AE42" s="29"/>
    </row>
    <row r="43" customFormat="false" ht="74.25" hidden="false" customHeight="true" outlineLevel="0" collapsed="false">
      <c r="A43" s="29" t="str">
        <f aca="false">TAKVİM!$B$34</f>
        <v>19-23 Ekim</v>
      </c>
      <c r="B43" s="29"/>
      <c r="C43" s="29"/>
      <c r="D43" s="29" t="s">
        <v>449</v>
      </c>
      <c r="E43" s="29"/>
      <c r="F43" s="29"/>
      <c r="G43" s="29"/>
      <c r="H43" s="29"/>
      <c r="I43" s="29"/>
      <c r="J43" s="29"/>
      <c r="K43" s="29"/>
      <c r="L43" s="29" t="s">
        <v>445</v>
      </c>
      <c r="M43" s="29"/>
      <c r="N43" s="29"/>
      <c r="O43" s="29"/>
      <c r="P43" s="29"/>
      <c r="Q43" s="29"/>
      <c r="R43" s="29" t="s">
        <v>440</v>
      </c>
      <c r="S43" s="29"/>
      <c r="T43" s="29"/>
      <c r="U43" s="29"/>
      <c r="V43" s="29"/>
      <c r="W43" s="29" t="s">
        <v>441</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450</v>
      </c>
      <c r="E44" s="29"/>
      <c r="F44" s="29"/>
      <c r="G44" s="29"/>
      <c r="H44" s="29"/>
      <c r="I44" s="29"/>
      <c r="J44" s="29"/>
      <c r="K44" s="29"/>
      <c r="L44" s="29" t="s">
        <v>451</v>
      </c>
      <c r="M44" s="29"/>
      <c r="N44" s="29"/>
      <c r="O44" s="29"/>
      <c r="P44" s="29"/>
      <c r="Q44" s="29"/>
      <c r="R44" s="29" t="s">
        <v>440</v>
      </c>
      <c r="S44" s="29"/>
      <c r="T44" s="29"/>
      <c r="U44" s="29"/>
      <c r="V44" s="29"/>
      <c r="W44" s="29" t="s">
        <v>441</v>
      </c>
      <c r="X44" s="29"/>
      <c r="Y44" s="29"/>
      <c r="Z44" s="29"/>
      <c r="AA44" s="29"/>
      <c r="AB44" s="29"/>
      <c r="AC44" s="29"/>
      <c r="AD44" s="29"/>
      <c r="AE44" s="29"/>
    </row>
    <row r="45" customFormat="false" ht="42.75" hidden="false" customHeight="true" outlineLevel="0" collapsed="false">
      <c r="A45" s="29" t="str">
        <f aca="false">TAKVİM!$B$36</f>
        <v>02-06 Kasım</v>
      </c>
      <c r="B45" s="29"/>
      <c r="C45" s="29"/>
      <c r="D45" s="29" t="s">
        <v>452</v>
      </c>
      <c r="E45" s="29"/>
      <c r="F45" s="29"/>
      <c r="G45" s="29"/>
      <c r="H45" s="29"/>
      <c r="I45" s="29"/>
      <c r="J45" s="29"/>
      <c r="K45" s="29"/>
      <c r="L45" s="29" t="s">
        <v>453</v>
      </c>
      <c r="M45" s="29"/>
      <c r="N45" s="29"/>
      <c r="O45" s="29"/>
      <c r="P45" s="29"/>
      <c r="Q45" s="29"/>
      <c r="R45" s="29" t="s">
        <v>440</v>
      </c>
      <c r="S45" s="29"/>
      <c r="T45" s="29"/>
      <c r="U45" s="29"/>
      <c r="V45" s="29"/>
      <c r="W45" s="29" t="s">
        <v>441</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454</v>
      </c>
      <c r="E46" s="29"/>
      <c r="F46" s="29"/>
      <c r="G46" s="29"/>
      <c r="H46" s="29"/>
      <c r="I46" s="29"/>
      <c r="J46" s="29"/>
      <c r="K46" s="29"/>
      <c r="L46" s="29" t="s">
        <v>453</v>
      </c>
      <c r="M46" s="29"/>
      <c r="N46" s="29"/>
      <c r="O46" s="29"/>
      <c r="P46" s="29"/>
      <c r="Q46" s="29"/>
      <c r="R46" s="29" t="s">
        <v>440</v>
      </c>
      <c r="S46" s="29"/>
      <c r="T46" s="29"/>
      <c r="U46" s="29"/>
      <c r="V46" s="29"/>
      <c r="W46" s="29" t="s">
        <v>441</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455</v>
      </c>
      <c r="E48" s="29"/>
      <c r="F48" s="29"/>
      <c r="G48" s="29"/>
      <c r="H48" s="29"/>
      <c r="I48" s="29"/>
      <c r="J48" s="29"/>
      <c r="K48" s="29"/>
      <c r="L48" s="29" t="s">
        <v>456</v>
      </c>
      <c r="M48" s="29"/>
      <c r="N48" s="29"/>
      <c r="O48" s="29"/>
      <c r="P48" s="29"/>
      <c r="Q48" s="29"/>
      <c r="R48" s="29" t="s">
        <v>440</v>
      </c>
      <c r="S48" s="29"/>
      <c r="T48" s="29"/>
      <c r="U48" s="29"/>
      <c r="V48" s="29"/>
      <c r="W48" s="29" t="s">
        <v>441</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455</v>
      </c>
      <c r="E49" s="29"/>
      <c r="F49" s="29"/>
      <c r="G49" s="29"/>
      <c r="H49" s="29"/>
      <c r="I49" s="29"/>
      <c r="J49" s="29"/>
      <c r="K49" s="29"/>
      <c r="L49" s="29" t="s">
        <v>456</v>
      </c>
      <c r="M49" s="29"/>
      <c r="N49" s="29"/>
      <c r="O49" s="29"/>
      <c r="P49" s="29"/>
      <c r="Q49" s="29"/>
      <c r="R49" s="29" t="s">
        <v>440</v>
      </c>
      <c r="S49" s="29"/>
      <c r="T49" s="29"/>
      <c r="U49" s="29"/>
      <c r="V49" s="29"/>
      <c r="W49" s="29" t="s">
        <v>441</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457</v>
      </c>
      <c r="E50" s="29"/>
      <c r="F50" s="29"/>
      <c r="G50" s="29"/>
      <c r="H50" s="29"/>
      <c r="I50" s="29"/>
      <c r="J50" s="29"/>
      <c r="K50" s="29"/>
      <c r="L50" s="29" t="s">
        <v>458</v>
      </c>
      <c r="M50" s="29"/>
      <c r="N50" s="29"/>
      <c r="O50" s="29"/>
      <c r="P50" s="29"/>
      <c r="Q50" s="29"/>
      <c r="R50" s="29" t="s">
        <v>440</v>
      </c>
      <c r="S50" s="29"/>
      <c r="T50" s="29"/>
      <c r="U50" s="29"/>
      <c r="V50" s="29"/>
      <c r="W50" s="29" t="s">
        <v>441</v>
      </c>
      <c r="X50" s="29"/>
      <c r="Y50" s="29"/>
      <c r="Z50" s="29"/>
      <c r="AA50" s="29"/>
      <c r="AB50" s="29"/>
      <c r="AC50" s="29"/>
      <c r="AD50" s="29"/>
      <c r="AE50" s="29"/>
    </row>
    <row r="51" customFormat="false" ht="42.75" hidden="false" customHeight="true" outlineLevel="0" collapsed="false">
      <c r="A51" s="29" t="str">
        <f aca="false">TAKVİM!$B$42</f>
        <v>14-18 Aralık</v>
      </c>
      <c r="B51" s="29"/>
      <c r="C51" s="29"/>
      <c r="D51" s="29" t="s">
        <v>457</v>
      </c>
      <c r="E51" s="29"/>
      <c r="F51" s="29"/>
      <c r="G51" s="29"/>
      <c r="H51" s="29"/>
      <c r="I51" s="29"/>
      <c r="J51" s="29"/>
      <c r="K51" s="29"/>
      <c r="L51" s="29" t="s">
        <v>458</v>
      </c>
      <c r="M51" s="29"/>
      <c r="N51" s="29"/>
      <c r="O51" s="29"/>
      <c r="P51" s="29"/>
      <c r="Q51" s="29"/>
      <c r="R51" s="29" t="s">
        <v>440</v>
      </c>
      <c r="S51" s="29"/>
      <c r="T51" s="29"/>
      <c r="U51" s="29"/>
      <c r="V51" s="29"/>
      <c r="W51" s="29" t="s">
        <v>441</v>
      </c>
      <c r="X51" s="29"/>
      <c r="Y51" s="29"/>
      <c r="Z51" s="29"/>
      <c r="AA51" s="29"/>
      <c r="AB51" s="29"/>
      <c r="AC51" s="29"/>
      <c r="AD51" s="29"/>
      <c r="AE51" s="29"/>
    </row>
    <row r="52" customFormat="false" ht="42.75" hidden="false" customHeight="true" outlineLevel="0" collapsed="false">
      <c r="A52" s="29" t="str">
        <f aca="false">TAKVİM!$B$43</f>
        <v>21-25 Aralık</v>
      </c>
      <c r="B52" s="29"/>
      <c r="C52" s="29"/>
      <c r="D52" s="29" t="s">
        <v>457</v>
      </c>
      <c r="E52" s="29"/>
      <c r="F52" s="29"/>
      <c r="G52" s="29"/>
      <c r="H52" s="29"/>
      <c r="I52" s="29"/>
      <c r="J52" s="29"/>
      <c r="K52" s="29"/>
      <c r="L52" s="29" t="s">
        <v>458</v>
      </c>
      <c r="M52" s="29"/>
      <c r="N52" s="29"/>
      <c r="O52" s="29"/>
      <c r="P52" s="29"/>
      <c r="Q52" s="29"/>
      <c r="R52" s="29" t="s">
        <v>440</v>
      </c>
      <c r="S52" s="29"/>
      <c r="T52" s="29"/>
      <c r="U52" s="29"/>
      <c r="V52" s="29"/>
      <c r="W52" s="29" t="s">
        <v>441</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459</v>
      </c>
      <c r="E53" s="29"/>
      <c r="F53" s="29"/>
      <c r="G53" s="29"/>
      <c r="H53" s="29"/>
      <c r="I53" s="29"/>
      <c r="J53" s="29"/>
      <c r="K53" s="29"/>
      <c r="L53" s="29" t="s">
        <v>460</v>
      </c>
      <c r="M53" s="29"/>
      <c r="N53" s="29"/>
      <c r="O53" s="29"/>
      <c r="P53" s="29"/>
      <c r="Q53" s="29"/>
      <c r="R53" s="29" t="s">
        <v>440</v>
      </c>
      <c r="S53" s="29"/>
      <c r="T53" s="29"/>
      <c r="U53" s="29"/>
      <c r="V53" s="29"/>
      <c r="W53" s="29" t="s">
        <v>441</v>
      </c>
      <c r="X53" s="29"/>
      <c r="Y53" s="29"/>
      <c r="Z53" s="29"/>
      <c r="AA53" s="29"/>
      <c r="AB53" s="29"/>
      <c r="AC53" s="29"/>
      <c r="AD53" s="29"/>
      <c r="AE53" s="29"/>
    </row>
    <row r="54" customFormat="false" ht="84.75" hidden="false" customHeight="true" outlineLevel="0" collapsed="false">
      <c r="A54" s="29" t="str">
        <f aca="false">TAKVİM!$B$45</f>
        <v>04-08 Ocak</v>
      </c>
      <c r="B54" s="29"/>
      <c r="C54" s="29"/>
      <c r="D54" s="29" t="s">
        <v>461</v>
      </c>
      <c r="E54" s="29"/>
      <c r="F54" s="29"/>
      <c r="G54" s="29"/>
      <c r="H54" s="29"/>
      <c r="I54" s="29"/>
      <c r="J54" s="29"/>
      <c r="K54" s="29"/>
      <c r="L54" s="29" t="s">
        <v>462</v>
      </c>
      <c r="M54" s="29"/>
      <c r="N54" s="29"/>
      <c r="O54" s="29"/>
      <c r="P54" s="29"/>
      <c r="Q54" s="29"/>
      <c r="R54" s="29" t="s">
        <v>440</v>
      </c>
      <c r="S54" s="29"/>
      <c r="T54" s="29"/>
      <c r="U54" s="29"/>
      <c r="V54" s="29"/>
      <c r="W54" s="29" t="s">
        <v>441</v>
      </c>
      <c r="X54" s="29"/>
      <c r="Y54" s="29"/>
      <c r="Z54" s="29"/>
      <c r="AA54" s="29"/>
      <c r="AB54" s="29"/>
      <c r="AC54" s="29"/>
      <c r="AD54" s="29"/>
      <c r="AE54" s="29"/>
    </row>
    <row r="55" customFormat="false" ht="84.75" hidden="false" customHeight="true" outlineLevel="0" collapsed="false">
      <c r="A55" s="29" t="str">
        <f aca="false">TAKVİM!$B$46</f>
        <v>11-15 Ocak</v>
      </c>
      <c r="B55" s="29"/>
      <c r="C55" s="29"/>
      <c r="D55" s="29" t="s">
        <v>463</v>
      </c>
      <c r="E55" s="29"/>
      <c r="F55" s="29"/>
      <c r="G55" s="29"/>
      <c r="H55" s="29"/>
      <c r="I55" s="29"/>
      <c r="J55" s="29"/>
      <c r="K55" s="29"/>
      <c r="L55" s="29" t="s">
        <v>462</v>
      </c>
      <c r="M55" s="29"/>
      <c r="N55" s="29"/>
      <c r="O55" s="29"/>
      <c r="P55" s="29"/>
      <c r="Q55" s="29"/>
      <c r="R55" s="29" t="s">
        <v>440</v>
      </c>
      <c r="S55" s="29"/>
      <c r="T55" s="29"/>
      <c r="U55" s="29"/>
      <c r="V55" s="29"/>
      <c r="W55" s="29" t="s">
        <v>441</v>
      </c>
      <c r="X55" s="29"/>
      <c r="Y55" s="29"/>
      <c r="Z55" s="29"/>
      <c r="AA55" s="29"/>
      <c r="AB55" s="29"/>
      <c r="AC55" s="29"/>
      <c r="AD55" s="29"/>
      <c r="AE55" s="29"/>
    </row>
    <row r="56" customFormat="false" ht="42.75" hidden="false" customHeight="true" outlineLevel="0" collapsed="false">
      <c r="A56" s="29" t="str">
        <f aca="false">TAKVİM!$B$47</f>
        <v>18-22 Ocak</v>
      </c>
      <c r="B56" s="29"/>
      <c r="C56" s="29"/>
      <c r="D56" s="29" t="s">
        <v>464</v>
      </c>
      <c r="E56" s="29"/>
      <c r="F56" s="29"/>
      <c r="G56" s="29"/>
      <c r="H56" s="29"/>
      <c r="I56" s="29"/>
      <c r="J56" s="29"/>
      <c r="K56" s="29"/>
      <c r="L56" s="29" t="s">
        <v>465</v>
      </c>
      <c r="M56" s="29"/>
      <c r="N56" s="29"/>
      <c r="O56" s="29"/>
      <c r="P56" s="29"/>
      <c r="Q56" s="29"/>
      <c r="R56" s="29" t="s">
        <v>440</v>
      </c>
      <c r="S56" s="29"/>
      <c r="T56" s="29"/>
      <c r="U56" s="29"/>
      <c r="V56" s="29"/>
      <c r="W56" s="29" t="s">
        <v>441</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466</v>
      </c>
      <c r="E58" s="29"/>
      <c r="F58" s="29"/>
      <c r="G58" s="29"/>
      <c r="H58" s="29"/>
      <c r="I58" s="29"/>
      <c r="J58" s="29"/>
      <c r="K58" s="29"/>
      <c r="L58" s="29" t="s">
        <v>467</v>
      </c>
      <c r="M58" s="29"/>
      <c r="N58" s="29"/>
      <c r="O58" s="29"/>
      <c r="P58" s="29"/>
      <c r="Q58" s="29"/>
      <c r="R58" s="29" t="s">
        <v>440</v>
      </c>
      <c r="S58" s="29"/>
      <c r="T58" s="29"/>
      <c r="U58" s="29"/>
      <c r="V58" s="29"/>
      <c r="W58" s="29" t="s">
        <v>441</v>
      </c>
      <c r="X58" s="29"/>
      <c r="Y58" s="29"/>
      <c r="Z58" s="29"/>
      <c r="AA58" s="29"/>
      <c r="AB58" s="29"/>
      <c r="AC58" s="29"/>
      <c r="AD58" s="29"/>
      <c r="AE58" s="29"/>
    </row>
    <row r="59" customFormat="false" ht="42.75" hidden="false" customHeight="true" outlineLevel="0" collapsed="false">
      <c r="A59" s="29" t="str">
        <f aca="false">TAKVİM!$B$50</f>
        <v>15-19 Şubat</v>
      </c>
      <c r="B59" s="29"/>
      <c r="C59" s="29"/>
      <c r="D59" s="29" t="s">
        <v>468</v>
      </c>
      <c r="E59" s="29"/>
      <c r="F59" s="29"/>
      <c r="G59" s="29"/>
      <c r="H59" s="29"/>
      <c r="I59" s="29"/>
      <c r="J59" s="29"/>
      <c r="K59" s="29"/>
      <c r="L59" s="29" t="s">
        <v>469</v>
      </c>
      <c r="M59" s="29"/>
      <c r="N59" s="29"/>
      <c r="O59" s="29"/>
      <c r="P59" s="29"/>
      <c r="Q59" s="29"/>
      <c r="R59" s="29" t="s">
        <v>440</v>
      </c>
      <c r="S59" s="29"/>
      <c r="T59" s="29"/>
      <c r="U59" s="29"/>
      <c r="V59" s="29"/>
      <c r="W59" s="29" t="s">
        <v>441</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470</v>
      </c>
      <c r="E60" s="29"/>
      <c r="F60" s="29"/>
      <c r="G60" s="29"/>
      <c r="H60" s="29"/>
      <c r="I60" s="29"/>
      <c r="J60" s="29"/>
      <c r="K60" s="29"/>
      <c r="L60" s="29" t="s">
        <v>471</v>
      </c>
      <c r="M60" s="29"/>
      <c r="N60" s="29"/>
      <c r="O60" s="29"/>
      <c r="P60" s="29"/>
      <c r="Q60" s="29"/>
      <c r="R60" s="29" t="s">
        <v>440</v>
      </c>
      <c r="S60" s="29"/>
      <c r="T60" s="29"/>
      <c r="U60" s="29"/>
      <c r="V60" s="29"/>
      <c r="W60" s="29" t="s">
        <v>441</v>
      </c>
      <c r="X60" s="29"/>
      <c r="Y60" s="29"/>
      <c r="Z60" s="29"/>
      <c r="AA60" s="29"/>
      <c r="AB60" s="29"/>
      <c r="AC60" s="29"/>
      <c r="AD60" s="29"/>
      <c r="AE60" s="29"/>
    </row>
    <row r="61" customFormat="false" ht="42.75" hidden="false" customHeight="true" outlineLevel="0" collapsed="false">
      <c r="A61" s="29" t="str">
        <f aca="false">TAKVİM!$B$52</f>
        <v>01-05 Mart</v>
      </c>
      <c r="B61" s="29"/>
      <c r="C61" s="29"/>
      <c r="D61" s="29" t="s">
        <v>472</v>
      </c>
      <c r="E61" s="29"/>
      <c r="F61" s="29"/>
      <c r="G61" s="29"/>
      <c r="H61" s="29"/>
      <c r="I61" s="29"/>
      <c r="J61" s="29"/>
      <c r="K61" s="29"/>
      <c r="L61" s="29" t="s">
        <v>471</v>
      </c>
      <c r="M61" s="29"/>
      <c r="N61" s="29"/>
      <c r="O61" s="29"/>
      <c r="P61" s="29"/>
      <c r="Q61" s="29"/>
      <c r="R61" s="29" t="s">
        <v>440</v>
      </c>
      <c r="S61" s="29"/>
      <c r="T61" s="29"/>
      <c r="U61" s="29"/>
      <c r="V61" s="29"/>
      <c r="W61" s="29" t="s">
        <v>441</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53.25" hidden="false" customHeight="true" outlineLevel="0" collapsed="false">
      <c r="A63" s="29" t="str">
        <f aca="false">TAKVİM!$B$54</f>
        <v>15-19 Mart</v>
      </c>
      <c r="B63" s="29"/>
      <c r="C63" s="29"/>
      <c r="D63" s="29" t="s">
        <v>473</v>
      </c>
      <c r="E63" s="29"/>
      <c r="F63" s="29"/>
      <c r="G63" s="29"/>
      <c r="H63" s="29"/>
      <c r="I63" s="29"/>
      <c r="J63" s="29"/>
      <c r="K63" s="29"/>
      <c r="L63" s="29" t="s">
        <v>474</v>
      </c>
      <c r="M63" s="29"/>
      <c r="N63" s="29"/>
      <c r="O63" s="29"/>
      <c r="P63" s="29"/>
      <c r="Q63" s="29"/>
      <c r="R63" s="29" t="s">
        <v>440</v>
      </c>
      <c r="S63" s="29"/>
      <c r="T63" s="29"/>
      <c r="U63" s="29"/>
      <c r="V63" s="29"/>
      <c r="W63" s="29" t="s">
        <v>441</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473</v>
      </c>
      <c r="E64" s="29"/>
      <c r="F64" s="29"/>
      <c r="G64" s="29"/>
      <c r="H64" s="29"/>
      <c r="I64" s="29"/>
      <c r="J64" s="29"/>
      <c r="K64" s="29"/>
      <c r="L64" s="29" t="s">
        <v>475</v>
      </c>
      <c r="M64" s="29"/>
      <c r="N64" s="29"/>
      <c r="O64" s="29"/>
      <c r="P64" s="29"/>
      <c r="Q64" s="29"/>
      <c r="R64" s="29" t="s">
        <v>440</v>
      </c>
      <c r="S64" s="29"/>
      <c r="T64" s="29"/>
      <c r="U64" s="29"/>
      <c r="V64" s="29"/>
      <c r="W64" s="29" t="s">
        <v>441</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476</v>
      </c>
      <c r="E65" s="29"/>
      <c r="F65" s="29"/>
      <c r="G65" s="29"/>
      <c r="H65" s="29"/>
      <c r="I65" s="29"/>
      <c r="J65" s="29"/>
      <c r="K65" s="29"/>
      <c r="L65" s="29" t="s">
        <v>477</v>
      </c>
      <c r="M65" s="29"/>
      <c r="N65" s="29"/>
      <c r="O65" s="29"/>
      <c r="P65" s="29"/>
      <c r="Q65" s="29"/>
      <c r="R65" s="29" t="s">
        <v>440</v>
      </c>
      <c r="S65" s="29"/>
      <c r="T65" s="29"/>
      <c r="U65" s="29"/>
      <c r="V65" s="29"/>
      <c r="W65" s="29" t="s">
        <v>441</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476</v>
      </c>
      <c r="E66" s="29"/>
      <c r="F66" s="29"/>
      <c r="G66" s="29"/>
      <c r="H66" s="29"/>
      <c r="I66" s="29"/>
      <c r="J66" s="29"/>
      <c r="K66" s="29"/>
      <c r="L66" s="29" t="s">
        <v>477</v>
      </c>
      <c r="M66" s="29"/>
      <c r="N66" s="29"/>
      <c r="O66" s="29"/>
      <c r="P66" s="29"/>
      <c r="Q66" s="29"/>
      <c r="R66" s="29" t="s">
        <v>440</v>
      </c>
      <c r="S66" s="29"/>
      <c r="T66" s="29"/>
      <c r="U66" s="29"/>
      <c r="V66" s="29"/>
      <c r="W66" s="29" t="s">
        <v>441</v>
      </c>
      <c r="X66" s="29"/>
      <c r="Y66" s="29"/>
      <c r="Z66" s="29"/>
      <c r="AA66" s="29"/>
      <c r="AB66" s="29"/>
      <c r="AC66" s="29"/>
      <c r="AD66" s="29"/>
      <c r="AE66" s="29"/>
    </row>
    <row r="67" customFormat="false" ht="42.75" hidden="false" customHeight="true" outlineLevel="0" collapsed="false">
      <c r="A67" s="29" t="str">
        <f aca="false">TAKVİM!$B$58</f>
        <v>12-16 Nisan</v>
      </c>
      <c r="B67" s="29"/>
      <c r="C67" s="29"/>
      <c r="D67" s="29" t="s">
        <v>478</v>
      </c>
      <c r="E67" s="29"/>
      <c r="F67" s="29"/>
      <c r="G67" s="29"/>
      <c r="H67" s="29"/>
      <c r="I67" s="29"/>
      <c r="J67" s="29"/>
      <c r="K67" s="29"/>
      <c r="L67" s="29" t="s">
        <v>479</v>
      </c>
      <c r="M67" s="29"/>
      <c r="N67" s="29"/>
      <c r="O67" s="29"/>
      <c r="P67" s="29"/>
      <c r="Q67" s="29"/>
      <c r="R67" s="29" t="s">
        <v>440</v>
      </c>
      <c r="S67" s="29"/>
      <c r="T67" s="29"/>
      <c r="U67" s="29"/>
      <c r="V67" s="29"/>
      <c r="W67" s="29" t="s">
        <v>441</v>
      </c>
      <c r="X67" s="29"/>
      <c r="Y67" s="29"/>
      <c r="Z67" s="29"/>
      <c r="AA67" s="29"/>
      <c r="AB67" s="29"/>
      <c r="AC67" s="29"/>
      <c r="AD67" s="29"/>
      <c r="AE67" s="29"/>
    </row>
    <row r="68" customFormat="false" ht="42.75" hidden="false" customHeight="true" outlineLevel="0" collapsed="false">
      <c r="A68" s="29" t="str">
        <f aca="false">TAKVİM!$B$59</f>
        <v>19-23 Nisan</v>
      </c>
      <c r="B68" s="29"/>
      <c r="C68" s="29"/>
      <c r="D68" s="29" t="s">
        <v>480</v>
      </c>
      <c r="E68" s="29"/>
      <c r="F68" s="29"/>
      <c r="G68" s="29"/>
      <c r="H68" s="29"/>
      <c r="I68" s="29"/>
      <c r="J68" s="29"/>
      <c r="K68" s="29"/>
      <c r="L68" s="29" t="s">
        <v>479</v>
      </c>
      <c r="M68" s="29"/>
      <c r="N68" s="29"/>
      <c r="O68" s="29"/>
      <c r="P68" s="29"/>
      <c r="Q68" s="29"/>
      <c r="R68" s="29" t="s">
        <v>440</v>
      </c>
      <c r="S68" s="29"/>
      <c r="T68" s="29"/>
      <c r="U68" s="29"/>
      <c r="V68" s="29"/>
      <c r="W68" s="29" t="s">
        <v>441</v>
      </c>
      <c r="X68" s="29"/>
      <c r="Y68" s="29"/>
      <c r="Z68" s="29"/>
      <c r="AA68" s="29"/>
      <c r="AB68" s="29"/>
      <c r="AC68" s="29"/>
      <c r="AD68" s="29"/>
      <c r="AE68" s="29"/>
    </row>
    <row r="69" customFormat="false" ht="63.75" hidden="false" customHeight="true" outlineLevel="0" collapsed="false">
      <c r="A69" s="29" t="str">
        <f aca="false">TAKVİM!$B$60</f>
        <v>26-30 Nisan</v>
      </c>
      <c r="B69" s="29"/>
      <c r="C69" s="29"/>
      <c r="D69" s="29" t="s">
        <v>481</v>
      </c>
      <c r="E69" s="29"/>
      <c r="F69" s="29"/>
      <c r="G69" s="29"/>
      <c r="H69" s="29"/>
      <c r="I69" s="29"/>
      <c r="J69" s="29"/>
      <c r="K69" s="29"/>
      <c r="L69" s="29" t="s">
        <v>482</v>
      </c>
      <c r="M69" s="29"/>
      <c r="N69" s="29"/>
      <c r="O69" s="29"/>
      <c r="P69" s="29"/>
      <c r="Q69" s="29"/>
      <c r="R69" s="29" t="s">
        <v>440</v>
      </c>
      <c r="S69" s="29"/>
      <c r="T69" s="29"/>
      <c r="U69" s="29"/>
      <c r="V69" s="29"/>
      <c r="W69" s="29" t="s">
        <v>441</v>
      </c>
      <c r="X69" s="29"/>
      <c r="Y69" s="29"/>
      <c r="Z69" s="29"/>
      <c r="AA69" s="29"/>
      <c r="AB69" s="29"/>
      <c r="AC69" s="29"/>
      <c r="AD69" s="29"/>
      <c r="AE69" s="29"/>
    </row>
    <row r="70" customFormat="false" ht="74.25" hidden="false" customHeight="true" outlineLevel="0" collapsed="false">
      <c r="A70" s="29" t="str">
        <f aca="false">TAKVİM!$B$61</f>
        <v>03-07 Mayıs</v>
      </c>
      <c r="B70" s="29"/>
      <c r="C70" s="29"/>
      <c r="D70" s="29" t="s">
        <v>483</v>
      </c>
      <c r="E70" s="29"/>
      <c r="F70" s="29"/>
      <c r="G70" s="29"/>
      <c r="H70" s="29"/>
      <c r="I70" s="29"/>
      <c r="J70" s="29"/>
      <c r="K70" s="29"/>
      <c r="L70" s="29" t="s">
        <v>484</v>
      </c>
      <c r="M70" s="29"/>
      <c r="N70" s="29"/>
      <c r="O70" s="29"/>
      <c r="P70" s="29"/>
      <c r="Q70" s="29"/>
      <c r="R70" s="29" t="s">
        <v>440</v>
      </c>
      <c r="S70" s="29"/>
      <c r="T70" s="29"/>
      <c r="U70" s="29"/>
      <c r="V70" s="29"/>
      <c r="W70" s="29" t="s">
        <v>441</v>
      </c>
      <c r="X70" s="29"/>
      <c r="Y70" s="29"/>
      <c r="Z70" s="29"/>
      <c r="AA70" s="29"/>
      <c r="AB70" s="29"/>
      <c r="AC70" s="29"/>
      <c r="AD70" s="29"/>
      <c r="AE70" s="29"/>
    </row>
    <row r="71" customFormat="false" ht="63.75" hidden="false" customHeight="true" outlineLevel="0" collapsed="false">
      <c r="A71" s="29" t="str">
        <f aca="false">TAKVİM!$B$62</f>
        <v>10-14 Mayıs</v>
      </c>
      <c r="B71" s="29"/>
      <c r="C71" s="29"/>
      <c r="D71" s="29" t="s">
        <v>485</v>
      </c>
      <c r="E71" s="29"/>
      <c r="F71" s="29"/>
      <c r="G71" s="29"/>
      <c r="H71" s="29"/>
      <c r="I71" s="29"/>
      <c r="J71" s="29"/>
      <c r="K71" s="29"/>
      <c r="L71" s="29" t="s">
        <v>486</v>
      </c>
      <c r="M71" s="29"/>
      <c r="N71" s="29"/>
      <c r="O71" s="29"/>
      <c r="P71" s="29"/>
      <c r="Q71" s="29"/>
      <c r="R71" s="29" t="s">
        <v>440</v>
      </c>
      <c r="S71" s="29"/>
      <c r="T71" s="29"/>
      <c r="U71" s="29"/>
      <c r="V71" s="29"/>
      <c r="W71" s="29" t="s">
        <v>441</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487</v>
      </c>
      <c r="E72" s="29"/>
      <c r="F72" s="29"/>
      <c r="G72" s="29"/>
      <c r="H72" s="29"/>
      <c r="I72" s="29"/>
      <c r="J72" s="29"/>
      <c r="K72" s="29"/>
      <c r="L72" s="29" t="s">
        <v>486</v>
      </c>
      <c r="M72" s="29"/>
      <c r="N72" s="29"/>
      <c r="O72" s="29"/>
      <c r="P72" s="29"/>
      <c r="Q72" s="29"/>
      <c r="R72" s="29" t="s">
        <v>440</v>
      </c>
      <c r="S72" s="29"/>
      <c r="T72" s="29"/>
      <c r="U72" s="29"/>
      <c r="V72" s="29"/>
      <c r="W72" s="29" t="s">
        <v>441</v>
      </c>
      <c r="X72" s="29"/>
      <c r="Y72" s="29"/>
      <c r="Z72" s="29"/>
      <c r="AA72" s="29"/>
      <c r="AB72" s="29"/>
      <c r="AC72" s="29"/>
      <c r="AD72" s="29"/>
      <c r="AE72" s="29"/>
    </row>
    <row r="73" customFormat="false" ht="74.25" hidden="false" customHeight="true" outlineLevel="0" collapsed="false">
      <c r="A73" s="29" t="str">
        <f aca="false">TAKVİM!$B$64</f>
        <v>24-28 Mayıs</v>
      </c>
      <c r="B73" s="29"/>
      <c r="C73" s="29"/>
      <c r="D73" s="29" t="s">
        <v>488</v>
      </c>
      <c r="E73" s="29"/>
      <c r="F73" s="29"/>
      <c r="G73" s="29"/>
      <c r="H73" s="29"/>
      <c r="I73" s="29"/>
      <c r="J73" s="29"/>
      <c r="K73" s="29"/>
      <c r="L73" s="29" t="s">
        <v>489</v>
      </c>
      <c r="M73" s="29"/>
      <c r="N73" s="29"/>
      <c r="O73" s="29"/>
      <c r="P73" s="29"/>
      <c r="Q73" s="29"/>
      <c r="R73" s="29" t="s">
        <v>440</v>
      </c>
      <c r="S73" s="29"/>
      <c r="T73" s="29"/>
      <c r="U73" s="29"/>
      <c r="V73" s="29"/>
      <c r="W73" s="29" t="s">
        <v>441</v>
      </c>
      <c r="X73" s="29"/>
      <c r="Y73" s="29"/>
      <c r="Z73" s="29"/>
      <c r="AA73" s="29"/>
      <c r="AB73" s="29"/>
      <c r="AC73" s="29"/>
      <c r="AD73" s="29"/>
      <c r="AE73" s="29"/>
    </row>
    <row r="74" customFormat="false" ht="74.25" hidden="false" customHeight="true" outlineLevel="0" collapsed="false">
      <c r="A74" s="29" t="str">
        <f aca="false">TAKVİM!$B$65</f>
        <v>31 Mayıs - 04 Haziran</v>
      </c>
      <c r="B74" s="29"/>
      <c r="C74" s="29"/>
      <c r="D74" s="29" t="s">
        <v>490</v>
      </c>
      <c r="E74" s="29"/>
      <c r="F74" s="29"/>
      <c r="G74" s="29"/>
      <c r="H74" s="29"/>
      <c r="I74" s="29"/>
      <c r="J74" s="29"/>
      <c r="K74" s="29"/>
      <c r="L74" s="29" t="s">
        <v>491</v>
      </c>
      <c r="M74" s="29"/>
      <c r="N74" s="29"/>
      <c r="O74" s="29"/>
      <c r="P74" s="29"/>
      <c r="Q74" s="29"/>
      <c r="R74" s="29" t="s">
        <v>440</v>
      </c>
      <c r="S74" s="29"/>
      <c r="T74" s="29"/>
      <c r="U74" s="29"/>
      <c r="V74" s="29"/>
      <c r="W74" s="29" t="s">
        <v>441</v>
      </c>
      <c r="X74" s="29"/>
      <c r="Y74" s="29"/>
      <c r="Z74" s="29"/>
      <c r="AA74" s="29"/>
      <c r="AB74" s="29"/>
      <c r="AC74" s="29"/>
      <c r="AD74" s="29"/>
      <c r="AE74" s="29"/>
    </row>
    <row r="75" customFormat="false" ht="53.25" hidden="false" customHeight="true" outlineLevel="0" collapsed="false">
      <c r="A75" s="29" t="str">
        <f aca="false">TAKVİM!$B$66</f>
        <v>07-11 Haziran</v>
      </c>
      <c r="B75" s="29"/>
      <c r="C75" s="29"/>
      <c r="D75" s="29" t="s">
        <v>492</v>
      </c>
      <c r="E75" s="29"/>
      <c r="F75" s="29"/>
      <c r="G75" s="29"/>
      <c r="H75" s="29"/>
      <c r="I75" s="29"/>
      <c r="J75" s="29"/>
      <c r="K75" s="29"/>
      <c r="L75" s="29" t="s">
        <v>493</v>
      </c>
      <c r="M75" s="29"/>
      <c r="N75" s="29"/>
      <c r="O75" s="29"/>
      <c r="P75" s="29"/>
      <c r="Q75" s="29"/>
      <c r="R75" s="29" t="s">
        <v>440</v>
      </c>
      <c r="S75" s="29"/>
      <c r="T75" s="29"/>
      <c r="U75" s="29"/>
      <c r="V75" s="29"/>
      <c r="W75" s="29" t="s">
        <v>441</v>
      </c>
      <c r="X75" s="29"/>
      <c r="Y75" s="29"/>
      <c r="Z75" s="29"/>
      <c r="AA75" s="29"/>
      <c r="AB75" s="29"/>
      <c r="AC75" s="29"/>
      <c r="AD75" s="29"/>
      <c r="AE75" s="29"/>
    </row>
    <row r="76" customFormat="false" ht="53.25" hidden="false" customHeight="true" outlineLevel="0" collapsed="false">
      <c r="A76" s="29" t="str">
        <f aca="false">TAKVİM!$B$67</f>
        <v>14-18 Haziran</v>
      </c>
      <c r="B76" s="29"/>
      <c r="C76" s="29"/>
      <c r="D76" s="29" t="s">
        <v>492</v>
      </c>
      <c r="E76" s="29"/>
      <c r="F76" s="29"/>
      <c r="G76" s="29"/>
      <c r="H76" s="29"/>
      <c r="I76" s="29"/>
      <c r="J76" s="29"/>
      <c r="K76" s="29"/>
      <c r="L76" s="29" t="s">
        <v>493</v>
      </c>
      <c r="M76" s="29"/>
      <c r="N76" s="29"/>
      <c r="O76" s="29"/>
      <c r="P76" s="29"/>
      <c r="Q76" s="29"/>
      <c r="R76" s="29" t="s">
        <v>440</v>
      </c>
      <c r="S76" s="29"/>
      <c r="T76" s="29"/>
      <c r="U76" s="29"/>
      <c r="V76" s="29"/>
      <c r="W76" s="29" t="s">
        <v>441</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494</v>
      </c>
      <c r="E77" s="29"/>
      <c r="F77" s="29"/>
      <c r="G77" s="29"/>
      <c r="H77" s="29"/>
      <c r="I77" s="29"/>
      <c r="J77" s="29"/>
      <c r="K77" s="29"/>
      <c r="L77" s="29" t="s">
        <v>493</v>
      </c>
      <c r="M77" s="29"/>
      <c r="N77" s="29"/>
      <c r="O77" s="29"/>
      <c r="P77" s="29"/>
      <c r="Q77" s="29"/>
      <c r="R77" s="29" t="s">
        <v>440</v>
      </c>
      <c r="S77" s="29"/>
      <c r="T77" s="29"/>
      <c r="U77" s="29"/>
      <c r="V77" s="29"/>
      <c r="W77" s="29" t="s">
        <v>441</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495</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323</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53.25" hidden="false" customHeight="true" outlineLevel="0" collapsed="false">
      <c r="A38" s="29" t="str">
        <f aca="false">TAKVİM!$B$29</f>
        <v>14-18 Eylül</v>
      </c>
      <c r="B38" s="29"/>
      <c r="C38" s="29"/>
      <c r="D38" s="29" t="s">
        <v>496</v>
      </c>
      <c r="E38" s="29"/>
      <c r="F38" s="29"/>
      <c r="G38" s="29"/>
      <c r="H38" s="29"/>
      <c r="I38" s="29"/>
      <c r="J38" s="29"/>
      <c r="K38" s="29"/>
      <c r="L38" s="29" t="s">
        <v>497</v>
      </c>
      <c r="M38" s="29"/>
      <c r="N38" s="29"/>
      <c r="O38" s="29"/>
      <c r="P38" s="29"/>
      <c r="Q38" s="29"/>
      <c r="R38" s="29" t="s">
        <v>498</v>
      </c>
      <c r="S38" s="29"/>
      <c r="T38" s="29"/>
      <c r="U38" s="29"/>
      <c r="V38" s="29"/>
      <c r="W38" s="29" t="s">
        <v>499</v>
      </c>
      <c r="X38" s="29"/>
      <c r="Y38" s="29"/>
      <c r="Z38" s="29"/>
      <c r="AA38" s="29"/>
      <c r="AB38" s="29"/>
      <c r="AC38" s="29"/>
      <c r="AD38" s="29"/>
      <c r="AE38" s="29"/>
    </row>
    <row r="39" customFormat="false" ht="63.75" hidden="false" customHeight="true" outlineLevel="0" collapsed="false">
      <c r="A39" s="29" t="str">
        <f aca="false">TAKVİM!$B$30</f>
        <v>21-25 Eylül</v>
      </c>
      <c r="B39" s="29"/>
      <c r="C39" s="29"/>
      <c r="D39" s="29" t="s">
        <v>500</v>
      </c>
      <c r="E39" s="29"/>
      <c r="F39" s="29"/>
      <c r="G39" s="29"/>
      <c r="H39" s="29"/>
      <c r="I39" s="29"/>
      <c r="J39" s="29"/>
      <c r="K39" s="29"/>
      <c r="L39" s="29" t="s">
        <v>501</v>
      </c>
      <c r="M39" s="29"/>
      <c r="N39" s="29"/>
      <c r="O39" s="29"/>
      <c r="P39" s="29"/>
      <c r="Q39" s="29"/>
      <c r="R39" s="29" t="s">
        <v>498</v>
      </c>
      <c r="S39" s="29"/>
      <c r="T39" s="29"/>
      <c r="U39" s="29"/>
      <c r="V39" s="29"/>
      <c r="W39" s="29" t="s">
        <v>499</v>
      </c>
      <c r="X39" s="29"/>
      <c r="Y39" s="29"/>
      <c r="Z39" s="29"/>
      <c r="AA39" s="29"/>
      <c r="AB39" s="29"/>
      <c r="AC39" s="29"/>
      <c r="AD39" s="29"/>
      <c r="AE39" s="29"/>
    </row>
    <row r="40" customFormat="false" ht="63.75" hidden="false" customHeight="true" outlineLevel="0" collapsed="false">
      <c r="A40" s="29" t="str">
        <f aca="false">TAKVİM!$B$31</f>
        <v>28 Eylül - 02 Ekim</v>
      </c>
      <c r="B40" s="29"/>
      <c r="C40" s="29"/>
      <c r="D40" s="29" t="s">
        <v>502</v>
      </c>
      <c r="E40" s="29"/>
      <c r="F40" s="29"/>
      <c r="G40" s="29"/>
      <c r="H40" s="29"/>
      <c r="I40" s="29"/>
      <c r="J40" s="29"/>
      <c r="K40" s="29"/>
      <c r="L40" s="29" t="s">
        <v>503</v>
      </c>
      <c r="M40" s="29"/>
      <c r="N40" s="29"/>
      <c r="O40" s="29"/>
      <c r="P40" s="29"/>
      <c r="Q40" s="29"/>
      <c r="R40" s="29" t="s">
        <v>498</v>
      </c>
      <c r="S40" s="29"/>
      <c r="T40" s="29"/>
      <c r="U40" s="29"/>
      <c r="V40" s="29"/>
      <c r="W40" s="29" t="s">
        <v>499</v>
      </c>
      <c r="X40" s="29"/>
      <c r="Y40" s="29"/>
      <c r="Z40" s="29"/>
      <c r="AA40" s="29"/>
      <c r="AB40" s="29"/>
      <c r="AC40" s="29"/>
      <c r="AD40" s="29"/>
      <c r="AE40" s="29"/>
    </row>
    <row r="41" customFormat="false" ht="32.25" hidden="false" customHeight="true" outlineLevel="0" collapsed="false">
      <c r="A41" s="29" t="str">
        <f aca="false">TAKVİM!$B$32</f>
        <v>05-09 Ekim</v>
      </c>
      <c r="B41" s="29"/>
      <c r="C41" s="29"/>
      <c r="D41" s="29" t="s">
        <v>504</v>
      </c>
      <c r="E41" s="29"/>
      <c r="F41" s="29"/>
      <c r="G41" s="29"/>
      <c r="H41" s="29"/>
      <c r="I41" s="29"/>
      <c r="J41" s="29"/>
      <c r="K41" s="29"/>
      <c r="L41" s="29" t="s">
        <v>505</v>
      </c>
      <c r="M41" s="29"/>
      <c r="N41" s="29"/>
      <c r="O41" s="29"/>
      <c r="P41" s="29"/>
      <c r="Q41" s="29"/>
      <c r="R41" s="29" t="s">
        <v>498</v>
      </c>
      <c r="S41" s="29"/>
      <c r="T41" s="29"/>
      <c r="U41" s="29"/>
      <c r="V41" s="29"/>
      <c r="W41" s="29" t="s">
        <v>499</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506</v>
      </c>
      <c r="E42" s="29"/>
      <c r="F42" s="29"/>
      <c r="G42" s="29"/>
      <c r="H42" s="29"/>
      <c r="I42" s="29"/>
      <c r="J42" s="29"/>
      <c r="K42" s="29"/>
      <c r="L42" s="29" t="s">
        <v>507</v>
      </c>
      <c r="M42" s="29"/>
      <c r="N42" s="29"/>
      <c r="O42" s="29"/>
      <c r="P42" s="29"/>
      <c r="Q42" s="29"/>
      <c r="R42" s="29" t="s">
        <v>498</v>
      </c>
      <c r="S42" s="29"/>
      <c r="T42" s="29"/>
      <c r="U42" s="29"/>
      <c r="V42" s="29"/>
      <c r="W42" s="29" t="s">
        <v>499</v>
      </c>
      <c r="X42" s="29"/>
      <c r="Y42" s="29"/>
      <c r="Z42" s="29"/>
      <c r="AA42" s="29"/>
      <c r="AB42" s="29"/>
      <c r="AC42" s="29"/>
      <c r="AD42" s="29"/>
      <c r="AE42" s="29"/>
    </row>
    <row r="43" customFormat="false" ht="42.75" hidden="false" customHeight="true" outlineLevel="0" collapsed="false">
      <c r="A43" s="29" t="str">
        <f aca="false">TAKVİM!$B$34</f>
        <v>19-23 Ekim</v>
      </c>
      <c r="B43" s="29"/>
      <c r="C43" s="29"/>
      <c r="D43" s="29" t="s">
        <v>508</v>
      </c>
      <c r="E43" s="29"/>
      <c r="F43" s="29"/>
      <c r="G43" s="29"/>
      <c r="H43" s="29"/>
      <c r="I43" s="29"/>
      <c r="J43" s="29"/>
      <c r="K43" s="29"/>
      <c r="L43" s="29" t="s">
        <v>507</v>
      </c>
      <c r="M43" s="29"/>
      <c r="N43" s="29"/>
      <c r="O43" s="29"/>
      <c r="P43" s="29"/>
      <c r="Q43" s="29"/>
      <c r="R43" s="29" t="s">
        <v>498</v>
      </c>
      <c r="S43" s="29"/>
      <c r="T43" s="29"/>
      <c r="U43" s="29"/>
      <c r="V43" s="29"/>
      <c r="W43" s="29" t="s">
        <v>499</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509</v>
      </c>
      <c r="E44" s="29"/>
      <c r="F44" s="29"/>
      <c r="G44" s="29"/>
      <c r="H44" s="29"/>
      <c r="I44" s="29"/>
      <c r="J44" s="29"/>
      <c r="K44" s="29"/>
      <c r="L44" s="29" t="s">
        <v>510</v>
      </c>
      <c r="M44" s="29"/>
      <c r="N44" s="29"/>
      <c r="O44" s="29"/>
      <c r="P44" s="29"/>
      <c r="Q44" s="29"/>
      <c r="R44" s="29" t="s">
        <v>498</v>
      </c>
      <c r="S44" s="29"/>
      <c r="T44" s="29"/>
      <c r="U44" s="29"/>
      <c r="V44" s="29"/>
      <c r="W44" s="29" t="s">
        <v>499</v>
      </c>
      <c r="X44" s="29"/>
      <c r="Y44" s="29"/>
      <c r="Z44" s="29"/>
      <c r="AA44" s="29"/>
      <c r="AB44" s="29"/>
      <c r="AC44" s="29"/>
      <c r="AD44" s="29"/>
      <c r="AE44" s="29"/>
    </row>
    <row r="45" customFormat="false" ht="32.25" hidden="false" customHeight="true" outlineLevel="0" collapsed="false">
      <c r="A45" s="29" t="str">
        <f aca="false">TAKVİM!$B$36</f>
        <v>02-06 Kasım</v>
      </c>
      <c r="B45" s="29"/>
      <c r="C45" s="29"/>
      <c r="D45" s="29" t="s">
        <v>511</v>
      </c>
      <c r="E45" s="29"/>
      <c r="F45" s="29"/>
      <c r="G45" s="29"/>
      <c r="H45" s="29"/>
      <c r="I45" s="29"/>
      <c r="J45" s="29"/>
      <c r="K45" s="29"/>
      <c r="L45" s="29" t="s">
        <v>512</v>
      </c>
      <c r="M45" s="29"/>
      <c r="N45" s="29"/>
      <c r="O45" s="29"/>
      <c r="P45" s="29"/>
      <c r="Q45" s="29"/>
      <c r="R45" s="29" t="s">
        <v>498</v>
      </c>
      <c r="S45" s="29"/>
      <c r="T45" s="29"/>
      <c r="U45" s="29"/>
      <c r="V45" s="29"/>
      <c r="W45" s="29" t="s">
        <v>499</v>
      </c>
      <c r="X45" s="29"/>
      <c r="Y45" s="29"/>
      <c r="Z45" s="29"/>
      <c r="AA45" s="29"/>
      <c r="AB45" s="29"/>
      <c r="AC45" s="29"/>
      <c r="AD45" s="29"/>
      <c r="AE45" s="29"/>
    </row>
    <row r="46" customFormat="false" ht="42.75" hidden="false" customHeight="true" outlineLevel="0" collapsed="false">
      <c r="A46" s="29" t="str">
        <f aca="false">TAKVİM!$B$37</f>
        <v>09-13 Kasım</v>
      </c>
      <c r="B46" s="29"/>
      <c r="C46" s="29"/>
      <c r="D46" s="29" t="s">
        <v>513</v>
      </c>
      <c r="E46" s="29"/>
      <c r="F46" s="29"/>
      <c r="G46" s="29"/>
      <c r="H46" s="29"/>
      <c r="I46" s="29"/>
      <c r="J46" s="29"/>
      <c r="K46" s="29"/>
      <c r="L46" s="29" t="s">
        <v>512</v>
      </c>
      <c r="M46" s="29"/>
      <c r="N46" s="29"/>
      <c r="O46" s="29"/>
      <c r="P46" s="29"/>
      <c r="Q46" s="29"/>
      <c r="R46" s="29" t="s">
        <v>498</v>
      </c>
      <c r="S46" s="29"/>
      <c r="T46" s="29"/>
      <c r="U46" s="29"/>
      <c r="V46" s="29"/>
      <c r="W46" s="29" t="s">
        <v>499</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514</v>
      </c>
      <c r="E48" s="29"/>
      <c r="F48" s="29"/>
      <c r="G48" s="29"/>
      <c r="H48" s="29"/>
      <c r="I48" s="29"/>
      <c r="J48" s="29"/>
      <c r="K48" s="29"/>
      <c r="L48" s="29" t="s">
        <v>515</v>
      </c>
      <c r="M48" s="29"/>
      <c r="N48" s="29"/>
      <c r="O48" s="29"/>
      <c r="P48" s="29"/>
      <c r="Q48" s="29"/>
      <c r="R48" s="29" t="s">
        <v>498</v>
      </c>
      <c r="S48" s="29"/>
      <c r="T48" s="29"/>
      <c r="U48" s="29"/>
      <c r="V48" s="29"/>
      <c r="W48" s="29" t="s">
        <v>499</v>
      </c>
      <c r="X48" s="29"/>
      <c r="Y48" s="29"/>
      <c r="Z48" s="29"/>
      <c r="AA48" s="29"/>
      <c r="AB48" s="29"/>
      <c r="AC48" s="29"/>
      <c r="AD48" s="29"/>
      <c r="AE48" s="29"/>
    </row>
    <row r="49" customFormat="false" ht="32.25" hidden="false" customHeight="true" outlineLevel="0" collapsed="false">
      <c r="A49" s="29" t="str">
        <f aca="false">TAKVİM!$B$40</f>
        <v>30 Kasım - 04 Aralık</v>
      </c>
      <c r="B49" s="29"/>
      <c r="C49" s="29"/>
      <c r="D49" s="29" t="s">
        <v>516</v>
      </c>
      <c r="E49" s="29"/>
      <c r="F49" s="29"/>
      <c r="G49" s="29"/>
      <c r="H49" s="29"/>
      <c r="I49" s="29"/>
      <c r="J49" s="29"/>
      <c r="K49" s="29"/>
      <c r="L49" s="29" t="s">
        <v>517</v>
      </c>
      <c r="M49" s="29"/>
      <c r="N49" s="29"/>
      <c r="O49" s="29"/>
      <c r="P49" s="29"/>
      <c r="Q49" s="29"/>
      <c r="R49" s="29" t="s">
        <v>498</v>
      </c>
      <c r="S49" s="29"/>
      <c r="T49" s="29"/>
      <c r="U49" s="29"/>
      <c r="V49" s="29"/>
      <c r="W49" s="29" t="s">
        <v>499</v>
      </c>
      <c r="X49" s="29"/>
      <c r="Y49" s="29"/>
      <c r="Z49" s="29"/>
      <c r="AA49" s="29"/>
      <c r="AB49" s="29"/>
      <c r="AC49" s="29"/>
      <c r="AD49" s="29"/>
      <c r="AE49" s="29"/>
    </row>
    <row r="50" customFormat="false" ht="53.25" hidden="false" customHeight="true" outlineLevel="0" collapsed="false">
      <c r="A50" s="29" t="str">
        <f aca="false">TAKVİM!$B$41</f>
        <v>07-11 Aralık</v>
      </c>
      <c r="B50" s="29"/>
      <c r="C50" s="29"/>
      <c r="D50" s="29" t="s">
        <v>518</v>
      </c>
      <c r="E50" s="29"/>
      <c r="F50" s="29"/>
      <c r="G50" s="29"/>
      <c r="H50" s="29"/>
      <c r="I50" s="29"/>
      <c r="J50" s="29"/>
      <c r="K50" s="29"/>
      <c r="L50" s="29" t="s">
        <v>519</v>
      </c>
      <c r="M50" s="29"/>
      <c r="N50" s="29"/>
      <c r="O50" s="29"/>
      <c r="P50" s="29"/>
      <c r="Q50" s="29"/>
      <c r="R50" s="29" t="s">
        <v>498</v>
      </c>
      <c r="S50" s="29"/>
      <c r="T50" s="29"/>
      <c r="U50" s="29"/>
      <c r="V50" s="29"/>
      <c r="W50" s="29" t="s">
        <v>499</v>
      </c>
      <c r="X50" s="29"/>
      <c r="Y50" s="29"/>
      <c r="Z50" s="29"/>
      <c r="AA50" s="29"/>
      <c r="AB50" s="29"/>
      <c r="AC50" s="29"/>
      <c r="AD50" s="29"/>
      <c r="AE50" s="29"/>
    </row>
    <row r="51" customFormat="false" ht="32.25" hidden="false" customHeight="true" outlineLevel="0" collapsed="false">
      <c r="A51" s="29" t="str">
        <f aca="false">TAKVİM!$B$42</f>
        <v>14-18 Aralık</v>
      </c>
      <c r="B51" s="29"/>
      <c r="C51" s="29"/>
      <c r="D51" s="29" t="s">
        <v>520</v>
      </c>
      <c r="E51" s="29"/>
      <c r="F51" s="29"/>
      <c r="G51" s="29"/>
      <c r="H51" s="29"/>
      <c r="I51" s="29"/>
      <c r="J51" s="29"/>
      <c r="K51" s="29"/>
      <c r="L51" s="29" t="s">
        <v>519</v>
      </c>
      <c r="M51" s="29"/>
      <c r="N51" s="29"/>
      <c r="O51" s="29"/>
      <c r="P51" s="29"/>
      <c r="Q51" s="29"/>
      <c r="R51" s="29" t="s">
        <v>498</v>
      </c>
      <c r="S51" s="29"/>
      <c r="T51" s="29"/>
      <c r="U51" s="29"/>
      <c r="V51" s="29"/>
      <c r="W51" s="29" t="s">
        <v>499</v>
      </c>
      <c r="X51" s="29"/>
      <c r="Y51" s="29"/>
      <c r="Z51" s="29"/>
      <c r="AA51" s="29"/>
      <c r="AB51" s="29"/>
      <c r="AC51" s="29"/>
      <c r="AD51" s="29"/>
      <c r="AE51" s="29"/>
    </row>
    <row r="52" customFormat="false" ht="42.75" hidden="false" customHeight="true" outlineLevel="0" collapsed="false">
      <c r="A52" s="29" t="str">
        <f aca="false">TAKVİM!$B$43</f>
        <v>21-25 Aralık</v>
      </c>
      <c r="B52" s="29"/>
      <c r="C52" s="29"/>
      <c r="D52" s="29" t="s">
        <v>521</v>
      </c>
      <c r="E52" s="29"/>
      <c r="F52" s="29"/>
      <c r="G52" s="29"/>
      <c r="H52" s="29"/>
      <c r="I52" s="29"/>
      <c r="J52" s="29"/>
      <c r="K52" s="29"/>
      <c r="L52" s="29" t="s">
        <v>522</v>
      </c>
      <c r="M52" s="29"/>
      <c r="N52" s="29"/>
      <c r="O52" s="29"/>
      <c r="P52" s="29"/>
      <c r="Q52" s="29"/>
      <c r="R52" s="29" t="s">
        <v>498</v>
      </c>
      <c r="S52" s="29"/>
      <c r="T52" s="29"/>
      <c r="U52" s="29"/>
      <c r="V52" s="29"/>
      <c r="W52" s="29" t="s">
        <v>499</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523</v>
      </c>
      <c r="E53" s="29"/>
      <c r="F53" s="29"/>
      <c r="G53" s="29"/>
      <c r="H53" s="29"/>
      <c r="I53" s="29"/>
      <c r="J53" s="29"/>
      <c r="K53" s="29"/>
      <c r="L53" s="29" t="s">
        <v>524</v>
      </c>
      <c r="M53" s="29"/>
      <c r="N53" s="29"/>
      <c r="O53" s="29"/>
      <c r="P53" s="29"/>
      <c r="Q53" s="29"/>
      <c r="R53" s="29" t="s">
        <v>498</v>
      </c>
      <c r="S53" s="29"/>
      <c r="T53" s="29"/>
      <c r="U53" s="29"/>
      <c r="V53" s="29"/>
      <c r="W53" s="29" t="s">
        <v>499</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525</v>
      </c>
      <c r="E54" s="29"/>
      <c r="F54" s="29"/>
      <c r="G54" s="29"/>
      <c r="H54" s="29"/>
      <c r="I54" s="29"/>
      <c r="J54" s="29"/>
      <c r="K54" s="29"/>
      <c r="L54" s="29" t="s">
        <v>526</v>
      </c>
      <c r="M54" s="29"/>
      <c r="N54" s="29"/>
      <c r="O54" s="29"/>
      <c r="P54" s="29"/>
      <c r="Q54" s="29"/>
      <c r="R54" s="29" t="s">
        <v>498</v>
      </c>
      <c r="S54" s="29"/>
      <c r="T54" s="29"/>
      <c r="U54" s="29"/>
      <c r="V54" s="29"/>
      <c r="W54" s="29" t="s">
        <v>499</v>
      </c>
      <c r="X54" s="29"/>
      <c r="Y54" s="29"/>
      <c r="Z54" s="29"/>
      <c r="AA54" s="29"/>
      <c r="AB54" s="29"/>
      <c r="AC54" s="29"/>
      <c r="AD54" s="29"/>
      <c r="AE54" s="29"/>
    </row>
    <row r="55" customFormat="false" ht="63.75" hidden="false" customHeight="true" outlineLevel="0" collapsed="false">
      <c r="A55" s="29" t="str">
        <f aca="false">TAKVİM!$B$46</f>
        <v>11-15 Ocak</v>
      </c>
      <c r="B55" s="29"/>
      <c r="C55" s="29"/>
      <c r="D55" s="29" t="s">
        <v>527</v>
      </c>
      <c r="E55" s="29"/>
      <c r="F55" s="29"/>
      <c r="G55" s="29"/>
      <c r="H55" s="29"/>
      <c r="I55" s="29"/>
      <c r="J55" s="29"/>
      <c r="K55" s="29"/>
      <c r="L55" s="29" t="s">
        <v>526</v>
      </c>
      <c r="M55" s="29"/>
      <c r="N55" s="29"/>
      <c r="O55" s="29"/>
      <c r="P55" s="29"/>
      <c r="Q55" s="29"/>
      <c r="R55" s="29" t="s">
        <v>498</v>
      </c>
      <c r="S55" s="29"/>
      <c r="T55" s="29"/>
      <c r="U55" s="29"/>
      <c r="V55" s="29"/>
      <c r="W55" s="29" t="s">
        <v>499</v>
      </c>
      <c r="X55" s="29"/>
      <c r="Y55" s="29"/>
      <c r="Z55" s="29"/>
      <c r="AA55" s="29"/>
      <c r="AB55" s="29"/>
      <c r="AC55" s="29"/>
      <c r="AD55" s="29"/>
      <c r="AE55" s="29"/>
    </row>
    <row r="56" customFormat="false" ht="42.75" hidden="false" customHeight="true" outlineLevel="0" collapsed="false">
      <c r="A56" s="29" t="str">
        <f aca="false">TAKVİM!$B$47</f>
        <v>18-22 Ocak</v>
      </c>
      <c r="B56" s="29"/>
      <c r="C56" s="29"/>
      <c r="D56" s="29" t="s">
        <v>528</v>
      </c>
      <c r="E56" s="29"/>
      <c r="F56" s="29"/>
      <c r="G56" s="29"/>
      <c r="H56" s="29"/>
      <c r="I56" s="29"/>
      <c r="J56" s="29"/>
      <c r="K56" s="29"/>
      <c r="L56" s="29" t="s">
        <v>529</v>
      </c>
      <c r="M56" s="29"/>
      <c r="N56" s="29"/>
      <c r="O56" s="29"/>
      <c r="P56" s="29"/>
      <c r="Q56" s="29"/>
      <c r="R56" s="29" t="s">
        <v>498</v>
      </c>
      <c r="S56" s="29"/>
      <c r="T56" s="29"/>
      <c r="U56" s="29"/>
      <c r="V56" s="29"/>
      <c r="W56" s="29" t="s">
        <v>499</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530</v>
      </c>
      <c r="E58" s="29"/>
      <c r="F58" s="29"/>
      <c r="G58" s="29"/>
      <c r="H58" s="29"/>
      <c r="I58" s="29"/>
      <c r="J58" s="29"/>
      <c r="K58" s="29"/>
      <c r="L58" s="29" t="s">
        <v>529</v>
      </c>
      <c r="M58" s="29"/>
      <c r="N58" s="29"/>
      <c r="O58" s="29"/>
      <c r="P58" s="29"/>
      <c r="Q58" s="29"/>
      <c r="R58" s="29" t="s">
        <v>498</v>
      </c>
      <c r="S58" s="29"/>
      <c r="T58" s="29"/>
      <c r="U58" s="29"/>
      <c r="V58" s="29"/>
      <c r="W58" s="29" t="s">
        <v>499</v>
      </c>
      <c r="X58" s="29"/>
      <c r="Y58" s="29"/>
      <c r="Z58" s="29"/>
      <c r="AA58" s="29"/>
      <c r="AB58" s="29"/>
      <c r="AC58" s="29"/>
      <c r="AD58" s="29"/>
      <c r="AE58" s="29"/>
    </row>
    <row r="59" customFormat="false" ht="32.25" hidden="false" customHeight="true" outlineLevel="0" collapsed="false">
      <c r="A59" s="29" t="str">
        <f aca="false">TAKVİM!$B$50</f>
        <v>15-19 Şubat</v>
      </c>
      <c r="B59" s="29"/>
      <c r="C59" s="29"/>
      <c r="D59" s="29" t="s">
        <v>531</v>
      </c>
      <c r="E59" s="29"/>
      <c r="F59" s="29"/>
      <c r="G59" s="29"/>
      <c r="H59" s="29"/>
      <c r="I59" s="29"/>
      <c r="J59" s="29"/>
      <c r="K59" s="29"/>
      <c r="L59" s="29" t="s">
        <v>532</v>
      </c>
      <c r="M59" s="29"/>
      <c r="N59" s="29"/>
      <c r="O59" s="29"/>
      <c r="P59" s="29"/>
      <c r="Q59" s="29"/>
      <c r="R59" s="29" t="s">
        <v>498</v>
      </c>
      <c r="S59" s="29"/>
      <c r="T59" s="29"/>
      <c r="U59" s="29"/>
      <c r="V59" s="29"/>
      <c r="W59" s="29" t="s">
        <v>499</v>
      </c>
      <c r="X59" s="29"/>
      <c r="Y59" s="29"/>
      <c r="Z59" s="29"/>
      <c r="AA59" s="29"/>
      <c r="AB59" s="29"/>
      <c r="AC59" s="29"/>
      <c r="AD59" s="29"/>
      <c r="AE59" s="29"/>
    </row>
    <row r="60" customFormat="false" ht="32.25" hidden="false" customHeight="true" outlineLevel="0" collapsed="false">
      <c r="A60" s="29" t="str">
        <f aca="false">TAKVİM!$B$51</f>
        <v>22-26 Şubat</v>
      </c>
      <c r="B60" s="29"/>
      <c r="C60" s="29"/>
      <c r="D60" s="29" t="s">
        <v>533</v>
      </c>
      <c r="E60" s="29"/>
      <c r="F60" s="29"/>
      <c r="G60" s="29"/>
      <c r="H60" s="29"/>
      <c r="I60" s="29"/>
      <c r="J60" s="29"/>
      <c r="K60" s="29"/>
      <c r="L60" s="29" t="s">
        <v>534</v>
      </c>
      <c r="M60" s="29"/>
      <c r="N60" s="29"/>
      <c r="O60" s="29"/>
      <c r="P60" s="29"/>
      <c r="Q60" s="29"/>
      <c r="R60" s="29" t="s">
        <v>498</v>
      </c>
      <c r="S60" s="29"/>
      <c r="T60" s="29"/>
      <c r="U60" s="29"/>
      <c r="V60" s="29"/>
      <c r="W60" s="29" t="s">
        <v>499</v>
      </c>
      <c r="X60" s="29"/>
      <c r="Y60" s="29"/>
      <c r="Z60" s="29"/>
      <c r="AA60" s="29"/>
      <c r="AB60" s="29"/>
      <c r="AC60" s="29"/>
      <c r="AD60" s="29"/>
      <c r="AE60" s="29"/>
    </row>
    <row r="61" customFormat="false" ht="32.25" hidden="false" customHeight="true" outlineLevel="0" collapsed="false">
      <c r="A61" s="29" t="str">
        <f aca="false">TAKVİM!$B$52</f>
        <v>01-05 Mart</v>
      </c>
      <c r="B61" s="29"/>
      <c r="C61" s="29"/>
      <c r="D61" s="29" t="s">
        <v>535</v>
      </c>
      <c r="E61" s="29"/>
      <c r="F61" s="29"/>
      <c r="G61" s="29"/>
      <c r="H61" s="29"/>
      <c r="I61" s="29"/>
      <c r="J61" s="29"/>
      <c r="K61" s="29"/>
      <c r="L61" s="29" t="s">
        <v>534</v>
      </c>
      <c r="M61" s="29"/>
      <c r="N61" s="29"/>
      <c r="O61" s="29"/>
      <c r="P61" s="29"/>
      <c r="Q61" s="29"/>
      <c r="R61" s="29" t="s">
        <v>498</v>
      </c>
      <c r="S61" s="29"/>
      <c r="T61" s="29"/>
      <c r="U61" s="29"/>
      <c r="V61" s="29"/>
      <c r="W61" s="29" t="s">
        <v>499</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42.75" hidden="false" customHeight="true" outlineLevel="0" collapsed="false">
      <c r="A63" s="29" t="str">
        <f aca="false">TAKVİM!$B$54</f>
        <v>15-19 Mart</v>
      </c>
      <c r="B63" s="29"/>
      <c r="C63" s="29"/>
      <c r="D63" s="29" t="s">
        <v>536</v>
      </c>
      <c r="E63" s="29"/>
      <c r="F63" s="29"/>
      <c r="G63" s="29"/>
      <c r="H63" s="29"/>
      <c r="I63" s="29"/>
      <c r="J63" s="29"/>
      <c r="K63" s="29"/>
      <c r="L63" s="29" t="s">
        <v>537</v>
      </c>
      <c r="M63" s="29"/>
      <c r="N63" s="29"/>
      <c r="O63" s="29"/>
      <c r="P63" s="29"/>
      <c r="Q63" s="29"/>
      <c r="R63" s="29" t="s">
        <v>498</v>
      </c>
      <c r="S63" s="29"/>
      <c r="T63" s="29"/>
      <c r="U63" s="29"/>
      <c r="V63" s="29"/>
      <c r="W63" s="29" t="s">
        <v>499</v>
      </c>
      <c r="X63" s="29"/>
      <c r="Y63" s="29"/>
      <c r="Z63" s="29"/>
      <c r="AA63" s="29"/>
      <c r="AB63" s="29"/>
      <c r="AC63" s="29"/>
      <c r="AD63" s="29"/>
      <c r="AE63" s="29"/>
    </row>
    <row r="64" customFormat="false" ht="63.75" hidden="false" customHeight="true" outlineLevel="0" collapsed="false">
      <c r="A64" s="29" t="str">
        <f aca="false">TAKVİM!$B$55</f>
        <v>22-26 Mart</v>
      </c>
      <c r="B64" s="29"/>
      <c r="C64" s="29"/>
      <c r="D64" s="29" t="s">
        <v>538</v>
      </c>
      <c r="E64" s="29"/>
      <c r="F64" s="29"/>
      <c r="G64" s="29"/>
      <c r="H64" s="29"/>
      <c r="I64" s="29"/>
      <c r="J64" s="29"/>
      <c r="K64" s="29"/>
      <c r="L64" s="29" t="s">
        <v>539</v>
      </c>
      <c r="M64" s="29"/>
      <c r="N64" s="29"/>
      <c r="O64" s="29"/>
      <c r="P64" s="29"/>
      <c r="Q64" s="29"/>
      <c r="R64" s="29" t="s">
        <v>498</v>
      </c>
      <c r="S64" s="29"/>
      <c r="T64" s="29"/>
      <c r="U64" s="29"/>
      <c r="V64" s="29"/>
      <c r="W64" s="29" t="s">
        <v>499</v>
      </c>
      <c r="X64" s="29"/>
      <c r="Y64" s="29"/>
      <c r="Z64" s="29"/>
      <c r="AA64" s="29"/>
      <c r="AB64" s="29"/>
      <c r="AC64" s="29"/>
      <c r="AD64" s="29"/>
      <c r="AE64" s="29"/>
    </row>
    <row r="65" customFormat="false" ht="53.25" hidden="false" customHeight="true" outlineLevel="0" collapsed="false">
      <c r="A65" s="29" t="str">
        <f aca="false">TAKVİM!$B$56</f>
        <v>29 Mart - 02 Nisan</v>
      </c>
      <c r="B65" s="29"/>
      <c r="C65" s="29"/>
      <c r="D65" s="29" t="s">
        <v>540</v>
      </c>
      <c r="E65" s="29"/>
      <c r="F65" s="29"/>
      <c r="G65" s="29"/>
      <c r="H65" s="29"/>
      <c r="I65" s="29"/>
      <c r="J65" s="29"/>
      <c r="K65" s="29"/>
      <c r="L65" s="29" t="s">
        <v>541</v>
      </c>
      <c r="M65" s="29"/>
      <c r="N65" s="29"/>
      <c r="O65" s="29"/>
      <c r="P65" s="29"/>
      <c r="Q65" s="29"/>
      <c r="R65" s="29" t="s">
        <v>498</v>
      </c>
      <c r="S65" s="29"/>
      <c r="T65" s="29"/>
      <c r="U65" s="29"/>
      <c r="V65" s="29"/>
      <c r="W65" s="29" t="s">
        <v>499</v>
      </c>
      <c r="X65" s="29"/>
      <c r="Y65" s="29"/>
      <c r="Z65" s="29"/>
      <c r="AA65" s="29"/>
      <c r="AB65" s="29"/>
      <c r="AC65" s="29"/>
      <c r="AD65" s="29"/>
      <c r="AE65" s="29"/>
    </row>
    <row r="66" customFormat="false" ht="32.25" hidden="false" customHeight="true" outlineLevel="0" collapsed="false">
      <c r="A66" s="29" t="str">
        <f aca="false">TAKVİM!$B$57</f>
        <v>05-09 Nisan</v>
      </c>
      <c r="B66" s="29"/>
      <c r="C66" s="29"/>
      <c r="D66" s="29" t="s">
        <v>542</v>
      </c>
      <c r="E66" s="29"/>
      <c r="F66" s="29"/>
      <c r="G66" s="29"/>
      <c r="H66" s="29"/>
      <c r="I66" s="29"/>
      <c r="J66" s="29"/>
      <c r="K66" s="29"/>
      <c r="L66" s="29" t="s">
        <v>541</v>
      </c>
      <c r="M66" s="29"/>
      <c r="N66" s="29"/>
      <c r="O66" s="29"/>
      <c r="P66" s="29"/>
      <c r="Q66" s="29"/>
      <c r="R66" s="29" t="s">
        <v>498</v>
      </c>
      <c r="S66" s="29"/>
      <c r="T66" s="29"/>
      <c r="U66" s="29"/>
      <c r="V66" s="29"/>
      <c r="W66" s="29" t="s">
        <v>499</v>
      </c>
      <c r="X66" s="29"/>
      <c r="Y66" s="29"/>
      <c r="Z66" s="29"/>
      <c r="AA66" s="29"/>
      <c r="AB66" s="29"/>
      <c r="AC66" s="29"/>
      <c r="AD66" s="29"/>
      <c r="AE66" s="29"/>
    </row>
    <row r="67" customFormat="false" ht="74.25" hidden="false" customHeight="true" outlineLevel="0" collapsed="false">
      <c r="A67" s="29" t="str">
        <f aca="false">TAKVİM!$B$58</f>
        <v>12-16 Nisan</v>
      </c>
      <c r="B67" s="29"/>
      <c r="C67" s="29"/>
      <c r="D67" s="29" t="s">
        <v>543</v>
      </c>
      <c r="E67" s="29"/>
      <c r="F67" s="29"/>
      <c r="G67" s="29"/>
      <c r="H67" s="29"/>
      <c r="I67" s="29"/>
      <c r="J67" s="29"/>
      <c r="K67" s="29"/>
      <c r="L67" s="29" t="s">
        <v>544</v>
      </c>
      <c r="M67" s="29"/>
      <c r="N67" s="29"/>
      <c r="O67" s="29"/>
      <c r="P67" s="29"/>
      <c r="Q67" s="29"/>
      <c r="R67" s="29" t="s">
        <v>498</v>
      </c>
      <c r="S67" s="29"/>
      <c r="T67" s="29"/>
      <c r="U67" s="29"/>
      <c r="V67" s="29"/>
      <c r="W67" s="29" t="s">
        <v>499</v>
      </c>
      <c r="X67" s="29"/>
      <c r="Y67" s="29"/>
      <c r="Z67" s="29"/>
      <c r="AA67" s="29"/>
      <c r="AB67" s="29"/>
      <c r="AC67" s="29"/>
      <c r="AD67" s="29"/>
      <c r="AE67" s="29"/>
    </row>
    <row r="68" customFormat="false" ht="63.75" hidden="false" customHeight="true" outlineLevel="0" collapsed="false">
      <c r="A68" s="29" t="str">
        <f aca="false">TAKVİM!$B$59</f>
        <v>19-23 Nisan</v>
      </c>
      <c r="B68" s="29"/>
      <c r="C68" s="29"/>
      <c r="D68" s="29" t="s">
        <v>545</v>
      </c>
      <c r="E68" s="29"/>
      <c r="F68" s="29"/>
      <c r="G68" s="29"/>
      <c r="H68" s="29"/>
      <c r="I68" s="29"/>
      <c r="J68" s="29"/>
      <c r="K68" s="29"/>
      <c r="L68" s="29" t="s">
        <v>546</v>
      </c>
      <c r="M68" s="29"/>
      <c r="N68" s="29"/>
      <c r="O68" s="29"/>
      <c r="P68" s="29"/>
      <c r="Q68" s="29"/>
      <c r="R68" s="29" t="s">
        <v>498</v>
      </c>
      <c r="S68" s="29"/>
      <c r="T68" s="29"/>
      <c r="U68" s="29"/>
      <c r="V68" s="29"/>
      <c r="W68" s="29" t="s">
        <v>499</v>
      </c>
      <c r="X68" s="29"/>
      <c r="Y68" s="29"/>
      <c r="Z68" s="29"/>
      <c r="AA68" s="29"/>
      <c r="AB68" s="29"/>
      <c r="AC68" s="29"/>
      <c r="AD68" s="29"/>
      <c r="AE68" s="29"/>
    </row>
    <row r="69" customFormat="false" ht="63.75" hidden="false" customHeight="true" outlineLevel="0" collapsed="false">
      <c r="A69" s="29" t="str">
        <f aca="false">TAKVİM!$B$60</f>
        <v>26-30 Nisan</v>
      </c>
      <c r="B69" s="29"/>
      <c r="C69" s="29"/>
      <c r="D69" s="29" t="s">
        <v>547</v>
      </c>
      <c r="E69" s="29"/>
      <c r="F69" s="29"/>
      <c r="G69" s="29"/>
      <c r="H69" s="29"/>
      <c r="I69" s="29"/>
      <c r="J69" s="29"/>
      <c r="K69" s="29"/>
      <c r="L69" s="29" t="s">
        <v>546</v>
      </c>
      <c r="M69" s="29"/>
      <c r="N69" s="29"/>
      <c r="O69" s="29"/>
      <c r="P69" s="29"/>
      <c r="Q69" s="29"/>
      <c r="R69" s="29" t="s">
        <v>498</v>
      </c>
      <c r="S69" s="29"/>
      <c r="T69" s="29"/>
      <c r="U69" s="29"/>
      <c r="V69" s="29"/>
      <c r="W69" s="29" t="s">
        <v>499</v>
      </c>
      <c r="X69" s="29"/>
      <c r="Y69" s="29"/>
      <c r="Z69" s="29"/>
      <c r="AA69" s="29"/>
      <c r="AB69" s="29"/>
      <c r="AC69" s="29"/>
      <c r="AD69" s="29"/>
      <c r="AE69" s="29"/>
    </row>
    <row r="70" customFormat="false" ht="63.75" hidden="false" customHeight="true" outlineLevel="0" collapsed="false">
      <c r="A70" s="29" t="str">
        <f aca="false">TAKVİM!$B$61</f>
        <v>03-07 Mayıs</v>
      </c>
      <c r="B70" s="29"/>
      <c r="C70" s="29"/>
      <c r="D70" s="29" t="s">
        <v>548</v>
      </c>
      <c r="E70" s="29"/>
      <c r="F70" s="29"/>
      <c r="G70" s="29"/>
      <c r="H70" s="29"/>
      <c r="I70" s="29"/>
      <c r="J70" s="29"/>
      <c r="K70" s="29"/>
      <c r="L70" s="29" t="s">
        <v>549</v>
      </c>
      <c r="M70" s="29"/>
      <c r="N70" s="29"/>
      <c r="O70" s="29"/>
      <c r="P70" s="29"/>
      <c r="Q70" s="29"/>
      <c r="R70" s="29" t="s">
        <v>498</v>
      </c>
      <c r="S70" s="29"/>
      <c r="T70" s="29"/>
      <c r="U70" s="29"/>
      <c r="V70" s="29"/>
      <c r="W70" s="29" t="s">
        <v>499</v>
      </c>
      <c r="X70" s="29"/>
      <c r="Y70" s="29"/>
      <c r="Z70" s="29"/>
      <c r="AA70" s="29"/>
      <c r="AB70" s="29"/>
      <c r="AC70" s="29"/>
      <c r="AD70" s="29"/>
      <c r="AE70" s="29"/>
    </row>
    <row r="71" customFormat="false" ht="74.25" hidden="false" customHeight="true" outlineLevel="0" collapsed="false">
      <c r="A71" s="29" t="str">
        <f aca="false">TAKVİM!$B$62</f>
        <v>10-14 Mayıs</v>
      </c>
      <c r="B71" s="29"/>
      <c r="C71" s="29"/>
      <c r="D71" s="29" t="s">
        <v>550</v>
      </c>
      <c r="E71" s="29"/>
      <c r="F71" s="29"/>
      <c r="G71" s="29"/>
      <c r="H71" s="29"/>
      <c r="I71" s="29"/>
      <c r="J71" s="29"/>
      <c r="K71" s="29"/>
      <c r="L71" s="29" t="s">
        <v>551</v>
      </c>
      <c r="M71" s="29"/>
      <c r="N71" s="29"/>
      <c r="O71" s="29"/>
      <c r="P71" s="29"/>
      <c r="Q71" s="29"/>
      <c r="R71" s="29" t="s">
        <v>498</v>
      </c>
      <c r="S71" s="29"/>
      <c r="T71" s="29"/>
      <c r="U71" s="29"/>
      <c r="V71" s="29"/>
      <c r="W71" s="29" t="s">
        <v>499</v>
      </c>
      <c r="X71" s="29"/>
      <c r="Y71" s="29"/>
      <c r="Z71" s="29"/>
      <c r="AA71" s="29"/>
      <c r="AB71" s="29"/>
      <c r="AC71" s="29"/>
      <c r="AD71" s="29"/>
      <c r="AE71" s="29"/>
    </row>
    <row r="72" customFormat="false" ht="32.25" hidden="false" customHeight="true" outlineLevel="0" collapsed="false">
      <c r="A72" s="29" t="str">
        <f aca="false">TAKVİM!$B$63</f>
        <v>17-21 Mayıs</v>
      </c>
      <c r="B72" s="29"/>
      <c r="C72" s="29"/>
      <c r="D72" s="29" t="s">
        <v>552</v>
      </c>
      <c r="E72" s="29"/>
      <c r="F72" s="29"/>
      <c r="G72" s="29"/>
      <c r="H72" s="29"/>
      <c r="I72" s="29"/>
      <c r="J72" s="29"/>
      <c r="K72" s="29"/>
      <c r="L72" s="29" t="s">
        <v>551</v>
      </c>
      <c r="M72" s="29"/>
      <c r="N72" s="29"/>
      <c r="O72" s="29"/>
      <c r="P72" s="29"/>
      <c r="Q72" s="29"/>
      <c r="R72" s="29" t="s">
        <v>498</v>
      </c>
      <c r="S72" s="29"/>
      <c r="T72" s="29"/>
      <c r="U72" s="29"/>
      <c r="V72" s="29"/>
      <c r="W72" s="29" t="s">
        <v>499</v>
      </c>
      <c r="X72" s="29"/>
      <c r="Y72" s="29"/>
      <c r="Z72" s="29"/>
      <c r="AA72" s="29"/>
      <c r="AB72" s="29"/>
      <c r="AC72" s="29"/>
      <c r="AD72" s="29"/>
      <c r="AE72" s="29"/>
    </row>
    <row r="73" customFormat="false" ht="74.25" hidden="false" customHeight="true" outlineLevel="0" collapsed="false">
      <c r="A73" s="29" t="str">
        <f aca="false">TAKVİM!$B$64</f>
        <v>24-28 Mayıs</v>
      </c>
      <c r="B73" s="29"/>
      <c r="C73" s="29"/>
      <c r="D73" s="29" t="s">
        <v>553</v>
      </c>
      <c r="E73" s="29"/>
      <c r="F73" s="29"/>
      <c r="G73" s="29"/>
      <c r="H73" s="29"/>
      <c r="I73" s="29"/>
      <c r="J73" s="29"/>
      <c r="K73" s="29"/>
      <c r="L73" s="29" t="s">
        <v>554</v>
      </c>
      <c r="M73" s="29"/>
      <c r="N73" s="29"/>
      <c r="O73" s="29"/>
      <c r="P73" s="29"/>
      <c r="Q73" s="29"/>
      <c r="R73" s="29" t="s">
        <v>498</v>
      </c>
      <c r="S73" s="29"/>
      <c r="T73" s="29"/>
      <c r="U73" s="29"/>
      <c r="V73" s="29"/>
      <c r="W73" s="29" t="s">
        <v>499</v>
      </c>
      <c r="X73" s="29"/>
      <c r="Y73" s="29"/>
      <c r="Z73" s="29"/>
      <c r="AA73" s="29"/>
      <c r="AB73" s="29"/>
      <c r="AC73" s="29"/>
      <c r="AD73" s="29"/>
      <c r="AE73" s="29"/>
    </row>
    <row r="74" customFormat="false" ht="84.75" hidden="false" customHeight="true" outlineLevel="0" collapsed="false">
      <c r="A74" s="29" t="str">
        <f aca="false">TAKVİM!$B$65</f>
        <v>31 Mayıs - 04 Haziran</v>
      </c>
      <c r="B74" s="29"/>
      <c r="C74" s="29"/>
      <c r="D74" s="29" t="s">
        <v>555</v>
      </c>
      <c r="E74" s="29"/>
      <c r="F74" s="29"/>
      <c r="G74" s="29"/>
      <c r="H74" s="29"/>
      <c r="I74" s="29"/>
      <c r="J74" s="29"/>
      <c r="K74" s="29"/>
      <c r="L74" s="29" t="s">
        <v>556</v>
      </c>
      <c r="M74" s="29"/>
      <c r="N74" s="29"/>
      <c r="O74" s="29"/>
      <c r="P74" s="29"/>
      <c r="Q74" s="29"/>
      <c r="R74" s="29" t="s">
        <v>498</v>
      </c>
      <c r="S74" s="29"/>
      <c r="T74" s="29"/>
      <c r="U74" s="29"/>
      <c r="V74" s="29"/>
      <c r="W74" s="29" t="s">
        <v>499</v>
      </c>
      <c r="X74" s="29"/>
      <c r="Y74" s="29"/>
      <c r="Z74" s="29"/>
      <c r="AA74" s="29"/>
      <c r="AB74" s="29"/>
      <c r="AC74" s="29"/>
      <c r="AD74" s="29"/>
      <c r="AE74" s="29"/>
    </row>
    <row r="75" customFormat="false" ht="53.25" hidden="false" customHeight="true" outlineLevel="0" collapsed="false">
      <c r="A75" s="29" t="str">
        <f aca="false">TAKVİM!$B$66</f>
        <v>07-11 Haziran</v>
      </c>
      <c r="B75" s="29"/>
      <c r="C75" s="29"/>
      <c r="D75" s="29" t="s">
        <v>557</v>
      </c>
      <c r="E75" s="29"/>
      <c r="F75" s="29"/>
      <c r="G75" s="29"/>
      <c r="H75" s="29"/>
      <c r="I75" s="29"/>
      <c r="J75" s="29"/>
      <c r="K75" s="29"/>
      <c r="L75" s="29" t="s">
        <v>558</v>
      </c>
      <c r="M75" s="29"/>
      <c r="N75" s="29"/>
      <c r="O75" s="29"/>
      <c r="P75" s="29"/>
      <c r="Q75" s="29"/>
      <c r="R75" s="29" t="s">
        <v>498</v>
      </c>
      <c r="S75" s="29"/>
      <c r="T75" s="29"/>
      <c r="U75" s="29"/>
      <c r="V75" s="29"/>
      <c r="W75" s="29" t="s">
        <v>499</v>
      </c>
      <c r="X75" s="29"/>
      <c r="Y75" s="29"/>
      <c r="Z75" s="29"/>
      <c r="AA75" s="29"/>
      <c r="AB75" s="29"/>
      <c r="AC75" s="29"/>
      <c r="AD75" s="29"/>
      <c r="AE75" s="29"/>
    </row>
    <row r="76" customFormat="false" ht="32.25" hidden="false" customHeight="true" outlineLevel="0" collapsed="false">
      <c r="A76" s="29" t="str">
        <f aca="false">TAKVİM!$B$67</f>
        <v>14-18 Haziran</v>
      </c>
      <c r="B76" s="29"/>
      <c r="C76" s="29"/>
      <c r="D76" s="29" t="s">
        <v>559</v>
      </c>
      <c r="E76" s="29"/>
      <c r="F76" s="29"/>
      <c r="G76" s="29"/>
      <c r="H76" s="29"/>
      <c r="I76" s="29"/>
      <c r="J76" s="29"/>
      <c r="K76" s="29"/>
      <c r="L76" s="29" t="s">
        <v>558</v>
      </c>
      <c r="M76" s="29"/>
      <c r="N76" s="29"/>
      <c r="O76" s="29"/>
      <c r="P76" s="29"/>
      <c r="Q76" s="29"/>
      <c r="R76" s="29" t="s">
        <v>498</v>
      </c>
      <c r="S76" s="29"/>
      <c r="T76" s="29"/>
      <c r="U76" s="29"/>
      <c r="V76" s="29"/>
      <c r="W76" s="29" t="s">
        <v>499</v>
      </c>
      <c r="X76" s="29"/>
      <c r="Y76" s="29"/>
      <c r="Z76" s="29"/>
      <c r="AA76" s="29"/>
      <c r="AB76" s="29"/>
      <c r="AC76" s="29"/>
      <c r="AD76" s="29"/>
      <c r="AE76" s="29"/>
    </row>
    <row r="77" customFormat="false" ht="32.25" hidden="false" customHeight="true" outlineLevel="0" collapsed="false">
      <c r="A77" s="29" t="str">
        <f aca="false">TAKVİM!$B$68</f>
        <v>21-25 Haziran</v>
      </c>
      <c r="B77" s="29"/>
      <c r="C77" s="29"/>
      <c r="D77" s="29" t="s">
        <v>559</v>
      </c>
      <c r="E77" s="29"/>
      <c r="F77" s="29"/>
      <c r="G77" s="29"/>
      <c r="H77" s="29"/>
      <c r="I77" s="29"/>
      <c r="J77" s="29"/>
      <c r="K77" s="29"/>
      <c r="L77" s="29" t="s">
        <v>558</v>
      </c>
      <c r="M77" s="29"/>
      <c r="N77" s="29"/>
      <c r="O77" s="29"/>
      <c r="P77" s="29"/>
      <c r="Q77" s="29"/>
      <c r="R77" s="29" t="s">
        <v>498</v>
      </c>
      <c r="S77" s="29"/>
      <c r="T77" s="29"/>
      <c r="U77" s="29"/>
      <c r="V77" s="29"/>
      <c r="W77" s="29" t="s">
        <v>499</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560</v>
      </c>
      <c r="H4" s="25"/>
      <c r="I4" s="25"/>
      <c r="J4" s="25"/>
      <c r="K4" s="25"/>
      <c r="L4" s="25"/>
      <c r="M4" s="25"/>
      <c r="N4" s="25"/>
      <c r="O4" s="25"/>
      <c r="P4" s="24" t="s">
        <v>102</v>
      </c>
      <c r="Q4" s="24"/>
      <c r="R4" s="24"/>
      <c r="S4" s="24"/>
      <c r="T4" s="24"/>
      <c r="U4" s="25" t="s">
        <v>561</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562</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53.25" hidden="false" customHeight="true" outlineLevel="0" collapsed="false">
      <c r="A38" s="29" t="str">
        <f aca="false">TAKVİM!$B$29</f>
        <v>14-18 Eylül</v>
      </c>
      <c r="B38" s="29"/>
      <c r="C38" s="29"/>
      <c r="D38" s="29" t="s">
        <v>563</v>
      </c>
      <c r="E38" s="29"/>
      <c r="F38" s="29"/>
      <c r="G38" s="29"/>
      <c r="H38" s="29"/>
      <c r="I38" s="29"/>
      <c r="J38" s="29"/>
      <c r="K38" s="29"/>
      <c r="L38" s="29" t="s">
        <v>564</v>
      </c>
      <c r="M38" s="29"/>
      <c r="N38" s="29"/>
      <c r="O38" s="29"/>
      <c r="P38" s="29"/>
      <c r="Q38" s="29"/>
      <c r="R38" s="29" t="s">
        <v>565</v>
      </c>
      <c r="S38" s="29"/>
      <c r="T38" s="29"/>
      <c r="U38" s="29"/>
      <c r="V38" s="29"/>
      <c r="W38" s="29" t="s">
        <v>566</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567</v>
      </c>
      <c r="E39" s="29"/>
      <c r="F39" s="29"/>
      <c r="G39" s="29"/>
      <c r="H39" s="29"/>
      <c r="I39" s="29"/>
      <c r="J39" s="29"/>
      <c r="K39" s="29"/>
      <c r="L39" s="29" t="s">
        <v>568</v>
      </c>
      <c r="M39" s="29"/>
      <c r="N39" s="29"/>
      <c r="O39" s="29"/>
      <c r="P39" s="29"/>
      <c r="Q39" s="29"/>
      <c r="R39" s="29" t="s">
        <v>565</v>
      </c>
      <c r="S39" s="29"/>
      <c r="T39" s="29"/>
      <c r="U39" s="29"/>
      <c r="V39" s="29"/>
      <c r="W39" s="29" t="s">
        <v>566</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569</v>
      </c>
      <c r="E40" s="29"/>
      <c r="F40" s="29"/>
      <c r="G40" s="29"/>
      <c r="H40" s="29"/>
      <c r="I40" s="29"/>
      <c r="J40" s="29"/>
      <c r="K40" s="29"/>
      <c r="L40" s="29" t="s">
        <v>570</v>
      </c>
      <c r="M40" s="29"/>
      <c r="N40" s="29"/>
      <c r="O40" s="29"/>
      <c r="P40" s="29"/>
      <c r="Q40" s="29"/>
      <c r="R40" s="29" t="s">
        <v>565</v>
      </c>
      <c r="S40" s="29"/>
      <c r="T40" s="29"/>
      <c r="U40" s="29"/>
      <c r="V40" s="29"/>
      <c r="W40" s="29" t="s">
        <v>566</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571</v>
      </c>
      <c r="E41" s="29"/>
      <c r="F41" s="29"/>
      <c r="G41" s="29"/>
      <c r="H41" s="29"/>
      <c r="I41" s="29"/>
      <c r="J41" s="29"/>
      <c r="K41" s="29"/>
      <c r="L41" s="29" t="s">
        <v>570</v>
      </c>
      <c r="M41" s="29"/>
      <c r="N41" s="29"/>
      <c r="O41" s="29"/>
      <c r="P41" s="29"/>
      <c r="Q41" s="29"/>
      <c r="R41" s="29" t="s">
        <v>565</v>
      </c>
      <c r="S41" s="29"/>
      <c r="T41" s="29"/>
      <c r="U41" s="29"/>
      <c r="V41" s="29"/>
      <c r="W41" s="29" t="s">
        <v>566</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572</v>
      </c>
      <c r="E42" s="29"/>
      <c r="F42" s="29"/>
      <c r="G42" s="29"/>
      <c r="H42" s="29"/>
      <c r="I42" s="29"/>
      <c r="J42" s="29"/>
      <c r="K42" s="29"/>
      <c r="L42" s="29" t="s">
        <v>570</v>
      </c>
      <c r="M42" s="29"/>
      <c r="N42" s="29"/>
      <c r="O42" s="29"/>
      <c r="P42" s="29"/>
      <c r="Q42" s="29"/>
      <c r="R42" s="29" t="s">
        <v>565</v>
      </c>
      <c r="S42" s="29"/>
      <c r="T42" s="29"/>
      <c r="U42" s="29"/>
      <c r="V42" s="29"/>
      <c r="W42" s="29" t="s">
        <v>566</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573</v>
      </c>
      <c r="E43" s="29"/>
      <c r="F43" s="29"/>
      <c r="G43" s="29"/>
      <c r="H43" s="29"/>
      <c r="I43" s="29"/>
      <c r="J43" s="29"/>
      <c r="K43" s="29"/>
      <c r="L43" s="29" t="s">
        <v>574</v>
      </c>
      <c r="M43" s="29"/>
      <c r="N43" s="29"/>
      <c r="O43" s="29"/>
      <c r="P43" s="29"/>
      <c r="Q43" s="29"/>
      <c r="R43" s="29" t="s">
        <v>565</v>
      </c>
      <c r="S43" s="29"/>
      <c r="T43" s="29"/>
      <c r="U43" s="29"/>
      <c r="V43" s="29"/>
      <c r="W43" s="29" t="s">
        <v>566</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575</v>
      </c>
      <c r="E44" s="29"/>
      <c r="F44" s="29"/>
      <c r="G44" s="29"/>
      <c r="H44" s="29"/>
      <c r="I44" s="29"/>
      <c r="J44" s="29"/>
      <c r="K44" s="29"/>
      <c r="L44" s="29" t="s">
        <v>574</v>
      </c>
      <c r="M44" s="29"/>
      <c r="N44" s="29"/>
      <c r="O44" s="29"/>
      <c r="P44" s="29"/>
      <c r="Q44" s="29"/>
      <c r="R44" s="29" t="s">
        <v>565</v>
      </c>
      <c r="S44" s="29"/>
      <c r="T44" s="29"/>
      <c r="U44" s="29"/>
      <c r="V44" s="29"/>
      <c r="W44" s="29" t="s">
        <v>566</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576</v>
      </c>
      <c r="E45" s="29"/>
      <c r="F45" s="29"/>
      <c r="G45" s="29"/>
      <c r="H45" s="29"/>
      <c r="I45" s="29"/>
      <c r="J45" s="29"/>
      <c r="K45" s="29"/>
      <c r="L45" s="29" t="s">
        <v>574</v>
      </c>
      <c r="M45" s="29"/>
      <c r="N45" s="29"/>
      <c r="O45" s="29"/>
      <c r="P45" s="29"/>
      <c r="Q45" s="29"/>
      <c r="R45" s="29" t="s">
        <v>565</v>
      </c>
      <c r="S45" s="29"/>
      <c r="T45" s="29"/>
      <c r="U45" s="29"/>
      <c r="V45" s="29"/>
      <c r="W45" s="29" t="s">
        <v>566</v>
      </c>
      <c r="X45" s="29"/>
      <c r="Y45" s="29"/>
      <c r="Z45" s="29"/>
      <c r="AA45" s="29"/>
      <c r="AB45" s="29"/>
      <c r="AC45" s="29"/>
      <c r="AD45" s="29"/>
      <c r="AE45" s="29"/>
    </row>
    <row r="46" customFormat="false" ht="53.25" hidden="false" customHeight="true" outlineLevel="0" collapsed="false">
      <c r="A46" s="29" t="str">
        <f aca="false">TAKVİM!$B$37</f>
        <v>09-13 Kasım</v>
      </c>
      <c r="B46" s="29"/>
      <c r="C46" s="29"/>
      <c r="D46" s="29" t="s">
        <v>577</v>
      </c>
      <c r="E46" s="29"/>
      <c r="F46" s="29"/>
      <c r="G46" s="29"/>
      <c r="H46" s="29"/>
      <c r="I46" s="29"/>
      <c r="J46" s="29"/>
      <c r="K46" s="29"/>
      <c r="L46" s="29" t="s">
        <v>578</v>
      </c>
      <c r="M46" s="29"/>
      <c r="N46" s="29"/>
      <c r="O46" s="29"/>
      <c r="P46" s="29"/>
      <c r="Q46" s="29"/>
      <c r="R46" s="29" t="s">
        <v>565</v>
      </c>
      <c r="S46" s="29"/>
      <c r="T46" s="29"/>
      <c r="U46" s="29"/>
      <c r="V46" s="29"/>
      <c r="W46" s="29" t="s">
        <v>566</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53.25" hidden="false" customHeight="true" outlineLevel="0" collapsed="false">
      <c r="A48" s="29" t="str">
        <f aca="false">TAKVİM!$B$39</f>
        <v>23-27 Kasım</v>
      </c>
      <c r="B48" s="29"/>
      <c r="C48" s="29"/>
      <c r="D48" s="29" t="s">
        <v>579</v>
      </c>
      <c r="E48" s="29"/>
      <c r="F48" s="29"/>
      <c r="G48" s="29"/>
      <c r="H48" s="29"/>
      <c r="I48" s="29"/>
      <c r="J48" s="29"/>
      <c r="K48" s="29"/>
      <c r="L48" s="29" t="s">
        <v>580</v>
      </c>
      <c r="M48" s="29"/>
      <c r="N48" s="29"/>
      <c r="O48" s="29"/>
      <c r="P48" s="29"/>
      <c r="Q48" s="29"/>
      <c r="R48" s="29" t="s">
        <v>565</v>
      </c>
      <c r="S48" s="29"/>
      <c r="T48" s="29"/>
      <c r="U48" s="29"/>
      <c r="V48" s="29"/>
      <c r="W48" s="29" t="s">
        <v>566</v>
      </c>
      <c r="X48" s="29"/>
      <c r="Y48" s="29"/>
      <c r="Z48" s="29"/>
      <c r="AA48" s="29"/>
      <c r="AB48" s="29"/>
      <c r="AC48" s="29"/>
      <c r="AD48" s="29"/>
      <c r="AE48" s="29"/>
    </row>
    <row r="49" customFormat="false" ht="53.25" hidden="false" customHeight="true" outlineLevel="0" collapsed="false">
      <c r="A49" s="29" t="str">
        <f aca="false">TAKVİM!$B$40</f>
        <v>30 Kasım - 04 Aralık</v>
      </c>
      <c r="B49" s="29"/>
      <c r="C49" s="29"/>
      <c r="D49" s="29" t="s">
        <v>581</v>
      </c>
      <c r="E49" s="29"/>
      <c r="F49" s="29"/>
      <c r="G49" s="29"/>
      <c r="H49" s="29"/>
      <c r="I49" s="29"/>
      <c r="J49" s="29"/>
      <c r="K49" s="29"/>
      <c r="L49" s="29" t="s">
        <v>580</v>
      </c>
      <c r="M49" s="29"/>
      <c r="N49" s="29"/>
      <c r="O49" s="29"/>
      <c r="P49" s="29"/>
      <c r="Q49" s="29"/>
      <c r="R49" s="29" t="s">
        <v>565</v>
      </c>
      <c r="S49" s="29"/>
      <c r="T49" s="29"/>
      <c r="U49" s="29"/>
      <c r="V49" s="29"/>
      <c r="W49" s="29" t="s">
        <v>566</v>
      </c>
      <c r="X49" s="29"/>
      <c r="Y49" s="29"/>
      <c r="Z49" s="29"/>
      <c r="AA49" s="29"/>
      <c r="AB49" s="29"/>
      <c r="AC49" s="29"/>
      <c r="AD49" s="29"/>
      <c r="AE49" s="29"/>
    </row>
    <row r="50" customFormat="false" ht="53.25" hidden="false" customHeight="true" outlineLevel="0" collapsed="false">
      <c r="A50" s="29" t="str">
        <f aca="false">TAKVİM!$B$41</f>
        <v>07-11 Aralık</v>
      </c>
      <c r="B50" s="29"/>
      <c r="C50" s="29"/>
      <c r="D50" s="29" t="s">
        <v>582</v>
      </c>
      <c r="E50" s="29"/>
      <c r="F50" s="29"/>
      <c r="G50" s="29"/>
      <c r="H50" s="29"/>
      <c r="I50" s="29"/>
      <c r="J50" s="29"/>
      <c r="K50" s="29"/>
      <c r="L50" s="29" t="s">
        <v>580</v>
      </c>
      <c r="M50" s="29"/>
      <c r="N50" s="29"/>
      <c r="O50" s="29"/>
      <c r="P50" s="29"/>
      <c r="Q50" s="29"/>
      <c r="R50" s="29" t="s">
        <v>565</v>
      </c>
      <c r="S50" s="29"/>
      <c r="T50" s="29"/>
      <c r="U50" s="29"/>
      <c r="V50" s="29"/>
      <c r="W50" s="29" t="s">
        <v>566</v>
      </c>
      <c r="X50" s="29"/>
      <c r="Y50" s="29"/>
      <c r="Z50" s="29"/>
      <c r="AA50" s="29"/>
      <c r="AB50" s="29"/>
      <c r="AC50" s="29"/>
      <c r="AD50" s="29"/>
      <c r="AE50" s="29"/>
    </row>
    <row r="51" customFormat="false" ht="53.25" hidden="false" customHeight="true" outlineLevel="0" collapsed="false">
      <c r="A51" s="29" t="str">
        <f aca="false">TAKVİM!$B$42</f>
        <v>14-18 Aralık</v>
      </c>
      <c r="B51" s="29"/>
      <c r="C51" s="29"/>
      <c r="D51" s="29" t="s">
        <v>583</v>
      </c>
      <c r="E51" s="29"/>
      <c r="F51" s="29"/>
      <c r="G51" s="29"/>
      <c r="H51" s="29"/>
      <c r="I51" s="29"/>
      <c r="J51" s="29"/>
      <c r="K51" s="29"/>
      <c r="L51" s="29" t="s">
        <v>580</v>
      </c>
      <c r="M51" s="29"/>
      <c r="N51" s="29"/>
      <c r="O51" s="29"/>
      <c r="P51" s="29"/>
      <c r="Q51" s="29"/>
      <c r="R51" s="29" t="s">
        <v>565</v>
      </c>
      <c r="S51" s="29"/>
      <c r="T51" s="29"/>
      <c r="U51" s="29"/>
      <c r="V51" s="29"/>
      <c r="W51" s="29" t="s">
        <v>566</v>
      </c>
      <c r="X51" s="29"/>
      <c r="Y51" s="29"/>
      <c r="Z51" s="29"/>
      <c r="AA51" s="29"/>
      <c r="AB51" s="29"/>
      <c r="AC51" s="29"/>
      <c r="AD51" s="29"/>
      <c r="AE51" s="29"/>
    </row>
    <row r="52" customFormat="false" ht="53.25" hidden="false" customHeight="true" outlineLevel="0" collapsed="false">
      <c r="A52" s="29" t="str">
        <f aca="false">TAKVİM!$B$43</f>
        <v>21-25 Aralık</v>
      </c>
      <c r="B52" s="29"/>
      <c r="C52" s="29"/>
      <c r="D52" s="29" t="s">
        <v>584</v>
      </c>
      <c r="E52" s="29"/>
      <c r="F52" s="29"/>
      <c r="G52" s="29"/>
      <c r="H52" s="29"/>
      <c r="I52" s="29"/>
      <c r="J52" s="29"/>
      <c r="K52" s="29"/>
      <c r="L52" s="29" t="s">
        <v>585</v>
      </c>
      <c r="M52" s="29"/>
      <c r="N52" s="29"/>
      <c r="O52" s="29"/>
      <c r="P52" s="29"/>
      <c r="Q52" s="29"/>
      <c r="R52" s="29" t="s">
        <v>565</v>
      </c>
      <c r="S52" s="29"/>
      <c r="T52" s="29"/>
      <c r="U52" s="29"/>
      <c r="V52" s="29"/>
      <c r="W52" s="29" t="s">
        <v>566</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586</v>
      </c>
      <c r="E53" s="29"/>
      <c r="F53" s="29"/>
      <c r="G53" s="29"/>
      <c r="H53" s="29"/>
      <c r="I53" s="29"/>
      <c r="J53" s="29"/>
      <c r="K53" s="29"/>
      <c r="L53" s="29" t="s">
        <v>587</v>
      </c>
      <c r="M53" s="29"/>
      <c r="N53" s="29"/>
      <c r="O53" s="29"/>
      <c r="P53" s="29"/>
      <c r="Q53" s="29"/>
      <c r="R53" s="29" t="s">
        <v>565</v>
      </c>
      <c r="S53" s="29"/>
      <c r="T53" s="29"/>
      <c r="U53" s="29"/>
      <c r="V53" s="29"/>
      <c r="W53" s="29" t="s">
        <v>566</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588</v>
      </c>
      <c r="E54" s="29"/>
      <c r="F54" s="29"/>
      <c r="G54" s="29"/>
      <c r="H54" s="29"/>
      <c r="I54" s="29"/>
      <c r="J54" s="29"/>
      <c r="K54" s="29"/>
      <c r="L54" s="29" t="s">
        <v>587</v>
      </c>
      <c r="M54" s="29"/>
      <c r="N54" s="29"/>
      <c r="O54" s="29"/>
      <c r="P54" s="29"/>
      <c r="Q54" s="29"/>
      <c r="R54" s="29" t="s">
        <v>565</v>
      </c>
      <c r="S54" s="29"/>
      <c r="T54" s="29"/>
      <c r="U54" s="29"/>
      <c r="V54" s="29"/>
      <c r="W54" s="29" t="s">
        <v>566</v>
      </c>
      <c r="X54" s="29"/>
      <c r="Y54" s="29"/>
      <c r="Z54" s="29"/>
      <c r="AA54" s="29"/>
      <c r="AB54" s="29"/>
      <c r="AC54" s="29"/>
      <c r="AD54" s="29"/>
      <c r="AE54" s="29"/>
    </row>
    <row r="55" customFormat="false" ht="53.25" hidden="false" customHeight="true" outlineLevel="0" collapsed="false">
      <c r="A55" s="29" t="str">
        <f aca="false">TAKVİM!$B$46</f>
        <v>11-15 Ocak</v>
      </c>
      <c r="B55" s="29"/>
      <c r="C55" s="29"/>
      <c r="D55" s="29" t="s">
        <v>589</v>
      </c>
      <c r="E55" s="29"/>
      <c r="F55" s="29"/>
      <c r="G55" s="29"/>
      <c r="H55" s="29"/>
      <c r="I55" s="29"/>
      <c r="J55" s="29"/>
      <c r="K55" s="29"/>
      <c r="L55" s="29" t="s">
        <v>590</v>
      </c>
      <c r="M55" s="29"/>
      <c r="N55" s="29"/>
      <c r="O55" s="29"/>
      <c r="P55" s="29"/>
      <c r="Q55" s="29"/>
      <c r="R55" s="29" t="s">
        <v>565</v>
      </c>
      <c r="S55" s="29"/>
      <c r="T55" s="29"/>
      <c r="U55" s="29"/>
      <c r="V55" s="29"/>
      <c r="W55" s="29" t="s">
        <v>566</v>
      </c>
      <c r="X55" s="29"/>
      <c r="Y55" s="29"/>
      <c r="Z55" s="29"/>
      <c r="AA55" s="29"/>
      <c r="AB55" s="29"/>
      <c r="AC55" s="29"/>
      <c r="AD55" s="29"/>
      <c r="AE55" s="29"/>
    </row>
    <row r="56" customFormat="false" ht="53.25" hidden="false" customHeight="true" outlineLevel="0" collapsed="false">
      <c r="A56" s="29" t="str">
        <f aca="false">TAKVİM!$B$47</f>
        <v>18-22 Ocak</v>
      </c>
      <c r="B56" s="29"/>
      <c r="C56" s="29"/>
      <c r="D56" s="29" t="s">
        <v>591</v>
      </c>
      <c r="E56" s="29"/>
      <c r="F56" s="29"/>
      <c r="G56" s="29"/>
      <c r="H56" s="29"/>
      <c r="I56" s="29"/>
      <c r="J56" s="29"/>
      <c r="K56" s="29"/>
      <c r="L56" s="29" t="s">
        <v>592</v>
      </c>
      <c r="M56" s="29"/>
      <c r="N56" s="29"/>
      <c r="O56" s="29"/>
      <c r="P56" s="29"/>
      <c r="Q56" s="29"/>
      <c r="R56" s="29" t="s">
        <v>565</v>
      </c>
      <c r="S56" s="29"/>
      <c r="T56" s="29"/>
      <c r="U56" s="29"/>
      <c r="V56" s="29"/>
      <c r="W56" s="29" t="s">
        <v>566</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593</v>
      </c>
      <c r="E58" s="29"/>
      <c r="F58" s="29"/>
      <c r="G58" s="29"/>
      <c r="H58" s="29"/>
      <c r="I58" s="29"/>
      <c r="J58" s="29"/>
      <c r="K58" s="29"/>
      <c r="L58" s="29" t="s">
        <v>594</v>
      </c>
      <c r="M58" s="29"/>
      <c r="N58" s="29"/>
      <c r="O58" s="29"/>
      <c r="P58" s="29"/>
      <c r="Q58" s="29"/>
      <c r="R58" s="29" t="s">
        <v>565</v>
      </c>
      <c r="S58" s="29"/>
      <c r="T58" s="29"/>
      <c r="U58" s="29"/>
      <c r="V58" s="29"/>
      <c r="W58" s="29" t="s">
        <v>566</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595</v>
      </c>
      <c r="E59" s="29"/>
      <c r="F59" s="29"/>
      <c r="G59" s="29"/>
      <c r="H59" s="29"/>
      <c r="I59" s="29"/>
      <c r="J59" s="29"/>
      <c r="K59" s="29"/>
      <c r="L59" s="29" t="s">
        <v>594</v>
      </c>
      <c r="M59" s="29"/>
      <c r="N59" s="29"/>
      <c r="O59" s="29"/>
      <c r="P59" s="29"/>
      <c r="Q59" s="29"/>
      <c r="R59" s="29" t="s">
        <v>565</v>
      </c>
      <c r="S59" s="29"/>
      <c r="T59" s="29"/>
      <c r="U59" s="29"/>
      <c r="V59" s="29"/>
      <c r="W59" s="29" t="s">
        <v>566</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596</v>
      </c>
      <c r="E60" s="29"/>
      <c r="F60" s="29"/>
      <c r="G60" s="29"/>
      <c r="H60" s="29"/>
      <c r="I60" s="29"/>
      <c r="J60" s="29"/>
      <c r="K60" s="29"/>
      <c r="L60" s="29" t="s">
        <v>597</v>
      </c>
      <c r="M60" s="29"/>
      <c r="N60" s="29"/>
      <c r="O60" s="29"/>
      <c r="P60" s="29"/>
      <c r="Q60" s="29"/>
      <c r="R60" s="29" t="s">
        <v>565</v>
      </c>
      <c r="S60" s="29"/>
      <c r="T60" s="29"/>
      <c r="U60" s="29"/>
      <c r="V60" s="29"/>
      <c r="W60" s="29" t="s">
        <v>566</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598</v>
      </c>
      <c r="E61" s="29"/>
      <c r="F61" s="29"/>
      <c r="G61" s="29"/>
      <c r="H61" s="29"/>
      <c r="I61" s="29"/>
      <c r="J61" s="29"/>
      <c r="K61" s="29"/>
      <c r="L61" s="29" t="s">
        <v>597</v>
      </c>
      <c r="M61" s="29"/>
      <c r="N61" s="29"/>
      <c r="O61" s="29"/>
      <c r="P61" s="29"/>
      <c r="Q61" s="29"/>
      <c r="R61" s="29" t="s">
        <v>565</v>
      </c>
      <c r="S61" s="29"/>
      <c r="T61" s="29"/>
      <c r="U61" s="29"/>
      <c r="V61" s="29"/>
      <c r="W61" s="29" t="s">
        <v>566</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53.25" hidden="false" customHeight="true" outlineLevel="0" collapsed="false">
      <c r="A63" s="29" t="str">
        <f aca="false">TAKVİM!$B$54</f>
        <v>15-19 Mart</v>
      </c>
      <c r="B63" s="29"/>
      <c r="C63" s="29"/>
      <c r="D63" s="29" t="s">
        <v>599</v>
      </c>
      <c r="E63" s="29"/>
      <c r="F63" s="29"/>
      <c r="G63" s="29"/>
      <c r="H63" s="29"/>
      <c r="I63" s="29"/>
      <c r="J63" s="29"/>
      <c r="K63" s="29"/>
      <c r="L63" s="29" t="s">
        <v>600</v>
      </c>
      <c r="M63" s="29"/>
      <c r="N63" s="29"/>
      <c r="O63" s="29"/>
      <c r="P63" s="29"/>
      <c r="Q63" s="29"/>
      <c r="R63" s="29" t="s">
        <v>565</v>
      </c>
      <c r="S63" s="29"/>
      <c r="T63" s="29"/>
      <c r="U63" s="29"/>
      <c r="V63" s="29"/>
      <c r="W63" s="29" t="s">
        <v>566</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601</v>
      </c>
      <c r="E64" s="29"/>
      <c r="F64" s="29"/>
      <c r="G64" s="29"/>
      <c r="H64" s="29"/>
      <c r="I64" s="29"/>
      <c r="J64" s="29"/>
      <c r="K64" s="29"/>
      <c r="L64" s="29" t="s">
        <v>600</v>
      </c>
      <c r="M64" s="29"/>
      <c r="N64" s="29"/>
      <c r="O64" s="29"/>
      <c r="P64" s="29"/>
      <c r="Q64" s="29"/>
      <c r="R64" s="29" t="s">
        <v>565</v>
      </c>
      <c r="S64" s="29"/>
      <c r="T64" s="29"/>
      <c r="U64" s="29"/>
      <c r="V64" s="29"/>
      <c r="W64" s="29" t="s">
        <v>566</v>
      </c>
      <c r="X64" s="29"/>
      <c r="Y64" s="29"/>
      <c r="Z64" s="29"/>
      <c r="AA64" s="29"/>
      <c r="AB64" s="29"/>
      <c r="AC64" s="29"/>
      <c r="AD64" s="29"/>
      <c r="AE64" s="29"/>
    </row>
    <row r="65" customFormat="false" ht="53.25" hidden="false" customHeight="true" outlineLevel="0" collapsed="false">
      <c r="A65" s="29" t="str">
        <f aca="false">TAKVİM!$B$56</f>
        <v>29 Mart - 02 Nisan</v>
      </c>
      <c r="B65" s="29"/>
      <c r="C65" s="29"/>
      <c r="D65" s="29" t="s">
        <v>602</v>
      </c>
      <c r="E65" s="29"/>
      <c r="F65" s="29"/>
      <c r="G65" s="29"/>
      <c r="H65" s="29"/>
      <c r="I65" s="29"/>
      <c r="J65" s="29"/>
      <c r="K65" s="29"/>
      <c r="L65" s="29" t="s">
        <v>600</v>
      </c>
      <c r="M65" s="29"/>
      <c r="N65" s="29"/>
      <c r="O65" s="29"/>
      <c r="P65" s="29"/>
      <c r="Q65" s="29"/>
      <c r="R65" s="29" t="s">
        <v>565</v>
      </c>
      <c r="S65" s="29"/>
      <c r="T65" s="29"/>
      <c r="U65" s="29"/>
      <c r="V65" s="29"/>
      <c r="W65" s="29" t="s">
        <v>566</v>
      </c>
      <c r="X65" s="29"/>
      <c r="Y65" s="29"/>
      <c r="Z65" s="29"/>
      <c r="AA65" s="29"/>
      <c r="AB65" s="29"/>
      <c r="AC65" s="29"/>
      <c r="AD65" s="29"/>
      <c r="AE65" s="29"/>
    </row>
    <row r="66" customFormat="false" ht="53.25" hidden="false" customHeight="true" outlineLevel="0" collapsed="false">
      <c r="A66" s="29" t="str">
        <f aca="false">TAKVİM!$B$57</f>
        <v>05-09 Nisan</v>
      </c>
      <c r="B66" s="29"/>
      <c r="C66" s="29"/>
      <c r="D66" s="29" t="s">
        <v>603</v>
      </c>
      <c r="E66" s="29"/>
      <c r="F66" s="29"/>
      <c r="G66" s="29"/>
      <c r="H66" s="29"/>
      <c r="I66" s="29"/>
      <c r="J66" s="29"/>
      <c r="K66" s="29"/>
      <c r="L66" s="29" t="s">
        <v>604</v>
      </c>
      <c r="M66" s="29"/>
      <c r="N66" s="29"/>
      <c r="O66" s="29"/>
      <c r="P66" s="29"/>
      <c r="Q66" s="29"/>
      <c r="R66" s="29" t="s">
        <v>565</v>
      </c>
      <c r="S66" s="29"/>
      <c r="T66" s="29"/>
      <c r="U66" s="29"/>
      <c r="V66" s="29"/>
      <c r="W66" s="29" t="s">
        <v>566</v>
      </c>
      <c r="X66" s="29"/>
      <c r="Y66" s="29"/>
      <c r="Z66" s="29"/>
      <c r="AA66" s="29"/>
      <c r="AB66" s="29"/>
      <c r="AC66" s="29"/>
      <c r="AD66" s="29"/>
      <c r="AE66" s="29"/>
    </row>
    <row r="67" customFormat="false" ht="53.25" hidden="false" customHeight="true" outlineLevel="0" collapsed="false">
      <c r="A67" s="29" t="str">
        <f aca="false">TAKVİM!$B$58</f>
        <v>12-16 Nisan</v>
      </c>
      <c r="B67" s="29"/>
      <c r="C67" s="29"/>
      <c r="D67" s="29" t="s">
        <v>605</v>
      </c>
      <c r="E67" s="29"/>
      <c r="F67" s="29"/>
      <c r="G67" s="29"/>
      <c r="H67" s="29"/>
      <c r="I67" s="29"/>
      <c r="J67" s="29"/>
      <c r="K67" s="29"/>
      <c r="L67" s="29" t="s">
        <v>604</v>
      </c>
      <c r="M67" s="29"/>
      <c r="N67" s="29"/>
      <c r="O67" s="29"/>
      <c r="P67" s="29"/>
      <c r="Q67" s="29"/>
      <c r="R67" s="29" t="s">
        <v>565</v>
      </c>
      <c r="S67" s="29"/>
      <c r="T67" s="29"/>
      <c r="U67" s="29"/>
      <c r="V67" s="29"/>
      <c r="W67" s="29" t="s">
        <v>566</v>
      </c>
      <c r="X67" s="29"/>
      <c r="Y67" s="29"/>
      <c r="Z67" s="29"/>
      <c r="AA67" s="29"/>
      <c r="AB67" s="29"/>
      <c r="AC67" s="29"/>
      <c r="AD67" s="29"/>
      <c r="AE67" s="29"/>
    </row>
    <row r="68" customFormat="false" ht="53.25" hidden="false" customHeight="true" outlineLevel="0" collapsed="false">
      <c r="A68" s="29" t="str">
        <f aca="false">TAKVİM!$B$59</f>
        <v>19-23 Nisan</v>
      </c>
      <c r="B68" s="29"/>
      <c r="C68" s="29"/>
      <c r="D68" s="29" t="s">
        <v>606</v>
      </c>
      <c r="E68" s="29"/>
      <c r="F68" s="29"/>
      <c r="G68" s="29"/>
      <c r="H68" s="29"/>
      <c r="I68" s="29"/>
      <c r="J68" s="29"/>
      <c r="K68" s="29"/>
      <c r="L68" s="29" t="s">
        <v>607</v>
      </c>
      <c r="M68" s="29"/>
      <c r="N68" s="29"/>
      <c r="O68" s="29"/>
      <c r="P68" s="29"/>
      <c r="Q68" s="29"/>
      <c r="R68" s="29" t="s">
        <v>565</v>
      </c>
      <c r="S68" s="29"/>
      <c r="T68" s="29"/>
      <c r="U68" s="29"/>
      <c r="V68" s="29"/>
      <c r="W68" s="29" t="s">
        <v>566</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608</v>
      </c>
      <c r="E69" s="29"/>
      <c r="F69" s="29"/>
      <c r="G69" s="29"/>
      <c r="H69" s="29"/>
      <c r="I69" s="29"/>
      <c r="J69" s="29"/>
      <c r="K69" s="29"/>
      <c r="L69" s="29" t="s">
        <v>607</v>
      </c>
      <c r="M69" s="29"/>
      <c r="N69" s="29"/>
      <c r="O69" s="29"/>
      <c r="P69" s="29"/>
      <c r="Q69" s="29"/>
      <c r="R69" s="29" t="s">
        <v>565</v>
      </c>
      <c r="S69" s="29"/>
      <c r="T69" s="29"/>
      <c r="U69" s="29"/>
      <c r="V69" s="29"/>
      <c r="W69" s="29" t="s">
        <v>566</v>
      </c>
      <c r="X69" s="29"/>
      <c r="Y69" s="29"/>
      <c r="Z69" s="29"/>
      <c r="AA69" s="29"/>
      <c r="AB69" s="29"/>
      <c r="AC69" s="29"/>
      <c r="AD69" s="29"/>
      <c r="AE69" s="29"/>
    </row>
    <row r="70" customFormat="false" ht="53.25" hidden="false" customHeight="true" outlineLevel="0" collapsed="false">
      <c r="A70" s="29" t="str">
        <f aca="false">TAKVİM!$B$61</f>
        <v>03-07 Mayıs</v>
      </c>
      <c r="B70" s="29"/>
      <c r="C70" s="29"/>
      <c r="D70" s="29" t="s">
        <v>609</v>
      </c>
      <c r="E70" s="29"/>
      <c r="F70" s="29"/>
      <c r="G70" s="29"/>
      <c r="H70" s="29"/>
      <c r="I70" s="29"/>
      <c r="J70" s="29"/>
      <c r="K70" s="29"/>
      <c r="L70" s="29" t="s">
        <v>610</v>
      </c>
      <c r="M70" s="29"/>
      <c r="N70" s="29"/>
      <c r="O70" s="29"/>
      <c r="P70" s="29"/>
      <c r="Q70" s="29"/>
      <c r="R70" s="29" t="s">
        <v>565</v>
      </c>
      <c r="S70" s="29"/>
      <c r="T70" s="29"/>
      <c r="U70" s="29"/>
      <c r="V70" s="29"/>
      <c r="W70" s="29" t="s">
        <v>566</v>
      </c>
      <c r="X70" s="29"/>
      <c r="Y70" s="29"/>
      <c r="Z70" s="29"/>
      <c r="AA70" s="29"/>
      <c r="AB70" s="29"/>
      <c r="AC70" s="29"/>
      <c r="AD70" s="29"/>
      <c r="AE70" s="29"/>
    </row>
    <row r="71" customFormat="false" ht="53.25" hidden="false" customHeight="true" outlineLevel="0" collapsed="false">
      <c r="A71" s="29" t="str">
        <f aca="false">TAKVİM!$B$62</f>
        <v>10-14 Mayıs</v>
      </c>
      <c r="B71" s="29"/>
      <c r="C71" s="29"/>
      <c r="D71" s="29" t="s">
        <v>611</v>
      </c>
      <c r="E71" s="29"/>
      <c r="F71" s="29"/>
      <c r="G71" s="29"/>
      <c r="H71" s="29"/>
      <c r="I71" s="29"/>
      <c r="J71" s="29"/>
      <c r="K71" s="29"/>
      <c r="L71" s="29" t="s">
        <v>610</v>
      </c>
      <c r="M71" s="29"/>
      <c r="N71" s="29"/>
      <c r="O71" s="29"/>
      <c r="P71" s="29"/>
      <c r="Q71" s="29"/>
      <c r="R71" s="29" t="s">
        <v>565</v>
      </c>
      <c r="S71" s="29"/>
      <c r="T71" s="29"/>
      <c r="U71" s="29"/>
      <c r="V71" s="29"/>
      <c r="W71" s="29" t="s">
        <v>566</v>
      </c>
      <c r="X71" s="29"/>
      <c r="Y71" s="29"/>
      <c r="Z71" s="29"/>
      <c r="AA71" s="29"/>
      <c r="AB71" s="29"/>
      <c r="AC71" s="29"/>
      <c r="AD71" s="29"/>
      <c r="AE71" s="29"/>
    </row>
    <row r="72" customFormat="false" ht="53.25" hidden="false" customHeight="true" outlineLevel="0" collapsed="false">
      <c r="A72" s="29" t="str">
        <f aca="false">TAKVİM!$B$63</f>
        <v>17-21 Mayıs</v>
      </c>
      <c r="B72" s="29"/>
      <c r="C72" s="29"/>
      <c r="D72" s="29" t="s">
        <v>612</v>
      </c>
      <c r="E72" s="29"/>
      <c r="F72" s="29"/>
      <c r="G72" s="29"/>
      <c r="H72" s="29"/>
      <c r="I72" s="29"/>
      <c r="J72" s="29"/>
      <c r="K72" s="29"/>
      <c r="L72" s="29" t="s">
        <v>613</v>
      </c>
      <c r="M72" s="29"/>
      <c r="N72" s="29"/>
      <c r="O72" s="29"/>
      <c r="P72" s="29"/>
      <c r="Q72" s="29"/>
      <c r="R72" s="29" t="s">
        <v>565</v>
      </c>
      <c r="S72" s="29"/>
      <c r="T72" s="29"/>
      <c r="U72" s="29"/>
      <c r="V72" s="29"/>
      <c r="W72" s="29" t="s">
        <v>566</v>
      </c>
      <c r="X72" s="29"/>
      <c r="Y72" s="29"/>
      <c r="Z72" s="29"/>
      <c r="AA72" s="29"/>
      <c r="AB72" s="29"/>
      <c r="AC72" s="29"/>
      <c r="AD72" s="29"/>
      <c r="AE72" s="29"/>
    </row>
    <row r="73" customFormat="false" ht="53.25" hidden="false" customHeight="true" outlineLevel="0" collapsed="false">
      <c r="A73" s="29" t="str">
        <f aca="false">TAKVİM!$B$64</f>
        <v>24-28 Mayıs</v>
      </c>
      <c r="B73" s="29"/>
      <c r="C73" s="29"/>
      <c r="D73" s="29" t="s">
        <v>614</v>
      </c>
      <c r="E73" s="29"/>
      <c r="F73" s="29"/>
      <c r="G73" s="29"/>
      <c r="H73" s="29"/>
      <c r="I73" s="29"/>
      <c r="J73" s="29"/>
      <c r="K73" s="29"/>
      <c r="L73" s="29" t="s">
        <v>613</v>
      </c>
      <c r="M73" s="29"/>
      <c r="N73" s="29"/>
      <c r="O73" s="29"/>
      <c r="P73" s="29"/>
      <c r="Q73" s="29"/>
      <c r="R73" s="29" t="s">
        <v>565</v>
      </c>
      <c r="S73" s="29"/>
      <c r="T73" s="29"/>
      <c r="U73" s="29"/>
      <c r="V73" s="29"/>
      <c r="W73" s="29" t="s">
        <v>566</v>
      </c>
      <c r="X73" s="29"/>
      <c r="Y73" s="29"/>
      <c r="Z73" s="29"/>
      <c r="AA73" s="29"/>
      <c r="AB73" s="29"/>
      <c r="AC73" s="29"/>
      <c r="AD73" s="29"/>
      <c r="AE73" s="29"/>
    </row>
    <row r="74" customFormat="false" ht="53.25" hidden="false" customHeight="true" outlineLevel="0" collapsed="false">
      <c r="A74" s="29" t="str">
        <f aca="false">TAKVİM!$B$65</f>
        <v>31 Mayıs - 04 Haziran</v>
      </c>
      <c r="B74" s="29"/>
      <c r="C74" s="29"/>
      <c r="D74" s="29" t="s">
        <v>615</v>
      </c>
      <c r="E74" s="29"/>
      <c r="F74" s="29"/>
      <c r="G74" s="29"/>
      <c r="H74" s="29"/>
      <c r="I74" s="29"/>
      <c r="J74" s="29"/>
      <c r="K74" s="29"/>
      <c r="L74" s="29" t="s">
        <v>616</v>
      </c>
      <c r="M74" s="29"/>
      <c r="N74" s="29"/>
      <c r="O74" s="29"/>
      <c r="P74" s="29"/>
      <c r="Q74" s="29"/>
      <c r="R74" s="29" t="s">
        <v>565</v>
      </c>
      <c r="S74" s="29"/>
      <c r="T74" s="29"/>
      <c r="U74" s="29"/>
      <c r="V74" s="29"/>
      <c r="W74" s="29" t="s">
        <v>566</v>
      </c>
      <c r="X74" s="29"/>
      <c r="Y74" s="29"/>
      <c r="Z74" s="29"/>
      <c r="AA74" s="29"/>
      <c r="AB74" s="29"/>
      <c r="AC74" s="29"/>
      <c r="AD74" s="29"/>
      <c r="AE74" s="29"/>
    </row>
    <row r="75" customFormat="false" ht="53.25" hidden="false" customHeight="true" outlineLevel="0" collapsed="false">
      <c r="A75" s="29" t="str">
        <f aca="false">TAKVİM!$B$66</f>
        <v>07-11 Haziran</v>
      </c>
      <c r="B75" s="29"/>
      <c r="C75" s="29"/>
      <c r="D75" s="29" t="s">
        <v>617</v>
      </c>
      <c r="E75" s="29"/>
      <c r="F75" s="29"/>
      <c r="G75" s="29"/>
      <c r="H75" s="29"/>
      <c r="I75" s="29"/>
      <c r="J75" s="29"/>
      <c r="K75" s="29"/>
      <c r="L75" s="29" t="s">
        <v>616</v>
      </c>
      <c r="M75" s="29"/>
      <c r="N75" s="29"/>
      <c r="O75" s="29"/>
      <c r="P75" s="29"/>
      <c r="Q75" s="29"/>
      <c r="R75" s="29" t="s">
        <v>565</v>
      </c>
      <c r="S75" s="29"/>
      <c r="T75" s="29"/>
      <c r="U75" s="29"/>
      <c r="V75" s="29"/>
      <c r="W75" s="29" t="s">
        <v>566</v>
      </c>
      <c r="X75" s="29"/>
      <c r="Y75" s="29"/>
      <c r="Z75" s="29"/>
      <c r="AA75" s="29"/>
      <c r="AB75" s="29"/>
      <c r="AC75" s="29"/>
      <c r="AD75" s="29"/>
      <c r="AE75" s="29"/>
    </row>
    <row r="76" customFormat="false" ht="53.25" hidden="false" customHeight="true" outlineLevel="0" collapsed="false">
      <c r="A76" s="29" t="str">
        <f aca="false">TAKVİM!$B$67</f>
        <v>14-18 Haziran</v>
      </c>
      <c r="B76" s="29"/>
      <c r="C76" s="29"/>
      <c r="D76" s="29" t="s">
        <v>618</v>
      </c>
      <c r="E76" s="29"/>
      <c r="F76" s="29"/>
      <c r="G76" s="29"/>
      <c r="H76" s="29"/>
      <c r="I76" s="29"/>
      <c r="J76" s="29"/>
      <c r="K76" s="29"/>
      <c r="L76" s="29" t="s">
        <v>619</v>
      </c>
      <c r="M76" s="29"/>
      <c r="N76" s="29"/>
      <c r="O76" s="29"/>
      <c r="P76" s="29"/>
      <c r="Q76" s="29"/>
      <c r="R76" s="29" t="s">
        <v>565</v>
      </c>
      <c r="S76" s="29"/>
      <c r="T76" s="29"/>
      <c r="U76" s="29"/>
      <c r="V76" s="29"/>
      <c r="W76" s="29" t="s">
        <v>566</v>
      </c>
      <c r="X76" s="29"/>
      <c r="Y76" s="29"/>
      <c r="Z76" s="29"/>
      <c r="AA76" s="29"/>
      <c r="AB76" s="29"/>
      <c r="AC76" s="29"/>
      <c r="AD76" s="29"/>
      <c r="AE76" s="29"/>
    </row>
    <row r="77" customFormat="false" ht="53.25" hidden="false" customHeight="true" outlineLevel="0" collapsed="false">
      <c r="A77" s="29" t="str">
        <f aca="false">TAKVİM!$B$68</f>
        <v>21-25 Haziran</v>
      </c>
      <c r="B77" s="29"/>
      <c r="C77" s="29"/>
      <c r="D77" s="29" t="s">
        <v>620</v>
      </c>
      <c r="E77" s="29"/>
      <c r="F77" s="29"/>
      <c r="G77" s="29"/>
      <c r="H77" s="29"/>
      <c r="I77" s="29"/>
      <c r="J77" s="29"/>
      <c r="K77" s="29"/>
      <c r="L77" s="29" t="s">
        <v>619</v>
      </c>
      <c r="M77" s="29"/>
      <c r="N77" s="29"/>
      <c r="O77" s="29"/>
      <c r="P77" s="29"/>
      <c r="Q77" s="29"/>
      <c r="R77" s="29" t="s">
        <v>565</v>
      </c>
      <c r="S77" s="29"/>
      <c r="T77" s="29"/>
      <c r="U77" s="29"/>
      <c r="V77" s="29"/>
      <c r="W77" s="29" t="s">
        <v>566</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621</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274</v>
      </c>
      <c r="H5" s="25"/>
      <c r="I5" s="25"/>
      <c r="J5" s="25"/>
      <c r="K5" s="25"/>
      <c r="L5" s="25"/>
      <c r="M5" s="25"/>
      <c r="N5" s="25"/>
      <c r="O5" s="25"/>
      <c r="P5" s="24" t="s">
        <v>106</v>
      </c>
      <c r="Q5" s="24"/>
      <c r="R5" s="24"/>
      <c r="S5" s="24"/>
      <c r="T5" s="24"/>
      <c r="U5" s="25" t="s">
        <v>562</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53.25" hidden="false" customHeight="true" outlineLevel="0" collapsed="false">
      <c r="A38" s="29" t="str">
        <f aca="false">TAKVİM!$B$29</f>
        <v>14-18 Eylül</v>
      </c>
      <c r="B38" s="29"/>
      <c r="C38" s="29"/>
      <c r="D38" s="29" t="s">
        <v>622</v>
      </c>
      <c r="E38" s="29"/>
      <c r="F38" s="29"/>
      <c r="G38" s="29"/>
      <c r="H38" s="29"/>
      <c r="I38" s="29"/>
      <c r="J38" s="29"/>
      <c r="K38" s="29"/>
      <c r="L38" s="29" t="s">
        <v>623</v>
      </c>
      <c r="M38" s="29"/>
      <c r="N38" s="29"/>
      <c r="O38" s="29"/>
      <c r="P38" s="29"/>
      <c r="Q38" s="29"/>
      <c r="R38" s="29" t="s">
        <v>624</v>
      </c>
      <c r="S38" s="29"/>
      <c r="T38" s="29"/>
      <c r="U38" s="29"/>
      <c r="V38" s="29"/>
      <c r="W38" s="29" t="s">
        <v>625</v>
      </c>
      <c r="X38" s="29"/>
      <c r="Y38" s="29"/>
      <c r="Z38" s="29"/>
      <c r="AA38" s="29"/>
      <c r="AB38" s="29"/>
      <c r="AC38" s="29"/>
      <c r="AD38" s="29"/>
      <c r="AE38" s="29"/>
    </row>
    <row r="39" customFormat="false" ht="74.25" hidden="false" customHeight="true" outlineLevel="0" collapsed="false">
      <c r="A39" s="29" t="str">
        <f aca="false">TAKVİM!$B$30</f>
        <v>21-25 Eylül</v>
      </c>
      <c r="B39" s="29"/>
      <c r="C39" s="29"/>
      <c r="D39" s="29" t="s">
        <v>626</v>
      </c>
      <c r="E39" s="29"/>
      <c r="F39" s="29"/>
      <c r="G39" s="29"/>
      <c r="H39" s="29"/>
      <c r="I39" s="29"/>
      <c r="J39" s="29"/>
      <c r="K39" s="29"/>
      <c r="L39" s="29" t="s">
        <v>627</v>
      </c>
      <c r="M39" s="29"/>
      <c r="N39" s="29"/>
      <c r="O39" s="29"/>
      <c r="P39" s="29"/>
      <c r="Q39" s="29"/>
      <c r="R39" s="29" t="s">
        <v>624</v>
      </c>
      <c r="S39" s="29"/>
      <c r="T39" s="29"/>
      <c r="U39" s="29"/>
      <c r="V39" s="29"/>
      <c r="W39" s="29" t="s">
        <v>625</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628</v>
      </c>
      <c r="E40" s="29"/>
      <c r="F40" s="29"/>
      <c r="G40" s="29"/>
      <c r="H40" s="29"/>
      <c r="I40" s="29"/>
      <c r="J40" s="29"/>
      <c r="K40" s="29"/>
      <c r="L40" s="29" t="s">
        <v>627</v>
      </c>
      <c r="M40" s="29"/>
      <c r="N40" s="29"/>
      <c r="O40" s="29"/>
      <c r="P40" s="29"/>
      <c r="Q40" s="29"/>
      <c r="R40" s="29" t="s">
        <v>624</v>
      </c>
      <c r="S40" s="29"/>
      <c r="T40" s="29"/>
      <c r="U40" s="29"/>
      <c r="V40" s="29"/>
      <c r="W40" s="29" t="s">
        <v>625</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629</v>
      </c>
      <c r="E41" s="29"/>
      <c r="F41" s="29"/>
      <c r="G41" s="29"/>
      <c r="H41" s="29"/>
      <c r="I41" s="29"/>
      <c r="J41" s="29"/>
      <c r="K41" s="29"/>
      <c r="L41" s="29" t="s">
        <v>630</v>
      </c>
      <c r="M41" s="29"/>
      <c r="N41" s="29"/>
      <c r="O41" s="29"/>
      <c r="P41" s="29"/>
      <c r="Q41" s="29"/>
      <c r="R41" s="29" t="s">
        <v>624</v>
      </c>
      <c r="S41" s="29"/>
      <c r="T41" s="29"/>
      <c r="U41" s="29"/>
      <c r="V41" s="29"/>
      <c r="W41" s="29" t="s">
        <v>625</v>
      </c>
      <c r="X41" s="29"/>
      <c r="Y41" s="29"/>
      <c r="Z41" s="29"/>
      <c r="AA41" s="29"/>
      <c r="AB41" s="29"/>
      <c r="AC41" s="29"/>
      <c r="AD41" s="29"/>
      <c r="AE41" s="29"/>
    </row>
    <row r="42" customFormat="false" ht="32.25" hidden="false" customHeight="true" outlineLevel="0" collapsed="false">
      <c r="A42" s="29" t="str">
        <f aca="false">TAKVİM!$B$33</f>
        <v>12-16 Ekim</v>
      </c>
      <c r="B42" s="29"/>
      <c r="C42" s="29"/>
      <c r="D42" s="29" t="s">
        <v>631</v>
      </c>
      <c r="E42" s="29"/>
      <c r="F42" s="29"/>
      <c r="G42" s="29"/>
      <c r="H42" s="29"/>
      <c r="I42" s="29"/>
      <c r="J42" s="29"/>
      <c r="K42" s="29"/>
      <c r="L42" s="29" t="s">
        <v>632</v>
      </c>
      <c r="M42" s="29"/>
      <c r="N42" s="29"/>
      <c r="O42" s="29"/>
      <c r="P42" s="29"/>
      <c r="Q42" s="29"/>
      <c r="R42" s="29" t="s">
        <v>624</v>
      </c>
      <c r="S42" s="29"/>
      <c r="T42" s="29"/>
      <c r="U42" s="29"/>
      <c r="V42" s="29"/>
      <c r="W42" s="29" t="s">
        <v>625</v>
      </c>
      <c r="X42" s="29"/>
      <c r="Y42" s="29"/>
      <c r="Z42" s="29"/>
      <c r="AA42" s="29"/>
      <c r="AB42" s="29"/>
      <c r="AC42" s="29"/>
      <c r="AD42" s="29"/>
      <c r="AE42" s="29"/>
    </row>
    <row r="43" customFormat="false" ht="32.25" hidden="false" customHeight="true" outlineLevel="0" collapsed="false">
      <c r="A43" s="29" t="str">
        <f aca="false">TAKVİM!$B$34</f>
        <v>19-23 Ekim</v>
      </c>
      <c r="B43" s="29"/>
      <c r="C43" s="29"/>
      <c r="D43" s="29" t="s">
        <v>631</v>
      </c>
      <c r="E43" s="29"/>
      <c r="F43" s="29"/>
      <c r="G43" s="29"/>
      <c r="H43" s="29"/>
      <c r="I43" s="29"/>
      <c r="J43" s="29"/>
      <c r="K43" s="29"/>
      <c r="L43" s="29" t="s">
        <v>632</v>
      </c>
      <c r="M43" s="29"/>
      <c r="N43" s="29"/>
      <c r="O43" s="29"/>
      <c r="P43" s="29"/>
      <c r="Q43" s="29"/>
      <c r="R43" s="29" t="s">
        <v>624</v>
      </c>
      <c r="S43" s="29"/>
      <c r="T43" s="29"/>
      <c r="U43" s="29"/>
      <c r="V43" s="29"/>
      <c r="W43" s="29" t="s">
        <v>625</v>
      </c>
      <c r="X43" s="29"/>
      <c r="Y43" s="29"/>
      <c r="Z43" s="29"/>
      <c r="AA43" s="29"/>
      <c r="AB43" s="29"/>
      <c r="AC43" s="29"/>
      <c r="AD43" s="29"/>
      <c r="AE43" s="29"/>
    </row>
    <row r="44" customFormat="false" ht="42.75" hidden="false" customHeight="true" outlineLevel="0" collapsed="false">
      <c r="A44" s="29" t="str">
        <f aca="false">TAKVİM!$B$35</f>
        <v>26-30 Ekim</v>
      </c>
      <c r="B44" s="29"/>
      <c r="C44" s="29"/>
      <c r="D44" s="29" t="s">
        <v>633</v>
      </c>
      <c r="E44" s="29"/>
      <c r="F44" s="29"/>
      <c r="G44" s="29"/>
      <c r="H44" s="29"/>
      <c r="I44" s="29"/>
      <c r="J44" s="29"/>
      <c r="K44" s="29"/>
      <c r="L44" s="29" t="s">
        <v>634</v>
      </c>
      <c r="M44" s="29"/>
      <c r="N44" s="29"/>
      <c r="O44" s="29"/>
      <c r="P44" s="29"/>
      <c r="Q44" s="29"/>
      <c r="R44" s="29" t="s">
        <v>624</v>
      </c>
      <c r="S44" s="29"/>
      <c r="T44" s="29"/>
      <c r="U44" s="29"/>
      <c r="V44" s="29"/>
      <c r="W44" s="29" t="s">
        <v>625</v>
      </c>
      <c r="X44" s="29"/>
      <c r="Y44" s="29"/>
      <c r="Z44" s="29"/>
      <c r="AA44" s="29"/>
      <c r="AB44" s="29"/>
      <c r="AC44" s="29"/>
      <c r="AD44" s="29"/>
      <c r="AE44" s="29"/>
    </row>
    <row r="45" customFormat="false" ht="32.25" hidden="false" customHeight="true" outlineLevel="0" collapsed="false">
      <c r="A45" s="29" t="str">
        <f aca="false">TAKVİM!$B$36</f>
        <v>02-06 Kasım</v>
      </c>
      <c r="B45" s="29"/>
      <c r="C45" s="29"/>
      <c r="D45" s="29" t="s">
        <v>635</v>
      </c>
      <c r="E45" s="29"/>
      <c r="F45" s="29"/>
      <c r="G45" s="29"/>
      <c r="H45" s="29"/>
      <c r="I45" s="29"/>
      <c r="J45" s="29"/>
      <c r="K45" s="29"/>
      <c r="L45" s="29" t="s">
        <v>634</v>
      </c>
      <c r="M45" s="29"/>
      <c r="N45" s="29"/>
      <c r="O45" s="29"/>
      <c r="P45" s="29"/>
      <c r="Q45" s="29"/>
      <c r="R45" s="29" t="s">
        <v>624</v>
      </c>
      <c r="S45" s="29"/>
      <c r="T45" s="29"/>
      <c r="U45" s="29"/>
      <c r="V45" s="29"/>
      <c r="W45" s="29" t="s">
        <v>625</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636</v>
      </c>
      <c r="E46" s="29"/>
      <c r="F46" s="29"/>
      <c r="G46" s="29"/>
      <c r="H46" s="29"/>
      <c r="I46" s="29"/>
      <c r="J46" s="29"/>
      <c r="K46" s="29"/>
      <c r="L46" s="29" t="s">
        <v>637</v>
      </c>
      <c r="M46" s="29"/>
      <c r="N46" s="29"/>
      <c r="O46" s="29"/>
      <c r="P46" s="29"/>
      <c r="Q46" s="29"/>
      <c r="R46" s="29" t="s">
        <v>624</v>
      </c>
      <c r="S46" s="29"/>
      <c r="T46" s="29"/>
      <c r="U46" s="29"/>
      <c r="V46" s="29"/>
      <c r="W46" s="29" t="s">
        <v>625</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32.25" hidden="false" customHeight="true" outlineLevel="0" collapsed="false">
      <c r="A48" s="29" t="str">
        <f aca="false">TAKVİM!$B$39</f>
        <v>23-27 Kasım</v>
      </c>
      <c r="B48" s="29"/>
      <c r="C48" s="29"/>
      <c r="D48" s="29" t="s">
        <v>638</v>
      </c>
      <c r="E48" s="29"/>
      <c r="F48" s="29"/>
      <c r="G48" s="29"/>
      <c r="H48" s="29"/>
      <c r="I48" s="29"/>
      <c r="J48" s="29"/>
      <c r="K48" s="29"/>
      <c r="L48" s="29" t="s">
        <v>637</v>
      </c>
      <c r="M48" s="29"/>
      <c r="N48" s="29"/>
      <c r="O48" s="29"/>
      <c r="P48" s="29"/>
      <c r="Q48" s="29"/>
      <c r="R48" s="29" t="s">
        <v>624</v>
      </c>
      <c r="S48" s="29"/>
      <c r="T48" s="29"/>
      <c r="U48" s="29"/>
      <c r="V48" s="29"/>
      <c r="W48" s="29" t="s">
        <v>625</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639</v>
      </c>
      <c r="E49" s="29"/>
      <c r="F49" s="29"/>
      <c r="G49" s="29"/>
      <c r="H49" s="29"/>
      <c r="I49" s="29"/>
      <c r="J49" s="29"/>
      <c r="K49" s="29"/>
      <c r="L49" s="29" t="s">
        <v>640</v>
      </c>
      <c r="M49" s="29"/>
      <c r="N49" s="29"/>
      <c r="O49" s="29"/>
      <c r="P49" s="29"/>
      <c r="Q49" s="29"/>
      <c r="R49" s="29" t="s">
        <v>624</v>
      </c>
      <c r="S49" s="29"/>
      <c r="T49" s="29"/>
      <c r="U49" s="29"/>
      <c r="V49" s="29"/>
      <c r="W49" s="29" t="s">
        <v>625</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641</v>
      </c>
      <c r="E50" s="29"/>
      <c r="F50" s="29"/>
      <c r="G50" s="29"/>
      <c r="H50" s="29"/>
      <c r="I50" s="29"/>
      <c r="J50" s="29"/>
      <c r="K50" s="29"/>
      <c r="L50" s="29" t="s">
        <v>642</v>
      </c>
      <c r="M50" s="29"/>
      <c r="N50" s="29"/>
      <c r="O50" s="29"/>
      <c r="P50" s="29"/>
      <c r="Q50" s="29"/>
      <c r="R50" s="29" t="s">
        <v>624</v>
      </c>
      <c r="S50" s="29"/>
      <c r="T50" s="29"/>
      <c r="U50" s="29"/>
      <c r="V50" s="29"/>
      <c r="W50" s="29" t="s">
        <v>625</v>
      </c>
      <c r="X50" s="29"/>
      <c r="Y50" s="29"/>
      <c r="Z50" s="29"/>
      <c r="AA50" s="29"/>
      <c r="AB50" s="29"/>
      <c r="AC50" s="29"/>
      <c r="AD50" s="29"/>
      <c r="AE50" s="29"/>
    </row>
    <row r="51" customFormat="false" ht="32.25" hidden="false" customHeight="true" outlineLevel="0" collapsed="false">
      <c r="A51" s="29" t="str">
        <f aca="false">TAKVİM!$B$42</f>
        <v>14-18 Aralık</v>
      </c>
      <c r="B51" s="29"/>
      <c r="C51" s="29"/>
      <c r="D51" s="29" t="s">
        <v>643</v>
      </c>
      <c r="E51" s="29"/>
      <c r="F51" s="29"/>
      <c r="G51" s="29"/>
      <c r="H51" s="29"/>
      <c r="I51" s="29"/>
      <c r="J51" s="29"/>
      <c r="K51" s="29"/>
      <c r="L51" s="29" t="s">
        <v>644</v>
      </c>
      <c r="M51" s="29"/>
      <c r="N51" s="29"/>
      <c r="O51" s="29"/>
      <c r="P51" s="29"/>
      <c r="Q51" s="29"/>
      <c r="R51" s="29" t="s">
        <v>624</v>
      </c>
      <c r="S51" s="29"/>
      <c r="T51" s="29"/>
      <c r="U51" s="29"/>
      <c r="V51" s="29"/>
      <c r="W51" s="29" t="s">
        <v>625</v>
      </c>
      <c r="X51" s="29"/>
      <c r="Y51" s="29"/>
      <c r="Z51" s="29"/>
      <c r="AA51" s="29"/>
      <c r="AB51" s="29"/>
      <c r="AC51" s="29"/>
      <c r="AD51" s="29"/>
      <c r="AE51" s="29"/>
    </row>
    <row r="52" customFormat="false" ht="32.25" hidden="false" customHeight="true" outlineLevel="0" collapsed="false">
      <c r="A52" s="29" t="str">
        <f aca="false">TAKVİM!$B$43</f>
        <v>21-25 Aralık</v>
      </c>
      <c r="B52" s="29"/>
      <c r="C52" s="29"/>
      <c r="D52" s="29" t="s">
        <v>645</v>
      </c>
      <c r="E52" s="29"/>
      <c r="F52" s="29"/>
      <c r="G52" s="29"/>
      <c r="H52" s="29"/>
      <c r="I52" s="29"/>
      <c r="J52" s="29"/>
      <c r="K52" s="29"/>
      <c r="L52" s="29" t="s">
        <v>646</v>
      </c>
      <c r="M52" s="29"/>
      <c r="N52" s="29"/>
      <c r="O52" s="29"/>
      <c r="P52" s="29"/>
      <c r="Q52" s="29"/>
      <c r="R52" s="29" t="s">
        <v>624</v>
      </c>
      <c r="S52" s="29"/>
      <c r="T52" s="29"/>
      <c r="U52" s="29"/>
      <c r="V52" s="29"/>
      <c r="W52" s="29" t="s">
        <v>625</v>
      </c>
      <c r="X52" s="29"/>
      <c r="Y52" s="29"/>
      <c r="Z52" s="29"/>
      <c r="AA52" s="29"/>
      <c r="AB52" s="29"/>
      <c r="AC52" s="29"/>
      <c r="AD52" s="29"/>
      <c r="AE52" s="29"/>
    </row>
    <row r="53" customFormat="false" ht="32.25" hidden="false" customHeight="true" outlineLevel="0" collapsed="false">
      <c r="A53" s="29" t="str">
        <f aca="false">TAKVİM!$B$44</f>
        <v>28 Aralık - 01 Ocak</v>
      </c>
      <c r="B53" s="29"/>
      <c r="C53" s="29"/>
      <c r="D53" s="29" t="s">
        <v>647</v>
      </c>
      <c r="E53" s="29"/>
      <c r="F53" s="29"/>
      <c r="G53" s="29"/>
      <c r="H53" s="29"/>
      <c r="I53" s="29"/>
      <c r="J53" s="29"/>
      <c r="K53" s="29"/>
      <c r="L53" s="29" t="s">
        <v>648</v>
      </c>
      <c r="M53" s="29"/>
      <c r="N53" s="29"/>
      <c r="O53" s="29"/>
      <c r="P53" s="29"/>
      <c r="Q53" s="29"/>
      <c r="R53" s="29" t="s">
        <v>624</v>
      </c>
      <c r="S53" s="29"/>
      <c r="T53" s="29"/>
      <c r="U53" s="29"/>
      <c r="V53" s="29"/>
      <c r="W53" s="29" t="s">
        <v>625</v>
      </c>
      <c r="X53" s="29"/>
      <c r="Y53" s="29"/>
      <c r="Z53" s="29"/>
      <c r="AA53" s="29"/>
      <c r="AB53" s="29"/>
      <c r="AC53" s="29"/>
      <c r="AD53" s="29"/>
      <c r="AE53" s="29"/>
    </row>
    <row r="54" customFormat="false" ht="32.25" hidden="false" customHeight="true" outlineLevel="0" collapsed="false">
      <c r="A54" s="29" t="str">
        <f aca="false">TAKVİM!$B$45</f>
        <v>04-08 Ocak</v>
      </c>
      <c r="B54" s="29"/>
      <c r="C54" s="29"/>
      <c r="D54" s="29" t="s">
        <v>649</v>
      </c>
      <c r="E54" s="29"/>
      <c r="F54" s="29"/>
      <c r="G54" s="29"/>
      <c r="H54" s="29"/>
      <c r="I54" s="29"/>
      <c r="J54" s="29"/>
      <c r="K54" s="29"/>
      <c r="L54" s="29" t="s">
        <v>648</v>
      </c>
      <c r="M54" s="29"/>
      <c r="N54" s="29"/>
      <c r="O54" s="29"/>
      <c r="P54" s="29"/>
      <c r="Q54" s="29"/>
      <c r="R54" s="29" t="s">
        <v>624</v>
      </c>
      <c r="S54" s="29"/>
      <c r="T54" s="29"/>
      <c r="U54" s="29"/>
      <c r="V54" s="29"/>
      <c r="W54" s="29" t="s">
        <v>625</v>
      </c>
      <c r="X54" s="29"/>
      <c r="Y54" s="29"/>
      <c r="Z54" s="29"/>
      <c r="AA54" s="29"/>
      <c r="AB54" s="29"/>
      <c r="AC54" s="29"/>
      <c r="AD54" s="29"/>
      <c r="AE54" s="29"/>
    </row>
    <row r="55" customFormat="false" ht="53.25" hidden="false" customHeight="true" outlineLevel="0" collapsed="false">
      <c r="A55" s="29" t="str">
        <f aca="false">TAKVİM!$B$46</f>
        <v>11-15 Ocak</v>
      </c>
      <c r="B55" s="29"/>
      <c r="C55" s="29"/>
      <c r="D55" s="29" t="s">
        <v>650</v>
      </c>
      <c r="E55" s="29"/>
      <c r="F55" s="29"/>
      <c r="G55" s="29"/>
      <c r="H55" s="29"/>
      <c r="I55" s="29"/>
      <c r="J55" s="29"/>
      <c r="K55" s="29"/>
      <c r="L55" s="29" t="s">
        <v>651</v>
      </c>
      <c r="M55" s="29"/>
      <c r="N55" s="29"/>
      <c r="O55" s="29"/>
      <c r="P55" s="29"/>
      <c r="Q55" s="29"/>
      <c r="R55" s="29" t="s">
        <v>624</v>
      </c>
      <c r="S55" s="29"/>
      <c r="T55" s="29"/>
      <c r="U55" s="29"/>
      <c r="V55" s="29"/>
      <c r="W55" s="29" t="s">
        <v>625</v>
      </c>
      <c r="X55" s="29"/>
      <c r="Y55" s="29"/>
      <c r="Z55" s="29"/>
      <c r="AA55" s="29"/>
      <c r="AB55" s="29"/>
      <c r="AC55" s="29"/>
      <c r="AD55" s="29"/>
      <c r="AE55" s="29"/>
    </row>
    <row r="56" customFormat="false" ht="32.25" hidden="false" customHeight="true" outlineLevel="0" collapsed="false">
      <c r="A56" s="29" t="str">
        <f aca="false">TAKVİM!$B$47</f>
        <v>18-22 Ocak</v>
      </c>
      <c r="B56" s="29"/>
      <c r="C56" s="29"/>
      <c r="D56" s="29" t="s">
        <v>652</v>
      </c>
      <c r="E56" s="29"/>
      <c r="F56" s="29"/>
      <c r="G56" s="29"/>
      <c r="H56" s="29"/>
      <c r="I56" s="29"/>
      <c r="J56" s="29"/>
      <c r="K56" s="29"/>
      <c r="L56" s="29" t="s">
        <v>651</v>
      </c>
      <c r="M56" s="29"/>
      <c r="N56" s="29"/>
      <c r="O56" s="29"/>
      <c r="P56" s="29"/>
      <c r="Q56" s="29"/>
      <c r="R56" s="29" t="s">
        <v>624</v>
      </c>
      <c r="S56" s="29"/>
      <c r="T56" s="29"/>
      <c r="U56" s="29"/>
      <c r="V56" s="29"/>
      <c r="W56" s="29" t="s">
        <v>625</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32.25" hidden="false" customHeight="true" outlineLevel="0" collapsed="false">
      <c r="A58" s="29" t="str">
        <f aca="false">TAKVİM!$B$49</f>
        <v>08-12 Şubat</v>
      </c>
      <c r="B58" s="29"/>
      <c r="C58" s="29"/>
      <c r="D58" s="29" t="s">
        <v>652</v>
      </c>
      <c r="E58" s="29"/>
      <c r="F58" s="29"/>
      <c r="G58" s="29"/>
      <c r="H58" s="29"/>
      <c r="I58" s="29"/>
      <c r="J58" s="29"/>
      <c r="K58" s="29"/>
      <c r="L58" s="29" t="s">
        <v>651</v>
      </c>
      <c r="M58" s="29"/>
      <c r="N58" s="29"/>
      <c r="O58" s="29"/>
      <c r="P58" s="29"/>
      <c r="Q58" s="29"/>
      <c r="R58" s="29" t="s">
        <v>624</v>
      </c>
      <c r="S58" s="29"/>
      <c r="T58" s="29"/>
      <c r="U58" s="29"/>
      <c r="V58" s="29"/>
      <c r="W58" s="29" t="s">
        <v>625</v>
      </c>
      <c r="X58" s="29"/>
      <c r="Y58" s="29"/>
      <c r="Z58" s="29"/>
      <c r="AA58" s="29"/>
      <c r="AB58" s="29"/>
      <c r="AC58" s="29"/>
      <c r="AD58" s="29"/>
      <c r="AE58" s="29"/>
    </row>
    <row r="59" customFormat="false" ht="32.25" hidden="false" customHeight="true" outlineLevel="0" collapsed="false">
      <c r="A59" s="29" t="str">
        <f aca="false">TAKVİM!$B$50</f>
        <v>15-19 Şubat</v>
      </c>
      <c r="B59" s="29"/>
      <c r="C59" s="29"/>
      <c r="D59" s="29" t="s">
        <v>653</v>
      </c>
      <c r="E59" s="29"/>
      <c r="F59" s="29"/>
      <c r="G59" s="29"/>
      <c r="H59" s="29"/>
      <c r="I59" s="29"/>
      <c r="J59" s="29"/>
      <c r="K59" s="29"/>
      <c r="L59" s="29" t="s">
        <v>654</v>
      </c>
      <c r="M59" s="29"/>
      <c r="N59" s="29"/>
      <c r="O59" s="29"/>
      <c r="P59" s="29"/>
      <c r="Q59" s="29"/>
      <c r="R59" s="29" t="s">
        <v>624</v>
      </c>
      <c r="S59" s="29"/>
      <c r="T59" s="29"/>
      <c r="U59" s="29"/>
      <c r="V59" s="29"/>
      <c r="W59" s="29" t="s">
        <v>625</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655</v>
      </c>
      <c r="E60" s="29"/>
      <c r="F60" s="29"/>
      <c r="G60" s="29"/>
      <c r="H60" s="29"/>
      <c r="I60" s="29"/>
      <c r="J60" s="29"/>
      <c r="K60" s="29"/>
      <c r="L60" s="29" t="s">
        <v>654</v>
      </c>
      <c r="M60" s="29"/>
      <c r="N60" s="29"/>
      <c r="O60" s="29"/>
      <c r="P60" s="29"/>
      <c r="Q60" s="29"/>
      <c r="R60" s="29" t="s">
        <v>624</v>
      </c>
      <c r="S60" s="29"/>
      <c r="T60" s="29"/>
      <c r="U60" s="29"/>
      <c r="V60" s="29"/>
      <c r="W60" s="29" t="s">
        <v>625</v>
      </c>
      <c r="X60" s="29"/>
      <c r="Y60" s="29"/>
      <c r="Z60" s="29"/>
      <c r="AA60" s="29"/>
      <c r="AB60" s="29"/>
      <c r="AC60" s="29"/>
      <c r="AD60" s="29"/>
      <c r="AE60" s="29"/>
    </row>
    <row r="61" customFormat="false" ht="42.75" hidden="false" customHeight="true" outlineLevel="0" collapsed="false">
      <c r="A61" s="29" t="str">
        <f aca="false">TAKVİM!$B$52</f>
        <v>01-05 Mart</v>
      </c>
      <c r="B61" s="29"/>
      <c r="C61" s="29"/>
      <c r="D61" s="29" t="s">
        <v>656</v>
      </c>
      <c r="E61" s="29"/>
      <c r="F61" s="29"/>
      <c r="G61" s="29"/>
      <c r="H61" s="29"/>
      <c r="I61" s="29"/>
      <c r="J61" s="29"/>
      <c r="K61" s="29"/>
      <c r="L61" s="29" t="s">
        <v>657</v>
      </c>
      <c r="M61" s="29"/>
      <c r="N61" s="29"/>
      <c r="O61" s="29"/>
      <c r="P61" s="29"/>
      <c r="Q61" s="29"/>
      <c r="R61" s="29" t="s">
        <v>624</v>
      </c>
      <c r="S61" s="29"/>
      <c r="T61" s="29"/>
      <c r="U61" s="29"/>
      <c r="V61" s="29"/>
      <c r="W61" s="29" t="s">
        <v>625</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32.25" hidden="false" customHeight="true" outlineLevel="0" collapsed="false">
      <c r="A63" s="29" t="str">
        <f aca="false">TAKVİM!$B$54</f>
        <v>15-19 Mart</v>
      </c>
      <c r="B63" s="29"/>
      <c r="C63" s="29"/>
      <c r="D63" s="29" t="s">
        <v>658</v>
      </c>
      <c r="E63" s="29"/>
      <c r="F63" s="29"/>
      <c r="G63" s="29"/>
      <c r="H63" s="29"/>
      <c r="I63" s="29"/>
      <c r="J63" s="29"/>
      <c r="K63" s="29"/>
      <c r="L63" s="29" t="s">
        <v>659</v>
      </c>
      <c r="M63" s="29"/>
      <c r="N63" s="29"/>
      <c r="O63" s="29"/>
      <c r="P63" s="29"/>
      <c r="Q63" s="29"/>
      <c r="R63" s="29" t="s">
        <v>624</v>
      </c>
      <c r="S63" s="29"/>
      <c r="T63" s="29"/>
      <c r="U63" s="29"/>
      <c r="V63" s="29"/>
      <c r="W63" s="29" t="s">
        <v>625</v>
      </c>
      <c r="X63" s="29"/>
      <c r="Y63" s="29"/>
      <c r="Z63" s="29"/>
      <c r="AA63" s="29"/>
      <c r="AB63" s="29"/>
      <c r="AC63" s="29"/>
      <c r="AD63" s="29"/>
      <c r="AE63" s="29"/>
    </row>
    <row r="64" customFormat="false" ht="42.75" hidden="false" customHeight="true" outlineLevel="0" collapsed="false">
      <c r="A64" s="29" t="str">
        <f aca="false">TAKVİM!$B$55</f>
        <v>22-26 Mart</v>
      </c>
      <c r="B64" s="29"/>
      <c r="C64" s="29"/>
      <c r="D64" s="29" t="s">
        <v>660</v>
      </c>
      <c r="E64" s="29"/>
      <c r="F64" s="29"/>
      <c r="G64" s="29"/>
      <c r="H64" s="29"/>
      <c r="I64" s="29"/>
      <c r="J64" s="29"/>
      <c r="K64" s="29"/>
      <c r="L64" s="29" t="s">
        <v>661</v>
      </c>
      <c r="M64" s="29"/>
      <c r="N64" s="29"/>
      <c r="O64" s="29"/>
      <c r="P64" s="29"/>
      <c r="Q64" s="29"/>
      <c r="R64" s="29" t="s">
        <v>624</v>
      </c>
      <c r="S64" s="29"/>
      <c r="T64" s="29"/>
      <c r="U64" s="29"/>
      <c r="V64" s="29"/>
      <c r="W64" s="29" t="s">
        <v>625</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662</v>
      </c>
      <c r="E65" s="29"/>
      <c r="F65" s="29"/>
      <c r="G65" s="29"/>
      <c r="H65" s="29"/>
      <c r="I65" s="29"/>
      <c r="J65" s="29"/>
      <c r="K65" s="29"/>
      <c r="L65" s="29" t="s">
        <v>661</v>
      </c>
      <c r="M65" s="29"/>
      <c r="N65" s="29"/>
      <c r="O65" s="29"/>
      <c r="P65" s="29"/>
      <c r="Q65" s="29"/>
      <c r="R65" s="29" t="s">
        <v>624</v>
      </c>
      <c r="S65" s="29"/>
      <c r="T65" s="29"/>
      <c r="U65" s="29"/>
      <c r="V65" s="29"/>
      <c r="W65" s="29" t="s">
        <v>625</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663</v>
      </c>
      <c r="E66" s="29"/>
      <c r="F66" s="29"/>
      <c r="G66" s="29"/>
      <c r="H66" s="29"/>
      <c r="I66" s="29"/>
      <c r="J66" s="29"/>
      <c r="K66" s="29"/>
      <c r="L66" s="29" t="s">
        <v>661</v>
      </c>
      <c r="M66" s="29"/>
      <c r="N66" s="29"/>
      <c r="O66" s="29"/>
      <c r="P66" s="29"/>
      <c r="Q66" s="29"/>
      <c r="R66" s="29" t="s">
        <v>624</v>
      </c>
      <c r="S66" s="29"/>
      <c r="T66" s="29"/>
      <c r="U66" s="29"/>
      <c r="V66" s="29"/>
      <c r="W66" s="29" t="s">
        <v>625</v>
      </c>
      <c r="X66" s="29"/>
      <c r="Y66" s="29"/>
      <c r="Z66" s="29"/>
      <c r="AA66" s="29"/>
      <c r="AB66" s="29"/>
      <c r="AC66" s="29"/>
      <c r="AD66" s="29"/>
      <c r="AE66" s="29"/>
    </row>
    <row r="67" customFormat="false" ht="53.25" hidden="false" customHeight="true" outlineLevel="0" collapsed="false">
      <c r="A67" s="29" t="str">
        <f aca="false">TAKVİM!$B$58</f>
        <v>12-16 Nisan</v>
      </c>
      <c r="B67" s="29"/>
      <c r="C67" s="29"/>
      <c r="D67" s="29" t="s">
        <v>664</v>
      </c>
      <c r="E67" s="29"/>
      <c r="F67" s="29"/>
      <c r="G67" s="29"/>
      <c r="H67" s="29"/>
      <c r="I67" s="29"/>
      <c r="J67" s="29"/>
      <c r="K67" s="29"/>
      <c r="L67" s="29" t="s">
        <v>665</v>
      </c>
      <c r="M67" s="29"/>
      <c r="N67" s="29"/>
      <c r="O67" s="29"/>
      <c r="P67" s="29"/>
      <c r="Q67" s="29"/>
      <c r="R67" s="29" t="s">
        <v>624</v>
      </c>
      <c r="S67" s="29"/>
      <c r="T67" s="29"/>
      <c r="U67" s="29"/>
      <c r="V67" s="29"/>
      <c r="W67" s="29" t="s">
        <v>625</v>
      </c>
      <c r="X67" s="29"/>
      <c r="Y67" s="29"/>
      <c r="Z67" s="29"/>
      <c r="AA67" s="29"/>
      <c r="AB67" s="29"/>
      <c r="AC67" s="29"/>
      <c r="AD67" s="29"/>
      <c r="AE67" s="29"/>
    </row>
    <row r="68" customFormat="false" ht="63.75" hidden="false" customHeight="true" outlineLevel="0" collapsed="false">
      <c r="A68" s="29" t="str">
        <f aca="false">TAKVİM!$B$59</f>
        <v>19-23 Nisan</v>
      </c>
      <c r="B68" s="29"/>
      <c r="C68" s="29"/>
      <c r="D68" s="29" t="s">
        <v>666</v>
      </c>
      <c r="E68" s="29"/>
      <c r="F68" s="29"/>
      <c r="G68" s="29"/>
      <c r="H68" s="29"/>
      <c r="I68" s="29"/>
      <c r="J68" s="29"/>
      <c r="K68" s="29"/>
      <c r="L68" s="29" t="s">
        <v>665</v>
      </c>
      <c r="M68" s="29"/>
      <c r="N68" s="29"/>
      <c r="O68" s="29"/>
      <c r="P68" s="29"/>
      <c r="Q68" s="29"/>
      <c r="R68" s="29" t="s">
        <v>624</v>
      </c>
      <c r="S68" s="29"/>
      <c r="T68" s="29"/>
      <c r="U68" s="29"/>
      <c r="V68" s="29"/>
      <c r="W68" s="29" t="s">
        <v>625</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664</v>
      </c>
      <c r="E69" s="29"/>
      <c r="F69" s="29"/>
      <c r="G69" s="29"/>
      <c r="H69" s="29"/>
      <c r="I69" s="29"/>
      <c r="J69" s="29"/>
      <c r="K69" s="29"/>
      <c r="L69" s="29" t="s">
        <v>665</v>
      </c>
      <c r="M69" s="29"/>
      <c r="N69" s="29"/>
      <c r="O69" s="29"/>
      <c r="P69" s="29"/>
      <c r="Q69" s="29"/>
      <c r="R69" s="29" t="s">
        <v>624</v>
      </c>
      <c r="S69" s="29"/>
      <c r="T69" s="29"/>
      <c r="U69" s="29"/>
      <c r="V69" s="29"/>
      <c r="W69" s="29" t="s">
        <v>625</v>
      </c>
      <c r="X69" s="29"/>
      <c r="Y69" s="29"/>
      <c r="Z69" s="29"/>
      <c r="AA69" s="29"/>
      <c r="AB69" s="29"/>
      <c r="AC69" s="29"/>
      <c r="AD69" s="29"/>
      <c r="AE69" s="29"/>
    </row>
    <row r="70" customFormat="false" ht="32.25" hidden="false" customHeight="true" outlineLevel="0" collapsed="false">
      <c r="A70" s="29" t="str">
        <f aca="false">TAKVİM!$B$61</f>
        <v>03-07 Mayıs</v>
      </c>
      <c r="B70" s="29"/>
      <c r="C70" s="29"/>
      <c r="D70" s="29" t="s">
        <v>667</v>
      </c>
      <c r="E70" s="29"/>
      <c r="F70" s="29"/>
      <c r="G70" s="29"/>
      <c r="H70" s="29"/>
      <c r="I70" s="29"/>
      <c r="J70" s="29"/>
      <c r="K70" s="29"/>
      <c r="L70" s="29" t="s">
        <v>668</v>
      </c>
      <c r="M70" s="29"/>
      <c r="N70" s="29"/>
      <c r="O70" s="29"/>
      <c r="P70" s="29"/>
      <c r="Q70" s="29"/>
      <c r="R70" s="29" t="s">
        <v>624</v>
      </c>
      <c r="S70" s="29"/>
      <c r="T70" s="29"/>
      <c r="U70" s="29"/>
      <c r="V70" s="29"/>
      <c r="W70" s="29" t="s">
        <v>625</v>
      </c>
      <c r="X70" s="29"/>
      <c r="Y70" s="29"/>
      <c r="Z70" s="29"/>
      <c r="AA70" s="29"/>
      <c r="AB70" s="29"/>
      <c r="AC70" s="29"/>
      <c r="AD70" s="29"/>
      <c r="AE70" s="29"/>
    </row>
    <row r="71" customFormat="false" ht="42.75" hidden="false" customHeight="true" outlineLevel="0" collapsed="false">
      <c r="A71" s="29" t="str">
        <f aca="false">TAKVİM!$B$62</f>
        <v>10-14 Mayıs</v>
      </c>
      <c r="B71" s="29"/>
      <c r="C71" s="29"/>
      <c r="D71" s="29" t="s">
        <v>669</v>
      </c>
      <c r="E71" s="29"/>
      <c r="F71" s="29"/>
      <c r="G71" s="29"/>
      <c r="H71" s="29"/>
      <c r="I71" s="29"/>
      <c r="J71" s="29"/>
      <c r="K71" s="29"/>
      <c r="L71" s="29" t="s">
        <v>670</v>
      </c>
      <c r="M71" s="29"/>
      <c r="N71" s="29"/>
      <c r="O71" s="29"/>
      <c r="P71" s="29"/>
      <c r="Q71" s="29"/>
      <c r="R71" s="29" t="s">
        <v>624</v>
      </c>
      <c r="S71" s="29"/>
      <c r="T71" s="29"/>
      <c r="U71" s="29"/>
      <c r="V71" s="29"/>
      <c r="W71" s="29" t="s">
        <v>625</v>
      </c>
      <c r="X71" s="29"/>
      <c r="Y71" s="29"/>
      <c r="Z71" s="29"/>
      <c r="AA71" s="29"/>
      <c r="AB71" s="29"/>
      <c r="AC71" s="29"/>
      <c r="AD71" s="29"/>
      <c r="AE71" s="29"/>
    </row>
    <row r="72" customFormat="false" ht="32.25" hidden="false" customHeight="true" outlineLevel="0" collapsed="false">
      <c r="A72" s="29" t="str">
        <f aca="false">TAKVİM!$B$63</f>
        <v>17-21 Mayıs</v>
      </c>
      <c r="B72" s="29"/>
      <c r="C72" s="29"/>
      <c r="D72" s="29" t="s">
        <v>671</v>
      </c>
      <c r="E72" s="29"/>
      <c r="F72" s="29"/>
      <c r="G72" s="29"/>
      <c r="H72" s="29"/>
      <c r="I72" s="29"/>
      <c r="J72" s="29"/>
      <c r="K72" s="29"/>
      <c r="L72" s="29" t="s">
        <v>672</v>
      </c>
      <c r="M72" s="29"/>
      <c r="N72" s="29"/>
      <c r="O72" s="29"/>
      <c r="P72" s="29"/>
      <c r="Q72" s="29"/>
      <c r="R72" s="29" t="s">
        <v>624</v>
      </c>
      <c r="S72" s="29"/>
      <c r="T72" s="29"/>
      <c r="U72" s="29"/>
      <c r="V72" s="29"/>
      <c r="W72" s="29" t="s">
        <v>625</v>
      </c>
      <c r="X72" s="29"/>
      <c r="Y72" s="29"/>
      <c r="Z72" s="29"/>
      <c r="AA72" s="29"/>
      <c r="AB72" s="29"/>
      <c r="AC72" s="29"/>
      <c r="AD72" s="29"/>
      <c r="AE72" s="29"/>
    </row>
    <row r="73" customFormat="false" ht="32.25" hidden="false" customHeight="true" outlineLevel="0" collapsed="false">
      <c r="A73" s="29" t="str">
        <f aca="false">TAKVİM!$B$64</f>
        <v>24-28 Mayıs</v>
      </c>
      <c r="B73" s="29"/>
      <c r="C73" s="29"/>
      <c r="D73" s="29" t="s">
        <v>673</v>
      </c>
      <c r="E73" s="29"/>
      <c r="F73" s="29"/>
      <c r="G73" s="29"/>
      <c r="H73" s="29"/>
      <c r="I73" s="29"/>
      <c r="J73" s="29"/>
      <c r="K73" s="29"/>
      <c r="L73" s="29" t="s">
        <v>672</v>
      </c>
      <c r="M73" s="29"/>
      <c r="N73" s="29"/>
      <c r="O73" s="29"/>
      <c r="P73" s="29"/>
      <c r="Q73" s="29"/>
      <c r="R73" s="29" t="s">
        <v>624</v>
      </c>
      <c r="S73" s="29"/>
      <c r="T73" s="29"/>
      <c r="U73" s="29"/>
      <c r="V73" s="29"/>
      <c r="W73" s="29" t="s">
        <v>625</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674</v>
      </c>
      <c r="E74" s="29"/>
      <c r="F74" s="29"/>
      <c r="G74" s="29"/>
      <c r="H74" s="29"/>
      <c r="I74" s="29"/>
      <c r="J74" s="29"/>
      <c r="K74" s="29"/>
      <c r="L74" s="29" t="s">
        <v>668</v>
      </c>
      <c r="M74" s="29"/>
      <c r="N74" s="29"/>
      <c r="O74" s="29"/>
      <c r="P74" s="29"/>
      <c r="Q74" s="29"/>
      <c r="R74" s="29" t="s">
        <v>624</v>
      </c>
      <c r="S74" s="29"/>
      <c r="T74" s="29"/>
      <c r="U74" s="29"/>
      <c r="V74" s="29"/>
      <c r="W74" s="29" t="s">
        <v>625</v>
      </c>
      <c r="X74" s="29"/>
      <c r="Y74" s="29"/>
      <c r="Z74" s="29"/>
      <c r="AA74" s="29"/>
      <c r="AB74" s="29"/>
      <c r="AC74" s="29"/>
      <c r="AD74" s="29"/>
      <c r="AE74" s="29"/>
    </row>
    <row r="75" customFormat="false" ht="32.25" hidden="false" customHeight="true" outlineLevel="0" collapsed="false">
      <c r="A75" s="29" t="str">
        <f aca="false">TAKVİM!$B$66</f>
        <v>07-11 Haziran</v>
      </c>
      <c r="B75" s="29"/>
      <c r="C75" s="29"/>
      <c r="D75" s="29" t="s">
        <v>675</v>
      </c>
      <c r="E75" s="29"/>
      <c r="F75" s="29"/>
      <c r="G75" s="29"/>
      <c r="H75" s="29"/>
      <c r="I75" s="29"/>
      <c r="J75" s="29"/>
      <c r="K75" s="29"/>
      <c r="L75" s="29" t="s">
        <v>672</v>
      </c>
      <c r="M75" s="29"/>
      <c r="N75" s="29"/>
      <c r="O75" s="29"/>
      <c r="P75" s="29"/>
      <c r="Q75" s="29"/>
      <c r="R75" s="29" t="s">
        <v>624</v>
      </c>
      <c r="S75" s="29"/>
      <c r="T75" s="29"/>
      <c r="U75" s="29"/>
      <c r="V75" s="29"/>
      <c r="W75" s="29" t="s">
        <v>625</v>
      </c>
      <c r="X75" s="29"/>
      <c r="Y75" s="29"/>
      <c r="Z75" s="29"/>
      <c r="AA75" s="29"/>
      <c r="AB75" s="29"/>
      <c r="AC75" s="29"/>
      <c r="AD75" s="29"/>
      <c r="AE75" s="29"/>
    </row>
    <row r="76" customFormat="false" ht="32.25" hidden="false" customHeight="true" outlineLevel="0" collapsed="false">
      <c r="A76" s="29" t="str">
        <f aca="false">TAKVİM!$B$67</f>
        <v>14-18 Haziran</v>
      </c>
      <c r="B76" s="29"/>
      <c r="C76" s="29"/>
      <c r="D76" s="29" t="s">
        <v>673</v>
      </c>
      <c r="E76" s="29"/>
      <c r="F76" s="29"/>
      <c r="G76" s="29"/>
      <c r="H76" s="29"/>
      <c r="I76" s="29"/>
      <c r="J76" s="29"/>
      <c r="K76" s="29"/>
      <c r="L76" s="29" t="s">
        <v>672</v>
      </c>
      <c r="M76" s="29"/>
      <c r="N76" s="29"/>
      <c r="O76" s="29"/>
      <c r="P76" s="29"/>
      <c r="Q76" s="29"/>
      <c r="R76" s="29" t="s">
        <v>624</v>
      </c>
      <c r="S76" s="29"/>
      <c r="T76" s="29"/>
      <c r="U76" s="29"/>
      <c r="V76" s="29"/>
      <c r="W76" s="29" t="s">
        <v>625</v>
      </c>
      <c r="X76" s="29"/>
      <c r="Y76" s="29"/>
      <c r="Z76" s="29"/>
      <c r="AA76" s="29"/>
      <c r="AB76" s="29"/>
      <c r="AC76" s="29"/>
      <c r="AD76" s="29"/>
      <c r="AE76" s="29"/>
    </row>
    <row r="77" customFormat="false" ht="32.25" hidden="false" customHeight="true" outlineLevel="0" collapsed="false">
      <c r="A77" s="29" t="str">
        <f aca="false">TAKVİM!$B$68</f>
        <v>21-25 Haziran</v>
      </c>
      <c r="B77" s="29"/>
      <c r="C77" s="29"/>
      <c r="D77" s="29" t="s">
        <v>673</v>
      </c>
      <c r="E77" s="29"/>
      <c r="F77" s="29"/>
      <c r="G77" s="29"/>
      <c r="H77" s="29"/>
      <c r="I77" s="29"/>
      <c r="J77" s="29"/>
      <c r="K77" s="29"/>
      <c r="L77" s="29" t="s">
        <v>672</v>
      </c>
      <c r="M77" s="29"/>
      <c r="N77" s="29"/>
      <c r="O77" s="29"/>
      <c r="P77" s="29"/>
      <c r="Q77" s="29"/>
      <c r="R77" s="29" t="s">
        <v>624</v>
      </c>
      <c r="S77" s="29"/>
      <c r="T77" s="29"/>
      <c r="U77" s="29"/>
      <c r="V77" s="29"/>
      <c r="W77" s="29" t="s">
        <v>625</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676</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677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53.25" hidden="false" customHeight="true" outlineLevel="0" collapsed="false">
      <c r="A38" s="29" t="str">
        <f aca="false">TAKVİM!$B$29</f>
        <v>14-18 Eylül</v>
      </c>
      <c r="B38" s="29"/>
      <c r="C38" s="29"/>
      <c r="D38" s="29" t="s">
        <v>678</v>
      </c>
      <c r="E38" s="29"/>
      <c r="F38" s="29"/>
      <c r="G38" s="29"/>
      <c r="H38" s="29"/>
      <c r="I38" s="29"/>
      <c r="J38" s="29"/>
      <c r="K38" s="29"/>
      <c r="L38" s="29" t="s">
        <v>679</v>
      </c>
      <c r="M38" s="29"/>
      <c r="N38" s="29"/>
      <c r="O38" s="29"/>
      <c r="P38" s="29"/>
      <c r="Q38" s="29"/>
      <c r="R38" s="29" t="s">
        <v>326</v>
      </c>
      <c r="S38" s="29"/>
      <c r="T38" s="29"/>
      <c r="U38" s="29"/>
      <c r="V38" s="29"/>
      <c r="W38" s="29" t="s">
        <v>680</v>
      </c>
      <c r="X38" s="29"/>
      <c r="Y38" s="29"/>
      <c r="Z38" s="29"/>
      <c r="AA38" s="29"/>
      <c r="AB38" s="29"/>
      <c r="AC38" s="29"/>
      <c r="AD38" s="29"/>
      <c r="AE38" s="29"/>
    </row>
    <row r="39" customFormat="false" ht="32.25" hidden="false" customHeight="true" outlineLevel="0" collapsed="false">
      <c r="A39" s="29" t="str">
        <f aca="false">TAKVİM!$B$30</f>
        <v>21-25 Eylül</v>
      </c>
      <c r="B39" s="29"/>
      <c r="C39" s="29"/>
      <c r="D39" s="29" t="s">
        <v>681</v>
      </c>
      <c r="E39" s="29"/>
      <c r="F39" s="29"/>
      <c r="G39" s="29"/>
      <c r="H39" s="29"/>
      <c r="I39" s="29"/>
      <c r="J39" s="29"/>
      <c r="K39" s="29"/>
      <c r="L39" s="29" t="s">
        <v>682</v>
      </c>
      <c r="M39" s="29"/>
      <c r="N39" s="29"/>
      <c r="O39" s="29"/>
      <c r="P39" s="29"/>
      <c r="Q39" s="29"/>
      <c r="R39" s="29" t="s">
        <v>326</v>
      </c>
      <c r="S39" s="29"/>
      <c r="T39" s="29"/>
      <c r="U39" s="29"/>
      <c r="V39" s="29"/>
      <c r="W39" s="29" t="s">
        <v>680</v>
      </c>
      <c r="X39" s="29"/>
      <c r="Y39" s="29"/>
      <c r="Z39" s="29"/>
      <c r="AA39" s="29"/>
      <c r="AB39" s="29"/>
      <c r="AC39" s="29"/>
      <c r="AD39" s="29"/>
      <c r="AE39" s="29"/>
    </row>
    <row r="40" customFormat="false" ht="32.25" hidden="false" customHeight="true" outlineLevel="0" collapsed="false">
      <c r="A40" s="29" t="str">
        <f aca="false">TAKVİM!$B$31</f>
        <v>28 Eylül - 02 Ekim</v>
      </c>
      <c r="B40" s="29"/>
      <c r="C40" s="29"/>
      <c r="D40" s="29" t="s">
        <v>683</v>
      </c>
      <c r="E40" s="29"/>
      <c r="F40" s="29"/>
      <c r="G40" s="29"/>
      <c r="H40" s="29"/>
      <c r="I40" s="29"/>
      <c r="J40" s="29"/>
      <c r="K40" s="29"/>
      <c r="L40" s="29" t="s">
        <v>682</v>
      </c>
      <c r="M40" s="29"/>
      <c r="N40" s="29"/>
      <c r="O40" s="29"/>
      <c r="P40" s="29"/>
      <c r="Q40" s="29"/>
      <c r="R40" s="29" t="s">
        <v>326</v>
      </c>
      <c r="S40" s="29"/>
      <c r="T40" s="29"/>
      <c r="U40" s="29"/>
      <c r="V40" s="29"/>
      <c r="W40" s="29" t="s">
        <v>680</v>
      </c>
      <c r="X40" s="29"/>
      <c r="Y40" s="29"/>
      <c r="Z40" s="29"/>
      <c r="AA40" s="29"/>
      <c r="AB40" s="29"/>
      <c r="AC40" s="29"/>
      <c r="AD40" s="29"/>
      <c r="AE40" s="29"/>
    </row>
    <row r="41" customFormat="false" ht="32.25" hidden="false" customHeight="true" outlineLevel="0" collapsed="false">
      <c r="A41" s="29" t="str">
        <f aca="false">TAKVİM!$B$32</f>
        <v>05-09 Ekim</v>
      </c>
      <c r="B41" s="29"/>
      <c r="C41" s="29"/>
      <c r="D41" s="29" t="s">
        <v>684</v>
      </c>
      <c r="E41" s="29"/>
      <c r="F41" s="29"/>
      <c r="G41" s="29"/>
      <c r="H41" s="29"/>
      <c r="I41" s="29"/>
      <c r="J41" s="29"/>
      <c r="K41" s="29"/>
      <c r="L41" s="29" t="s">
        <v>682</v>
      </c>
      <c r="M41" s="29"/>
      <c r="N41" s="29"/>
      <c r="O41" s="29"/>
      <c r="P41" s="29"/>
      <c r="Q41" s="29"/>
      <c r="R41" s="29" t="s">
        <v>326</v>
      </c>
      <c r="S41" s="29"/>
      <c r="T41" s="29"/>
      <c r="U41" s="29"/>
      <c r="V41" s="29"/>
      <c r="W41" s="29" t="s">
        <v>680</v>
      </c>
      <c r="X41" s="29"/>
      <c r="Y41" s="29"/>
      <c r="Z41" s="29"/>
      <c r="AA41" s="29"/>
      <c r="AB41" s="29"/>
      <c r="AC41" s="29"/>
      <c r="AD41" s="29"/>
      <c r="AE41" s="29"/>
    </row>
    <row r="42" customFormat="false" ht="42.75" hidden="false" customHeight="true" outlineLevel="0" collapsed="false">
      <c r="A42" s="29" t="str">
        <f aca="false">TAKVİM!$B$33</f>
        <v>12-16 Ekim</v>
      </c>
      <c r="B42" s="29"/>
      <c r="C42" s="29"/>
      <c r="D42" s="29" t="s">
        <v>685</v>
      </c>
      <c r="E42" s="29"/>
      <c r="F42" s="29"/>
      <c r="G42" s="29"/>
      <c r="H42" s="29"/>
      <c r="I42" s="29"/>
      <c r="J42" s="29"/>
      <c r="K42" s="29"/>
      <c r="L42" s="29" t="s">
        <v>686</v>
      </c>
      <c r="M42" s="29"/>
      <c r="N42" s="29"/>
      <c r="O42" s="29"/>
      <c r="P42" s="29"/>
      <c r="Q42" s="29"/>
      <c r="R42" s="29" t="s">
        <v>326</v>
      </c>
      <c r="S42" s="29"/>
      <c r="T42" s="29"/>
      <c r="U42" s="29"/>
      <c r="V42" s="29"/>
      <c r="W42" s="29" t="s">
        <v>680</v>
      </c>
      <c r="X42" s="29"/>
      <c r="Y42" s="29"/>
      <c r="Z42" s="29"/>
      <c r="AA42" s="29"/>
      <c r="AB42" s="29"/>
      <c r="AC42" s="29"/>
      <c r="AD42" s="29"/>
      <c r="AE42" s="29"/>
    </row>
    <row r="43" customFormat="false" ht="32.25" hidden="false" customHeight="true" outlineLevel="0" collapsed="false">
      <c r="A43" s="29" t="str">
        <f aca="false">TAKVİM!$B$34</f>
        <v>19-23 Ekim</v>
      </c>
      <c r="B43" s="29"/>
      <c r="C43" s="29"/>
      <c r="D43" s="29" t="s">
        <v>687</v>
      </c>
      <c r="E43" s="29"/>
      <c r="F43" s="29"/>
      <c r="G43" s="29"/>
      <c r="H43" s="29"/>
      <c r="I43" s="29"/>
      <c r="J43" s="29"/>
      <c r="K43" s="29"/>
      <c r="L43" s="29" t="s">
        <v>686</v>
      </c>
      <c r="M43" s="29"/>
      <c r="N43" s="29"/>
      <c r="O43" s="29"/>
      <c r="P43" s="29"/>
      <c r="Q43" s="29"/>
      <c r="R43" s="29" t="s">
        <v>326</v>
      </c>
      <c r="S43" s="29"/>
      <c r="T43" s="29"/>
      <c r="U43" s="29"/>
      <c r="V43" s="29"/>
      <c r="W43" s="29" t="s">
        <v>680</v>
      </c>
      <c r="X43" s="29"/>
      <c r="Y43" s="29"/>
      <c r="Z43" s="29"/>
      <c r="AA43" s="29"/>
      <c r="AB43" s="29"/>
      <c r="AC43" s="29"/>
      <c r="AD43" s="29"/>
      <c r="AE43" s="29"/>
    </row>
    <row r="44" customFormat="false" ht="32.25" hidden="false" customHeight="true" outlineLevel="0" collapsed="false">
      <c r="A44" s="29" t="str">
        <f aca="false">TAKVİM!$B$35</f>
        <v>26-30 Ekim</v>
      </c>
      <c r="B44" s="29"/>
      <c r="C44" s="29"/>
      <c r="D44" s="29" t="s">
        <v>688</v>
      </c>
      <c r="E44" s="29"/>
      <c r="F44" s="29"/>
      <c r="G44" s="29"/>
      <c r="H44" s="29"/>
      <c r="I44" s="29"/>
      <c r="J44" s="29"/>
      <c r="K44" s="29"/>
      <c r="L44" s="29" t="s">
        <v>686</v>
      </c>
      <c r="M44" s="29"/>
      <c r="N44" s="29"/>
      <c r="O44" s="29"/>
      <c r="P44" s="29"/>
      <c r="Q44" s="29"/>
      <c r="R44" s="29" t="s">
        <v>326</v>
      </c>
      <c r="S44" s="29"/>
      <c r="T44" s="29"/>
      <c r="U44" s="29"/>
      <c r="V44" s="29"/>
      <c r="W44" s="29" t="s">
        <v>680</v>
      </c>
      <c r="X44" s="29"/>
      <c r="Y44" s="29"/>
      <c r="Z44" s="29"/>
      <c r="AA44" s="29"/>
      <c r="AB44" s="29"/>
      <c r="AC44" s="29"/>
      <c r="AD44" s="29"/>
      <c r="AE44" s="29"/>
    </row>
    <row r="45" customFormat="false" ht="32.25" hidden="false" customHeight="true" outlineLevel="0" collapsed="false">
      <c r="A45" s="29" t="str">
        <f aca="false">TAKVİM!$B$36</f>
        <v>02-06 Kasım</v>
      </c>
      <c r="B45" s="29"/>
      <c r="C45" s="29"/>
      <c r="D45" s="29" t="s">
        <v>687</v>
      </c>
      <c r="E45" s="29"/>
      <c r="F45" s="29"/>
      <c r="G45" s="29"/>
      <c r="H45" s="29"/>
      <c r="I45" s="29"/>
      <c r="J45" s="29"/>
      <c r="K45" s="29"/>
      <c r="L45" s="29" t="s">
        <v>686</v>
      </c>
      <c r="M45" s="29"/>
      <c r="N45" s="29"/>
      <c r="O45" s="29"/>
      <c r="P45" s="29"/>
      <c r="Q45" s="29"/>
      <c r="R45" s="29" t="s">
        <v>326</v>
      </c>
      <c r="S45" s="29"/>
      <c r="T45" s="29"/>
      <c r="U45" s="29"/>
      <c r="V45" s="29"/>
      <c r="W45" s="29" t="s">
        <v>680</v>
      </c>
      <c r="X45" s="29"/>
      <c r="Y45" s="29"/>
      <c r="Z45" s="29"/>
      <c r="AA45" s="29"/>
      <c r="AB45" s="29"/>
      <c r="AC45" s="29"/>
      <c r="AD45" s="29"/>
      <c r="AE45" s="29"/>
    </row>
    <row r="46" customFormat="false" ht="42.75" hidden="false" customHeight="true" outlineLevel="0" collapsed="false">
      <c r="A46" s="29" t="str">
        <f aca="false">TAKVİM!$B$37</f>
        <v>09-13 Kasım</v>
      </c>
      <c r="B46" s="29"/>
      <c r="C46" s="29"/>
      <c r="D46" s="29" t="s">
        <v>689</v>
      </c>
      <c r="E46" s="29"/>
      <c r="F46" s="29"/>
      <c r="G46" s="29"/>
      <c r="H46" s="29"/>
      <c r="I46" s="29"/>
      <c r="J46" s="29"/>
      <c r="K46" s="29"/>
      <c r="L46" s="29" t="s">
        <v>686</v>
      </c>
      <c r="M46" s="29"/>
      <c r="N46" s="29"/>
      <c r="O46" s="29"/>
      <c r="P46" s="29"/>
      <c r="Q46" s="29"/>
      <c r="R46" s="29" t="s">
        <v>326</v>
      </c>
      <c r="S46" s="29"/>
      <c r="T46" s="29"/>
      <c r="U46" s="29"/>
      <c r="V46" s="29"/>
      <c r="W46" s="29" t="s">
        <v>680</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32.25" hidden="false" customHeight="true" outlineLevel="0" collapsed="false">
      <c r="A48" s="29" t="str">
        <f aca="false">TAKVİM!$B$39</f>
        <v>23-27 Kasım</v>
      </c>
      <c r="B48" s="29"/>
      <c r="C48" s="29"/>
      <c r="D48" s="29" t="s">
        <v>690</v>
      </c>
      <c r="E48" s="29"/>
      <c r="F48" s="29"/>
      <c r="G48" s="29"/>
      <c r="H48" s="29"/>
      <c r="I48" s="29"/>
      <c r="J48" s="29"/>
      <c r="K48" s="29"/>
      <c r="L48" s="29" t="s">
        <v>691</v>
      </c>
      <c r="M48" s="29"/>
      <c r="N48" s="29"/>
      <c r="O48" s="29"/>
      <c r="P48" s="29"/>
      <c r="Q48" s="29"/>
      <c r="R48" s="29" t="s">
        <v>326</v>
      </c>
      <c r="S48" s="29"/>
      <c r="T48" s="29"/>
      <c r="U48" s="29"/>
      <c r="V48" s="29"/>
      <c r="W48" s="29" t="s">
        <v>680</v>
      </c>
      <c r="X48" s="29"/>
      <c r="Y48" s="29"/>
      <c r="Z48" s="29"/>
      <c r="AA48" s="29"/>
      <c r="AB48" s="29"/>
      <c r="AC48" s="29"/>
      <c r="AD48" s="29"/>
      <c r="AE48" s="29"/>
    </row>
    <row r="49" customFormat="false" ht="32.25" hidden="false" customHeight="true" outlineLevel="0" collapsed="false">
      <c r="A49" s="29" t="str">
        <f aca="false">TAKVİM!$B$40</f>
        <v>30 Kasım - 04 Aralık</v>
      </c>
      <c r="B49" s="29"/>
      <c r="C49" s="29"/>
      <c r="D49" s="29" t="s">
        <v>692</v>
      </c>
      <c r="E49" s="29"/>
      <c r="F49" s="29"/>
      <c r="G49" s="29"/>
      <c r="H49" s="29"/>
      <c r="I49" s="29"/>
      <c r="J49" s="29"/>
      <c r="K49" s="29"/>
      <c r="L49" s="29" t="s">
        <v>693</v>
      </c>
      <c r="M49" s="29"/>
      <c r="N49" s="29"/>
      <c r="O49" s="29"/>
      <c r="P49" s="29"/>
      <c r="Q49" s="29"/>
      <c r="R49" s="29" t="s">
        <v>326</v>
      </c>
      <c r="S49" s="29"/>
      <c r="T49" s="29"/>
      <c r="U49" s="29"/>
      <c r="V49" s="29"/>
      <c r="W49" s="29" t="s">
        <v>680</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694</v>
      </c>
      <c r="E50" s="29"/>
      <c r="F50" s="29"/>
      <c r="G50" s="29"/>
      <c r="H50" s="29"/>
      <c r="I50" s="29"/>
      <c r="J50" s="29"/>
      <c r="K50" s="29"/>
      <c r="L50" s="29" t="s">
        <v>693</v>
      </c>
      <c r="M50" s="29"/>
      <c r="N50" s="29"/>
      <c r="O50" s="29"/>
      <c r="P50" s="29"/>
      <c r="Q50" s="29"/>
      <c r="R50" s="29" t="s">
        <v>326</v>
      </c>
      <c r="S50" s="29"/>
      <c r="T50" s="29"/>
      <c r="U50" s="29"/>
      <c r="V50" s="29"/>
      <c r="W50" s="29" t="s">
        <v>680</v>
      </c>
      <c r="X50" s="29"/>
      <c r="Y50" s="29"/>
      <c r="Z50" s="29"/>
      <c r="AA50" s="29"/>
      <c r="AB50" s="29"/>
      <c r="AC50" s="29"/>
      <c r="AD50" s="29"/>
      <c r="AE50" s="29"/>
    </row>
    <row r="51" customFormat="false" ht="32.25" hidden="false" customHeight="true" outlineLevel="0" collapsed="false">
      <c r="A51" s="29" t="str">
        <f aca="false">TAKVİM!$B$42</f>
        <v>14-18 Aralık</v>
      </c>
      <c r="B51" s="29"/>
      <c r="C51" s="29"/>
      <c r="D51" s="29" t="s">
        <v>695</v>
      </c>
      <c r="E51" s="29"/>
      <c r="F51" s="29"/>
      <c r="G51" s="29"/>
      <c r="H51" s="29"/>
      <c r="I51" s="29"/>
      <c r="J51" s="29"/>
      <c r="K51" s="29"/>
      <c r="L51" s="29" t="s">
        <v>696</v>
      </c>
      <c r="M51" s="29"/>
      <c r="N51" s="29"/>
      <c r="O51" s="29"/>
      <c r="P51" s="29"/>
      <c r="Q51" s="29"/>
      <c r="R51" s="29" t="s">
        <v>326</v>
      </c>
      <c r="S51" s="29"/>
      <c r="T51" s="29"/>
      <c r="U51" s="29"/>
      <c r="V51" s="29"/>
      <c r="W51" s="29" t="s">
        <v>680</v>
      </c>
      <c r="X51" s="29"/>
      <c r="Y51" s="29"/>
      <c r="Z51" s="29"/>
      <c r="AA51" s="29"/>
      <c r="AB51" s="29"/>
      <c r="AC51" s="29"/>
      <c r="AD51" s="29"/>
      <c r="AE51" s="29"/>
    </row>
    <row r="52" customFormat="false" ht="32.25" hidden="false" customHeight="true" outlineLevel="0" collapsed="false">
      <c r="A52" s="29" t="str">
        <f aca="false">TAKVİM!$B$43</f>
        <v>21-25 Aralık</v>
      </c>
      <c r="B52" s="29"/>
      <c r="C52" s="29"/>
      <c r="D52" s="29" t="s">
        <v>697</v>
      </c>
      <c r="E52" s="29"/>
      <c r="F52" s="29"/>
      <c r="G52" s="29"/>
      <c r="H52" s="29"/>
      <c r="I52" s="29"/>
      <c r="J52" s="29"/>
      <c r="K52" s="29"/>
      <c r="L52" s="29" t="s">
        <v>696</v>
      </c>
      <c r="M52" s="29"/>
      <c r="N52" s="29"/>
      <c r="O52" s="29"/>
      <c r="P52" s="29"/>
      <c r="Q52" s="29"/>
      <c r="R52" s="29" t="s">
        <v>326</v>
      </c>
      <c r="S52" s="29"/>
      <c r="T52" s="29"/>
      <c r="U52" s="29"/>
      <c r="V52" s="29"/>
      <c r="W52" s="29" t="s">
        <v>680</v>
      </c>
      <c r="X52" s="29"/>
      <c r="Y52" s="29"/>
      <c r="Z52" s="29"/>
      <c r="AA52" s="29"/>
      <c r="AB52" s="29"/>
      <c r="AC52" s="29"/>
      <c r="AD52" s="29"/>
      <c r="AE52" s="29"/>
    </row>
    <row r="53" customFormat="false" ht="32.25" hidden="false" customHeight="true" outlineLevel="0" collapsed="false">
      <c r="A53" s="29" t="str">
        <f aca="false">TAKVİM!$B$44</f>
        <v>28 Aralık - 01 Ocak</v>
      </c>
      <c r="B53" s="29"/>
      <c r="C53" s="29"/>
      <c r="D53" s="29" t="s">
        <v>698</v>
      </c>
      <c r="E53" s="29"/>
      <c r="F53" s="29"/>
      <c r="G53" s="29"/>
      <c r="H53" s="29"/>
      <c r="I53" s="29"/>
      <c r="J53" s="29"/>
      <c r="K53" s="29"/>
      <c r="L53" s="29" t="s">
        <v>696</v>
      </c>
      <c r="M53" s="29"/>
      <c r="N53" s="29"/>
      <c r="O53" s="29"/>
      <c r="P53" s="29"/>
      <c r="Q53" s="29"/>
      <c r="R53" s="29" t="s">
        <v>326</v>
      </c>
      <c r="S53" s="29"/>
      <c r="T53" s="29"/>
      <c r="U53" s="29"/>
      <c r="V53" s="29"/>
      <c r="W53" s="29" t="s">
        <v>680</v>
      </c>
      <c r="X53" s="29"/>
      <c r="Y53" s="29"/>
      <c r="Z53" s="29"/>
      <c r="AA53" s="29"/>
      <c r="AB53" s="29"/>
      <c r="AC53" s="29"/>
      <c r="AD53" s="29"/>
      <c r="AE53" s="29"/>
    </row>
    <row r="54" customFormat="false" ht="32.25" hidden="false" customHeight="true" outlineLevel="0" collapsed="false">
      <c r="A54" s="29" t="str">
        <f aca="false">TAKVİM!$B$45</f>
        <v>04-08 Ocak</v>
      </c>
      <c r="B54" s="29"/>
      <c r="C54" s="29"/>
      <c r="D54" s="29" t="s">
        <v>699</v>
      </c>
      <c r="E54" s="29"/>
      <c r="F54" s="29"/>
      <c r="G54" s="29"/>
      <c r="H54" s="29"/>
      <c r="I54" s="29"/>
      <c r="J54" s="29"/>
      <c r="K54" s="29"/>
      <c r="L54" s="29" t="s">
        <v>700</v>
      </c>
      <c r="M54" s="29"/>
      <c r="N54" s="29"/>
      <c r="O54" s="29"/>
      <c r="P54" s="29"/>
      <c r="Q54" s="29"/>
      <c r="R54" s="29" t="s">
        <v>326</v>
      </c>
      <c r="S54" s="29"/>
      <c r="T54" s="29"/>
      <c r="U54" s="29"/>
      <c r="V54" s="29"/>
      <c r="W54" s="29" t="s">
        <v>680</v>
      </c>
      <c r="X54" s="29"/>
      <c r="Y54" s="29"/>
      <c r="Z54" s="29"/>
      <c r="AA54" s="29"/>
      <c r="AB54" s="29"/>
      <c r="AC54" s="29"/>
      <c r="AD54" s="29"/>
      <c r="AE54" s="29"/>
    </row>
    <row r="55" customFormat="false" ht="42.75" hidden="false" customHeight="true" outlineLevel="0" collapsed="false">
      <c r="A55" s="29" t="str">
        <f aca="false">TAKVİM!$B$46</f>
        <v>11-15 Ocak</v>
      </c>
      <c r="B55" s="29"/>
      <c r="C55" s="29"/>
      <c r="D55" s="29" t="s">
        <v>701</v>
      </c>
      <c r="E55" s="29"/>
      <c r="F55" s="29"/>
      <c r="G55" s="29"/>
      <c r="H55" s="29"/>
      <c r="I55" s="29"/>
      <c r="J55" s="29"/>
      <c r="K55" s="29"/>
      <c r="L55" s="29" t="s">
        <v>700</v>
      </c>
      <c r="M55" s="29"/>
      <c r="N55" s="29"/>
      <c r="O55" s="29"/>
      <c r="P55" s="29"/>
      <c r="Q55" s="29"/>
      <c r="R55" s="29" t="s">
        <v>326</v>
      </c>
      <c r="S55" s="29"/>
      <c r="T55" s="29"/>
      <c r="U55" s="29"/>
      <c r="V55" s="29"/>
      <c r="W55" s="29" t="s">
        <v>680</v>
      </c>
      <c r="X55" s="29"/>
      <c r="Y55" s="29"/>
      <c r="Z55" s="29"/>
      <c r="AA55" s="29"/>
      <c r="AB55" s="29"/>
      <c r="AC55" s="29"/>
      <c r="AD55" s="29"/>
      <c r="AE55" s="29"/>
    </row>
    <row r="56" customFormat="false" ht="32.25" hidden="false" customHeight="true" outlineLevel="0" collapsed="false">
      <c r="A56" s="29" t="str">
        <f aca="false">TAKVİM!$B$47</f>
        <v>18-22 Ocak</v>
      </c>
      <c r="B56" s="29"/>
      <c r="C56" s="29"/>
      <c r="D56" s="29" t="s">
        <v>702</v>
      </c>
      <c r="E56" s="29"/>
      <c r="F56" s="29"/>
      <c r="G56" s="29"/>
      <c r="H56" s="29"/>
      <c r="I56" s="29"/>
      <c r="J56" s="29"/>
      <c r="K56" s="29"/>
      <c r="L56" s="29" t="s">
        <v>700</v>
      </c>
      <c r="M56" s="29"/>
      <c r="N56" s="29"/>
      <c r="O56" s="29"/>
      <c r="P56" s="29"/>
      <c r="Q56" s="29"/>
      <c r="R56" s="29" t="s">
        <v>326</v>
      </c>
      <c r="S56" s="29"/>
      <c r="T56" s="29"/>
      <c r="U56" s="29"/>
      <c r="V56" s="29"/>
      <c r="W56" s="29" t="s">
        <v>680</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32.25" hidden="false" customHeight="true" outlineLevel="0" collapsed="false">
      <c r="A58" s="29" t="str">
        <f aca="false">TAKVİM!$B$49</f>
        <v>08-12 Şubat</v>
      </c>
      <c r="B58" s="29"/>
      <c r="C58" s="29"/>
      <c r="D58" s="29" t="s">
        <v>703</v>
      </c>
      <c r="E58" s="29"/>
      <c r="F58" s="29"/>
      <c r="G58" s="29"/>
      <c r="H58" s="29"/>
      <c r="I58" s="29"/>
      <c r="J58" s="29"/>
      <c r="K58" s="29"/>
      <c r="L58" s="29" t="s">
        <v>704</v>
      </c>
      <c r="M58" s="29"/>
      <c r="N58" s="29"/>
      <c r="O58" s="29"/>
      <c r="P58" s="29"/>
      <c r="Q58" s="29"/>
      <c r="R58" s="29" t="s">
        <v>326</v>
      </c>
      <c r="S58" s="29"/>
      <c r="T58" s="29"/>
      <c r="U58" s="29"/>
      <c r="V58" s="29"/>
      <c r="W58" s="29" t="s">
        <v>680</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705</v>
      </c>
      <c r="E59" s="29"/>
      <c r="F59" s="29"/>
      <c r="G59" s="29"/>
      <c r="H59" s="29"/>
      <c r="I59" s="29"/>
      <c r="J59" s="29"/>
      <c r="K59" s="29"/>
      <c r="L59" s="29" t="s">
        <v>704</v>
      </c>
      <c r="M59" s="29"/>
      <c r="N59" s="29"/>
      <c r="O59" s="29"/>
      <c r="P59" s="29"/>
      <c r="Q59" s="29"/>
      <c r="R59" s="29" t="s">
        <v>326</v>
      </c>
      <c r="S59" s="29"/>
      <c r="T59" s="29"/>
      <c r="U59" s="29"/>
      <c r="V59" s="29"/>
      <c r="W59" s="29" t="s">
        <v>680</v>
      </c>
      <c r="X59" s="29"/>
      <c r="Y59" s="29"/>
      <c r="Z59" s="29"/>
      <c r="AA59" s="29"/>
      <c r="AB59" s="29"/>
      <c r="AC59" s="29"/>
      <c r="AD59" s="29"/>
      <c r="AE59" s="29"/>
    </row>
    <row r="60" customFormat="false" ht="42.75" hidden="false" customHeight="true" outlineLevel="0" collapsed="false">
      <c r="A60" s="29" t="str">
        <f aca="false">TAKVİM!$B$51</f>
        <v>22-26 Şubat</v>
      </c>
      <c r="B60" s="29"/>
      <c r="C60" s="29"/>
      <c r="D60" s="29" t="s">
        <v>706</v>
      </c>
      <c r="E60" s="29"/>
      <c r="F60" s="29"/>
      <c r="G60" s="29"/>
      <c r="H60" s="29"/>
      <c r="I60" s="29"/>
      <c r="J60" s="29"/>
      <c r="K60" s="29"/>
      <c r="L60" s="29" t="s">
        <v>704</v>
      </c>
      <c r="M60" s="29"/>
      <c r="N60" s="29"/>
      <c r="O60" s="29"/>
      <c r="P60" s="29"/>
      <c r="Q60" s="29"/>
      <c r="R60" s="29" t="s">
        <v>326</v>
      </c>
      <c r="S60" s="29"/>
      <c r="T60" s="29"/>
      <c r="U60" s="29"/>
      <c r="V60" s="29"/>
      <c r="W60" s="29" t="s">
        <v>680</v>
      </c>
      <c r="X60" s="29"/>
      <c r="Y60" s="29"/>
      <c r="Z60" s="29"/>
      <c r="AA60" s="29"/>
      <c r="AB60" s="29"/>
      <c r="AC60" s="29"/>
      <c r="AD60" s="29"/>
      <c r="AE60" s="29"/>
    </row>
    <row r="61" customFormat="false" ht="32.25" hidden="false" customHeight="true" outlineLevel="0" collapsed="false">
      <c r="A61" s="29" t="str">
        <f aca="false">TAKVİM!$B$52</f>
        <v>01-05 Mart</v>
      </c>
      <c r="B61" s="29"/>
      <c r="C61" s="29"/>
      <c r="D61" s="29" t="s">
        <v>707</v>
      </c>
      <c r="E61" s="29"/>
      <c r="F61" s="29"/>
      <c r="G61" s="29"/>
      <c r="H61" s="29"/>
      <c r="I61" s="29"/>
      <c r="J61" s="29"/>
      <c r="K61" s="29"/>
      <c r="L61" s="29" t="s">
        <v>704</v>
      </c>
      <c r="M61" s="29"/>
      <c r="N61" s="29"/>
      <c r="O61" s="29"/>
      <c r="P61" s="29"/>
      <c r="Q61" s="29"/>
      <c r="R61" s="29" t="s">
        <v>326</v>
      </c>
      <c r="S61" s="29"/>
      <c r="T61" s="29"/>
      <c r="U61" s="29"/>
      <c r="V61" s="29"/>
      <c r="W61" s="29" t="s">
        <v>680</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53.25" hidden="false" customHeight="true" outlineLevel="0" collapsed="false">
      <c r="A63" s="29" t="str">
        <f aca="false">TAKVİM!$B$54</f>
        <v>15-19 Mart</v>
      </c>
      <c r="B63" s="29"/>
      <c r="C63" s="29"/>
      <c r="D63" s="29" t="s">
        <v>705</v>
      </c>
      <c r="E63" s="29"/>
      <c r="F63" s="29"/>
      <c r="G63" s="29"/>
      <c r="H63" s="29"/>
      <c r="I63" s="29"/>
      <c r="J63" s="29"/>
      <c r="K63" s="29"/>
      <c r="L63" s="29" t="s">
        <v>704</v>
      </c>
      <c r="M63" s="29"/>
      <c r="N63" s="29"/>
      <c r="O63" s="29"/>
      <c r="P63" s="29"/>
      <c r="Q63" s="29"/>
      <c r="R63" s="29" t="s">
        <v>326</v>
      </c>
      <c r="S63" s="29"/>
      <c r="T63" s="29"/>
      <c r="U63" s="29"/>
      <c r="V63" s="29"/>
      <c r="W63" s="29" t="s">
        <v>680</v>
      </c>
      <c r="X63" s="29"/>
      <c r="Y63" s="29"/>
      <c r="Z63" s="29"/>
      <c r="AA63" s="29"/>
      <c r="AB63" s="29"/>
      <c r="AC63" s="29"/>
      <c r="AD63" s="29"/>
      <c r="AE63" s="29"/>
    </row>
    <row r="64" customFormat="false" ht="42.75" hidden="false" customHeight="true" outlineLevel="0" collapsed="false">
      <c r="A64" s="29" t="str">
        <f aca="false">TAKVİM!$B$55</f>
        <v>22-26 Mart</v>
      </c>
      <c r="B64" s="29"/>
      <c r="C64" s="29"/>
      <c r="D64" s="29" t="s">
        <v>706</v>
      </c>
      <c r="E64" s="29"/>
      <c r="F64" s="29"/>
      <c r="G64" s="29"/>
      <c r="H64" s="29"/>
      <c r="I64" s="29"/>
      <c r="J64" s="29"/>
      <c r="K64" s="29"/>
      <c r="L64" s="29" t="s">
        <v>704</v>
      </c>
      <c r="M64" s="29"/>
      <c r="N64" s="29"/>
      <c r="O64" s="29"/>
      <c r="P64" s="29"/>
      <c r="Q64" s="29"/>
      <c r="R64" s="29" t="s">
        <v>326</v>
      </c>
      <c r="S64" s="29"/>
      <c r="T64" s="29"/>
      <c r="U64" s="29"/>
      <c r="V64" s="29"/>
      <c r="W64" s="29" t="s">
        <v>680</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708</v>
      </c>
      <c r="E65" s="29"/>
      <c r="F65" s="29"/>
      <c r="G65" s="29"/>
      <c r="H65" s="29"/>
      <c r="I65" s="29"/>
      <c r="J65" s="29"/>
      <c r="K65" s="29"/>
      <c r="L65" s="29" t="s">
        <v>709</v>
      </c>
      <c r="M65" s="29"/>
      <c r="N65" s="29"/>
      <c r="O65" s="29"/>
      <c r="P65" s="29"/>
      <c r="Q65" s="29"/>
      <c r="R65" s="29" t="s">
        <v>326</v>
      </c>
      <c r="S65" s="29"/>
      <c r="T65" s="29"/>
      <c r="U65" s="29"/>
      <c r="V65" s="29"/>
      <c r="W65" s="29" t="s">
        <v>680</v>
      </c>
      <c r="X65" s="29"/>
      <c r="Y65" s="29"/>
      <c r="Z65" s="29"/>
      <c r="AA65" s="29"/>
      <c r="AB65" s="29"/>
      <c r="AC65" s="29"/>
      <c r="AD65" s="29"/>
      <c r="AE65" s="29"/>
    </row>
    <row r="66" customFormat="false" ht="32.25" hidden="false" customHeight="true" outlineLevel="0" collapsed="false">
      <c r="A66" s="29" t="str">
        <f aca="false">TAKVİM!$B$57</f>
        <v>05-09 Nisan</v>
      </c>
      <c r="B66" s="29"/>
      <c r="C66" s="29"/>
      <c r="D66" s="29" t="s">
        <v>710</v>
      </c>
      <c r="E66" s="29"/>
      <c r="F66" s="29"/>
      <c r="G66" s="29"/>
      <c r="H66" s="29"/>
      <c r="I66" s="29"/>
      <c r="J66" s="29"/>
      <c r="K66" s="29"/>
      <c r="L66" s="29" t="s">
        <v>711</v>
      </c>
      <c r="M66" s="29"/>
      <c r="N66" s="29"/>
      <c r="O66" s="29"/>
      <c r="P66" s="29"/>
      <c r="Q66" s="29"/>
      <c r="R66" s="29" t="s">
        <v>326</v>
      </c>
      <c r="S66" s="29"/>
      <c r="T66" s="29"/>
      <c r="U66" s="29"/>
      <c r="V66" s="29"/>
      <c r="W66" s="29" t="s">
        <v>680</v>
      </c>
      <c r="X66" s="29"/>
      <c r="Y66" s="29"/>
      <c r="Z66" s="29"/>
      <c r="AA66" s="29"/>
      <c r="AB66" s="29"/>
      <c r="AC66" s="29"/>
      <c r="AD66" s="29"/>
      <c r="AE66" s="29"/>
    </row>
    <row r="67" customFormat="false" ht="32.25" hidden="false" customHeight="true" outlineLevel="0" collapsed="false">
      <c r="A67" s="29" t="str">
        <f aca="false">TAKVİM!$B$58</f>
        <v>12-16 Nisan</v>
      </c>
      <c r="B67" s="29"/>
      <c r="C67" s="29"/>
      <c r="D67" s="29" t="s">
        <v>712</v>
      </c>
      <c r="E67" s="29"/>
      <c r="F67" s="29"/>
      <c r="G67" s="29"/>
      <c r="H67" s="29"/>
      <c r="I67" s="29"/>
      <c r="J67" s="29"/>
      <c r="K67" s="29"/>
      <c r="L67" s="29" t="s">
        <v>711</v>
      </c>
      <c r="M67" s="29"/>
      <c r="N67" s="29"/>
      <c r="O67" s="29"/>
      <c r="P67" s="29"/>
      <c r="Q67" s="29"/>
      <c r="R67" s="29" t="s">
        <v>326</v>
      </c>
      <c r="S67" s="29"/>
      <c r="T67" s="29"/>
      <c r="U67" s="29"/>
      <c r="V67" s="29"/>
      <c r="W67" s="29" t="s">
        <v>680</v>
      </c>
      <c r="X67" s="29"/>
      <c r="Y67" s="29"/>
      <c r="Z67" s="29"/>
      <c r="AA67" s="29"/>
      <c r="AB67" s="29"/>
      <c r="AC67" s="29"/>
      <c r="AD67" s="29"/>
      <c r="AE67" s="29"/>
    </row>
    <row r="68" customFormat="false" ht="32.25" hidden="false" customHeight="true" outlineLevel="0" collapsed="false">
      <c r="A68" s="29" t="str">
        <f aca="false">TAKVİM!$B$59</f>
        <v>19-23 Nisan</v>
      </c>
      <c r="B68" s="29"/>
      <c r="C68" s="29"/>
      <c r="D68" s="29" t="s">
        <v>710</v>
      </c>
      <c r="E68" s="29"/>
      <c r="F68" s="29"/>
      <c r="G68" s="29"/>
      <c r="H68" s="29"/>
      <c r="I68" s="29"/>
      <c r="J68" s="29"/>
      <c r="K68" s="29"/>
      <c r="L68" s="29" t="s">
        <v>711</v>
      </c>
      <c r="M68" s="29"/>
      <c r="N68" s="29"/>
      <c r="O68" s="29"/>
      <c r="P68" s="29"/>
      <c r="Q68" s="29"/>
      <c r="R68" s="29" t="s">
        <v>326</v>
      </c>
      <c r="S68" s="29"/>
      <c r="T68" s="29"/>
      <c r="U68" s="29"/>
      <c r="V68" s="29"/>
      <c r="W68" s="29" t="s">
        <v>680</v>
      </c>
      <c r="X68" s="29"/>
      <c r="Y68" s="29"/>
      <c r="Z68" s="29"/>
      <c r="AA68" s="29"/>
      <c r="AB68" s="29"/>
      <c r="AC68" s="29"/>
      <c r="AD68" s="29"/>
      <c r="AE68" s="29"/>
    </row>
    <row r="69" customFormat="false" ht="42.75" hidden="false" customHeight="true" outlineLevel="0" collapsed="false">
      <c r="A69" s="29" t="str">
        <f aca="false">TAKVİM!$B$60</f>
        <v>26-30 Nisan</v>
      </c>
      <c r="B69" s="29"/>
      <c r="C69" s="29"/>
      <c r="D69" s="29" t="s">
        <v>713</v>
      </c>
      <c r="E69" s="29"/>
      <c r="F69" s="29"/>
      <c r="G69" s="29"/>
      <c r="H69" s="29"/>
      <c r="I69" s="29"/>
      <c r="J69" s="29"/>
      <c r="K69" s="29"/>
      <c r="L69" s="29" t="s">
        <v>714</v>
      </c>
      <c r="M69" s="29"/>
      <c r="N69" s="29"/>
      <c r="O69" s="29"/>
      <c r="P69" s="29"/>
      <c r="Q69" s="29"/>
      <c r="R69" s="29" t="s">
        <v>326</v>
      </c>
      <c r="S69" s="29"/>
      <c r="T69" s="29"/>
      <c r="U69" s="29"/>
      <c r="V69" s="29"/>
      <c r="W69" s="29" t="s">
        <v>680</v>
      </c>
      <c r="X69" s="29"/>
      <c r="Y69" s="29"/>
      <c r="Z69" s="29"/>
      <c r="AA69" s="29"/>
      <c r="AB69" s="29"/>
      <c r="AC69" s="29"/>
      <c r="AD69" s="29"/>
      <c r="AE69" s="29"/>
    </row>
    <row r="70" customFormat="false" ht="42.75" hidden="false" customHeight="true" outlineLevel="0" collapsed="false">
      <c r="A70" s="29" t="str">
        <f aca="false">TAKVİM!$B$61</f>
        <v>03-07 Mayıs</v>
      </c>
      <c r="B70" s="29"/>
      <c r="C70" s="29"/>
      <c r="D70" s="29" t="s">
        <v>715</v>
      </c>
      <c r="E70" s="29"/>
      <c r="F70" s="29"/>
      <c r="G70" s="29"/>
      <c r="H70" s="29"/>
      <c r="I70" s="29"/>
      <c r="J70" s="29"/>
      <c r="K70" s="29"/>
      <c r="L70" s="29" t="s">
        <v>714</v>
      </c>
      <c r="M70" s="29"/>
      <c r="N70" s="29"/>
      <c r="O70" s="29"/>
      <c r="P70" s="29"/>
      <c r="Q70" s="29"/>
      <c r="R70" s="29" t="s">
        <v>326</v>
      </c>
      <c r="S70" s="29"/>
      <c r="T70" s="29"/>
      <c r="U70" s="29"/>
      <c r="V70" s="29"/>
      <c r="W70" s="29" t="s">
        <v>680</v>
      </c>
      <c r="X70" s="29"/>
      <c r="Y70" s="29"/>
      <c r="Z70" s="29"/>
      <c r="AA70" s="29"/>
      <c r="AB70" s="29"/>
      <c r="AC70" s="29"/>
      <c r="AD70" s="29"/>
      <c r="AE70" s="29"/>
    </row>
    <row r="71" customFormat="false" ht="53.25" hidden="false" customHeight="true" outlineLevel="0" collapsed="false">
      <c r="A71" s="29" t="str">
        <f aca="false">TAKVİM!$B$62</f>
        <v>10-14 Mayıs</v>
      </c>
      <c r="B71" s="29"/>
      <c r="C71" s="29"/>
      <c r="D71" s="29" t="s">
        <v>716</v>
      </c>
      <c r="E71" s="29"/>
      <c r="F71" s="29"/>
      <c r="G71" s="29"/>
      <c r="H71" s="29"/>
      <c r="I71" s="29"/>
      <c r="J71" s="29"/>
      <c r="K71" s="29"/>
      <c r="L71" s="29" t="s">
        <v>714</v>
      </c>
      <c r="M71" s="29"/>
      <c r="N71" s="29"/>
      <c r="O71" s="29"/>
      <c r="P71" s="29"/>
      <c r="Q71" s="29"/>
      <c r="R71" s="29" t="s">
        <v>326</v>
      </c>
      <c r="S71" s="29"/>
      <c r="T71" s="29"/>
      <c r="U71" s="29"/>
      <c r="V71" s="29"/>
      <c r="W71" s="29" t="s">
        <v>680</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717</v>
      </c>
      <c r="E72" s="29"/>
      <c r="F72" s="29"/>
      <c r="G72" s="29"/>
      <c r="H72" s="29"/>
      <c r="I72" s="29"/>
      <c r="J72" s="29"/>
      <c r="K72" s="29"/>
      <c r="L72" s="29" t="s">
        <v>714</v>
      </c>
      <c r="M72" s="29"/>
      <c r="N72" s="29"/>
      <c r="O72" s="29"/>
      <c r="P72" s="29"/>
      <c r="Q72" s="29"/>
      <c r="R72" s="29" t="s">
        <v>326</v>
      </c>
      <c r="S72" s="29"/>
      <c r="T72" s="29"/>
      <c r="U72" s="29"/>
      <c r="V72" s="29"/>
      <c r="W72" s="29" t="s">
        <v>680</v>
      </c>
      <c r="X72" s="29"/>
      <c r="Y72" s="29"/>
      <c r="Z72" s="29"/>
      <c r="AA72" s="29"/>
      <c r="AB72" s="29"/>
      <c r="AC72" s="29"/>
      <c r="AD72" s="29"/>
      <c r="AE72" s="29"/>
    </row>
    <row r="73" customFormat="false" ht="32.25" hidden="false" customHeight="true" outlineLevel="0" collapsed="false">
      <c r="A73" s="29" t="str">
        <f aca="false">TAKVİM!$B$64</f>
        <v>24-28 Mayıs</v>
      </c>
      <c r="B73" s="29"/>
      <c r="C73" s="29"/>
      <c r="D73" s="29" t="s">
        <v>718</v>
      </c>
      <c r="E73" s="29"/>
      <c r="F73" s="29"/>
      <c r="G73" s="29"/>
      <c r="H73" s="29"/>
      <c r="I73" s="29"/>
      <c r="J73" s="29"/>
      <c r="K73" s="29"/>
      <c r="L73" s="29" t="s">
        <v>719</v>
      </c>
      <c r="M73" s="29"/>
      <c r="N73" s="29"/>
      <c r="O73" s="29"/>
      <c r="P73" s="29"/>
      <c r="Q73" s="29"/>
      <c r="R73" s="29" t="s">
        <v>326</v>
      </c>
      <c r="S73" s="29"/>
      <c r="T73" s="29"/>
      <c r="U73" s="29"/>
      <c r="V73" s="29"/>
      <c r="W73" s="29" t="s">
        <v>680</v>
      </c>
      <c r="X73" s="29"/>
      <c r="Y73" s="29"/>
      <c r="Z73" s="29"/>
      <c r="AA73" s="29"/>
      <c r="AB73" s="29"/>
      <c r="AC73" s="29"/>
      <c r="AD73" s="29"/>
      <c r="AE73" s="29"/>
    </row>
    <row r="74" customFormat="false" ht="32.25" hidden="false" customHeight="true" outlineLevel="0" collapsed="false">
      <c r="A74" s="29" t="str">
        <f aca="false">TAKVİM!$B$65</f>
        <v>31 Mayıs - 04 Haziran</v>
      </c>
      <c r="B74" s="29"/>
      <c r="C74" s="29"/>
      <c r="D74" s="29" t="s">
        <v>720</v>
      </c>
      <c r="E74" s="29"/>
      <c r="F74" s="29"/>
      <c r="G74" s="29"/>
      <c r="H74" s="29"/>
      <c r="I74" s="29"/>
      <c r="J74" s="29"/>
      <c r="K74" s="29"/>
      <c r="L74" s="29" t="s">
        <v>719</v>
      </c>
      <c r="M74" s="29"/>
      <c r="N74" s="29"/>
      <c r="O74" s="29"/>
      <c r="P74" s="29"/>
      <c r="Q74" s="29"/>
      <c r="R74" s="29" t="s">
        <v>326</v>
      </c>
      <c r="S74" s="29"/>
      <c r="T74" s="29"/>
      <c r="U74" s="29"/>
      <c r="V74" s="29"/>
      <c r="W74" s="29" t="s">
        <v>680</v>
      </c>
      <c r="X74" s="29"/>
      <c r="Y74" s="29"/>
      <c r="Z74" s="29"/>
      <c r="AA74" s="29"/>
      <c r="AB74" s="29"/>
      <c r="AC74" s="29"/>
      <c r="AD74" s="29"/>
      <c r="AE74" s="29"/>
    </row>
    <row r="75" customFormat="false" ht="32.25" hidden="false" customHeight="true" outlineLevel="0" collapsed="false">
      <c r="A75" s="29" t="str">
        <f aca="false">TAKVİM!$B$66</f>
        <v>07-11 Haziran</v>
      </c>
      <c r="B75" s="29"/>
      <c r="C75" s="29"/>
      <c r="D75" s="29" t="s">
        <v>721</v>
      </c>
      <c r="E75" s="29"/>
      <c r="F75" s="29"/>
      <c r="G75" s="29"/>
      <c r="H75" s="29"/>
      <c r="I75" s="29"/>
      <c r="J75" s="29"/>
      <c r="K75" s="29"/>
      <c r="L75" s="29" t="s">
        <v>719</v>
      </c>
      <c r="M75" s="29"/>
      <c r="N75" s="29"/>
      <c r="O75" s="29"/>
      <c r="P75" s="29"/>
      <c r="Q75" s="29"/>
      <c r="R75" s="29" t="s">
        <v>326</v>
      </c>
      <c r="S75" s="29"/>
      <c r="T75" s="29"/>
      <c r="U75" s="29"/>
      <c r="V75" s="29"/>
      <c r="W75" s="29" t="s">
        <v>680</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722</v>
      </c>
      <c r="E76" s="29"/>
      <c r="F76" s="29"/>
      <c r="G76" s="29"/>
      <c r="H76" s="29"/>
      <c r="I76" s="29"/>
      <c r="J76" s="29"/>
      <c r="K76" s="29"/>
      <c r="L76" s="29" t="s">
        <v>719</v>
      </c>
      <c r="M76" s="29"/>
      <c r="N76" s="29"/>
      <c r="O76" s="29"/>
      <c r="P76" s="29"/>
      <c r="Q76" s="29"/>
      <c r="R76" s="29" t="s">
        <v>326</v>
      </c>
      <c r="S76" s="29"/>
      <c r="T76" s="29"/>
      <c r="U76" s="29"/>
      <c r="V76" s="29"/>
      <c r="W76" s="29" t="s">
        <v>680</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722</v>
      </c>
      <c r="E77" s="29"/>
      <c r="F77" s="29"/>
      <c r="G77" s="29"/>
      <c r="H77" s="29"/>
      <c r="I77" s="29"/>
      <c r="J77" s="29"/>
      <c r="K77" s="29"/>
      <c r="L77" s="29" t="s">
        <v>719</v>
      </c>
      <c r="M77" s="29"/>
      <c r="N77" s="29"/>
      <c r="O77" s="29"/>
      <c r="P77" s="29"/>
      <c r="Q77" s="29"/>
      <c r="R77" s="29" t="s">
        <v>326</v>
      </c>
      <c r="S77" s="29"/>
      <c r="T77" s="29"/>
      <c r="U77" s="29"/>
      <c r="V77" s="29"/>
      <c r="W77" s="29" t="s">
        <v>680</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723</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105</v>
      </c>
      <c r="H5" s="25"/>
      <c r="I5" s="25"/>
      <c r="J5" s="25"/>
      <c r="K5" s="25"/>
      <c r="L5" s="25"/>
      <c r="M5" s="25"/>
      <c r="N5" s="25"/>
      <c r="O5" s="25"/>
      <c r="P5" s="24" t="s">
        <v>106</v>
      </c>
      <c r="Q5" s="24"/>
      <c r="R5" s="24"/>
      <c r="S5" s="24"/>
      <c r="T5" s="24"/>
      <c r="U5" s="25" t="s">
        <v>677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42.75" hidden="false" customHeight="true" outlineLevel="0" collapsed="false">
      <c r="A38" s="29" t="str">
        <f aca="false">TAKVİM!$B$29</f>
        <v>14-18 Eylül</v>
      </c>
      <c r="B38" s="29"/>
      <c r="C38" s="29"/>
      <c r="D38" s="29" t="s">
        <v>724</v>
      </c>
      <c r="E38" s="29"/>
      <c r="F38" s="29"/>
      <c r="G38" s="29"/>
      <c r="H38" s="29"/>
      <c r="I38" s="29"/>
      <c r="J38" s="29"/>
      <c r="K38" s="29"/>
      <c r="L38" s="29" t="s">
        <v>725</v>
      </c>
      <c r="M38" s="29"/>
      <c r="N38" s="29"/>
      <c r="O38" s="29"/>
      <c r="P38" s="29"/>
      <c r="Q38" s="29"/>
      <c r="R38" s="29" t="s">
        <v>326</v>
      </c>
      <c r="S38" s="29"/>
      <c r="T38" s="29"/>
      <c r="U38" s="29"/>
      <c r="V38" s="29"/>
      <c r="W38" s="29" t="s">
        <v>726</v>
      </c>
      <c r="X38" s="29"/>
      <c r="Y38" s="29"/>
      <c r="Z38" s="29"/>
      <c r="AA38" s="29"/>
      <c r="AB38" s="29"/>
      <c r="AC38" s="29"/>
      <c r="AD38" s="29"/>
      <c r="AE38" s="29"/>
    </row>
    <row r="39" customFormat="false" ht="74.25" hidden="false" customHeight="true" outlineLevel="0" collapsed="false">
      <c r="A39" s="29" t="str">
        <f aca="false">TAKVİM!$B$30</f>
        <v>21-25 Eylül</v>
      </c>
      <c r="B39" s="29"/>
      <c r="C39" s="29"/>
      <c r="D39" s="29" t="s">
        <v>727</v>
      </c>
      <c r="E39" s="29"/>
      <c r="F39" s="29"/>
      <c r="G39" s="29"/>
      <c r="H39" s="29"/>
      <c r="I39" s="29"/>
      <c r="J39" s="29"/>
      <c r="K39" s="29"/>
      <c r="L39" s="29" t="s">
        <v>728</v>
      </c>
      <c r="M39" s="29"/>
      <c r="N39" s="29"/>
      <c r="O39" s="29"/>
      <c r="P39" s="29"/>
      <c r="Q39" s="29"/>
      <c r="R39" s="29" t="s">
        <v>326</v>
      </c>
      <c r="S39" s="29"/>
      <c r="T39" s="29"/>
      <c r="U39" s="29"/>
      <c r="V39" s="29"/>
      <c r="W39" s="29" t="s">
        <v>726</v>
      </c>
      <c r="X39" s="29"/>
      <c r="Y39" s="29"/>
      <c r="Z39" s="29"/>
      <c r="AA39" s="29"/>
      <c r="AB39" s="29"/>
      <c r="AC39" s="29"/>
      <c r="AD39" s="29"/>
      <c r="AE39" s="29"/>
    </row>
    <row r="40" customFormat="false" ht="63.75" hidden="false" customHeight="true" outlineLevel="0" collapsed="false">
      <c r="A40" s="29" t="str">
        <f aca="false">TAKVİM!$B$31</f>
        <v>28 Eylül - 02 Ekim</v>
      </c>
      <c r="B40" s="29"/>
      <c r="C40" s="29"/>
      <c r="D40" s="29" t="s">
        <v>729</v>
      </c>
      <c r="E40" s="29"/>
      <c r="F40" s="29"/>
      <c r="G40" s="29"/>
      <c r="H40" s="29"/>
      <c r="I40" s="29"/>
      <c r="J40" s="29"/>
      <c r="K40" s="29"/>
      <c r="L40" s="29" t="s">
        <v>730</v>
      </c>
      <c r="M40" s="29"/>
      <c r="N40" s="29"/>
      <c r="O40" s="29"/>
      <c r="P40" s="29"/>
      <c r="Q40" s="29"/>
      <c r="R40" s="29" t="s">
        <v>326</v>
      </c>
      <c r="S40" s="29"/>
      <c r="T40" s="29"/>
      <c r="U40" s="29"/>
      <c r="V40" s="29"/>
      <c r="W40" s="29" t="s">
        <v>726</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731</v>
      </c>
      <c r="E41" s="29"/>
      <c r="F41" s="29"/>
      <c r="G41" s="29"/>
      <c r="H41" s="29"/>
      <c r="I41" s="29"/>
      <c r="J41" s="29"/>
      <c r="K41" s="29"/>
      <c r="L41" s="29" t="s">
        <v>732</v>
      </c>
      <c r="M41" s="29"/>
      <c r="N41" s="29"/>
      <c r="O41" s="29"/>
      <c r="P41" s="29"/>
      <c r="Q41" s="29"/>
      <c r="R41" s="29" t="s">
        <v>326</v>
      </c>
      <c r="S41" s="29"/>
      <c r="T41" s="29"/>
      <c r="U41" s="29"/>
      <c r="V41" s="29"/>
      <c r="W41" s="29" t="s">
        <v>726</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733</v>
      </c>
      <c r="E42" s="29"/>
      <c r="F42" s="29"/>
      <c r="G42" s="29"/>
      <c r="H42" s="29"/>
      <c r="I42" s="29"/>
      <c r="J42" s="29"/>
      <c r="K42" s="29"/>
      <c r="L42" s="29" t="s">
        <v>734</v>
      </c>
      <c r="M42" s="29"/>
      <c r="N42" s="29"/>
      <c r="O42" s="29"/>
      <c r="P42" s="29"/>
      <c r="Q42" s="29"/>
      <c r="R42" s="29" t="s">
        <v>326</v>
      </c>
      <c r="S42" s="29"/>
      <c r="T42" s="29"/>
      <c r="U42" s="29"/>
      <c r="V42" s="29"/>
      <c r="W42" s="29" t="s">
        <v>726</v>
      </c>
      <c r="X42" s="29"/>
      <c r="Y42" s="29"/>
      <c r="Z42" s="29"/>
      <c r="AA42" s="29"/>
      <c r="AB42" s="29"/>
      <c r="AC42" s="29"/>
      <c r="AD42" s="29"/>
      <c r="AE42" s="29"/>
    </row>
    <row r="43" customFormat="false" ht="84.75" hidden="false" customHeight="true" outlineLevel="0" collapsed="false">
      <c r="A43" s="29" t="str">
        <f aca="false">TAKVİM!$B$34</f>
        <v>19-23 Ekim</v>
      </c>
      <c r="B43" s="29"/>
      <c r="C43" s="29"/>
      <c r="D43" s="29" t="s">
        <v>735</v>
      </c>
      <c r="E43" s="29"/>
      <c r="F43" s="29"/>
      <c r="G43" s="29"/>
      <c r="H43" s="29"/>
      <c r="I43" s="29"/>
      <c r="J43" s="29"/>
      <c r="K43" s="29"/>
      <c r="L43" s="29" t="s">
        <v>736</v>
      </c>
      <c r="M43" s="29"/>
      <c r="N43" s="29"/>
      <c r="O43" s="29"/>
      <c r="P43" s="29"/>
      <c r="Q43" s="29"/>
      <c r="R43" s="29" t="s">
        <v>326</v>
      </c>
      <c r="S43" s="29"/>
      <c r="T43" s="29"/>
      <c r="U43" s="29"/>
      <c r="V43" s="29"/>
      <c r="W43" s="29" t="s">
        <v>726</v>
      </c>
      <c r="X43" s="29"/>
      <c r="Y43" s="29"/>
      <c r="Z43" s="29"/>
      <c r="AA43" s="29"/>
      <c r="AB43" s="29"/>
      <c r="AC43" s="29"/>
      <c r="AD43" s="29"/>
      <c r="AE43" s="29"/>
    </row>
    <row r="44" customFormat="false" ht="63.75" hidden="false" customHeight="true" outlineLevel="0" collapsed="false">
      <c r="A44" s="29" t="str">
        <f aca="false">TAKVİM!$B$35</f>
        <v>26-30 Ekim</v>
      </c>
      <c r="B44" s="29"/>
      <c r="C44" s="29"/>
      <c r="D44" s="29" t="s">
        <v>737</v>
      </c>
      <c r="E44" s="29"/>
      <c r="F44" s="29"/>
      <c r="G44" s="29"/>
      <c r="H44" s="29"/>
      <c r="I44" s="29"/>
      <c r="J44" s="29"/>
      <c r="K44" s="29"/>
      <c r="L44" s="29" t="s">
        <v>738</v>
      </c>
      <c r="M44" s="29"/>
      <c r="N44" s="29"/>
      <c r="O44" s="29"/>
      <c r="P44" s="29"/>
      <c r="Q44" s="29"/>
      <c r="R44" s="29" t="s">
        <v>326</v>
      </c>
      <c r="S44" s="29"/>
      <c r="T44" s="29"/>
      <c r="U44" s="29"/>
      <c r="V44" s="29"/>
      <c r="W44" s="29" t="s">
        <v>726</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739</v>
      </c>
      <c r="E45" s="29"/>
      <c r="F45" s="29"/>
      <c r="G45" s="29"/>
      <c r="H45" s="29"/>
      <c r="I45" s="29"/>
      <c r="J45" s="29"/>
      <c r="K45" s="29"/>
      <c r="L45" s="29" t="s">
        <v>740</v>
      </c>
      <c r="M45" s="29"/>
      <c r="N45" s="29"/>
      <c r="O45" s="29"/>
      <c r="P45" s="29"/>
      <c r="Q45" s="29"/>
      <c r="R45" s="29" t="s">
        <v>326</v>
      </c>
      <c r="S45" s="29"/>
      <c r="T45" s="29"/>
      <c r="U45" s="29"/>
      <c r="V45" s="29"/>
      <c r="W45" s="29" t="s">
        <v>726</v>
      </c>
      <c r="X45" s="29"/>
      <c r="Y45" s="29"/>
      <c r="Z45" s="29"/>
      <c r="AA45" s="29"/>
      <c r="AB45" s="29"/>
      <c r="AC45" s="29"/>
      <c r="AD45" s="29"/>
      <c r="AE45" s="29"/>
    </row>
    <row r="46" customFormat="false" ht="84.75" hidden="false" customHeight="true" outlineLevel="0" collapsed="false">
      <c r="A46" s="29" t="str">
        <f aca="false">TAKVİM!$B$37</f>
        <v>09-13 Kasım</v>
      </c>
      <c r="B46" s="29"/>
      <c r="C46" s="29"/>
      <c r="D46" s="29" t="s">
        <v>741</v>
      </c>
      <c r="E46" s="29"/>
      <c r="F46" s="29"/>
      <c r="G46" s="29"/>
      <c r="H46" s="29"/>
      <c r="I46" s="29"/>
      <c r="J46" s="29"/>
      <c r="K46" s="29"/>
      <c r="L46" s="29" t="s">
        <v>742</v>
      </c>
      <c r="M46" s="29"/>
      <c r="N46" s="29"/>
      <c r="O46" s="29"/>
      <c r="P46" s="29"/>
      <c r="Q46" s="29"/>
      <c r="R46" s="29" t="s">
        <v>326</v>
      </c>
      <c r="S46" s="29"/>
      <c r="T46" s="29"/>
      <c r="U46" s="29"/>
      <c r="V46" s="29"/>
      <c r="W46" s="29" t="s">
        <v>726</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53.25" hidden="false" customHeight="true" outlineLevel="0" collapsed="false">
      <c r="A48" s="29" t="str">
        <f aca="false">TAKVİM!$B$39</f>
        <v>23-27 Kasım</v>
      </c>
      <c r="B48" s="29"/>
      <c r="C48" s="29"/>
      <c r="D48" s="29" t="s">
        <v>743</v>
      </c>
      <c r="E48" s="29"/>
      <c r="F48" s="29"/>
      <c r="G48" s="29"/>
      <c r="H48" s="29"/>
      <c r="I48" s="29"/>
      <c r="J48" s="29"/>
      <c r="K48" s="29"/>
      <c r="L48" s="29" t="s">
        <v>742</v>
      </c>
      <c r="M48" s="29"/>
      <c r="N48" s="29"/>
      <c r="O48" s="29"/>
      <c r="P48" s="29"/>
      <c r="Q48" s="29"/>
      <c r="R48" s="29" t="s">
        <v>326</v>
      </c>
      <c r="S48" s="29"/>
      <c r="T48" s="29"/>
      <c r="U48" s="29"/>
      <c r="V48" s="29"/>
      <c r="W48" s="29" t="s">
        <v>726</v>
      </c>
      <c r="X48" s="29"/>
      <c r="Y48" s="29"/>
      <c r="Z48" s="29"/>
      <c r="AA48" s="29"/>
      <c r="AB48" s="29"/>
      <c r="AC48" s="29"/>
      <c r="AD48" s="29"/>
      <c r="AE48" s="29"/>
    </row>
    <row r="49" customFormat="false" ht="63.75" hidden="false" customHeight="true" outlineLevel="0" collapsed="false">
      <c r="A49" s="29" t="str">
        <f aca="false">TAKVİM!$B$40</f>
        <v>30 Kasım - 04 Aralık</v>
      </c>
      <c r="B49" s="29"/>
      <c r="C49" s="29"/>
      <c r="D49" s="29" t="s">
        <v>744</v>
      </c>
      <c r="E49" s="29"/>
      <c r="F49" s="29"/>
      <c r="G49" s="29"/>
      <c r="H49" s="29"/>
      <c r="I49" s="29"/>
      <c r="J49" s="29"/>
      <c r="K49" s="29"/>
      <c r="L49" s="29" t="s">
        <v>745</v>
      </c>
      <c r="M49" s="29"/>
      <c r="N49" s="29"/>
      <c r="O49" s="29"/>
      <c r="P49" s="29"/>
      <c r="Q49" s="29"/>
      <c r="R49" s="29" t="s">
        <v>326</v>
      </c>
      <c r="S49" s="29"/>
      <c r="T49" s="29"/>
      <c r="U49" s="29"/>
      <c r="V49" s="29"/>
      <c r="W49" s="29" t="s">
        <v>726</v>
      </c>
      <c r="X49" s="29"/>
      <c r="Y49" s="29"/>
      <c r="Z49" s="29"/>
      <c r="AA49" s="29"/>
      <c r="AB49" s="29"/>
      <c r="AC49" s="29"/>
      <c r="AD49" s="29"/>
      <c r="AE49" s="29"/>
    </row>
    <row r="50" customFormat="false" ht="53.25" hidden="false" customHeight="true" outlineLevel="0" collapsed="false">
      <c r="A50" s="29" t="str">
        <f aca="false">TAKVİM!$B$41</f>
        <v>07-11 Aralık</v>
      </c>
      <c r="B50" s="29"/>
      <c r="C50" s="29"/>
      <c r="D50" s="29" t="s">
        <v>746</v>
      </c>
      <c r="E50" s="29"/>
      <c r="F50" s="29"/>
      <c r="G50" s="29"/>
      <c r="H50" s="29"/>
      <c r="I50" s="29"/>
      <c r="J50" s="29"/>
      <c r="K50" s="29"/>
      <c r="L50" s="29" t="s">
        <v>747</v>
      </c>
      <c r="M50" s="29"/>
      <c r="N50" s="29"/>
      <c r="O50" s="29"/>
      <c r="P50" s="29"/>
      <c r="Q50" s="29"/>
      <c r="R50" s="29" t="s">
        <v>326</v>
      </c>
      <c r="S50" s="29"/>
      <c r="T50" s="29"/>
      <c r="U50" s="29"/>
      <c r="V50" s="29"/>
      <c r="W50" s="29" t="s">
        <v>726</v>
      </c>
      <c r="X50" s="29"/>
      <c r="Y50" s="29"/>
      <c r="Z50" s="29"/>
      <c r="AA50" s="29"/>
      <c r="AB50" s="29"/>
      <c r="AC50" s="29"/>
      <c r="AD50" s="29"/>
      <c r="AE50" s="29"/>
    </row>
    <row r="51" customFormat="false" ht="84.75" hidden="false" customHeight="true" outlineLevel="0" collapsed="false">
      <c r="A51" s="29" t="str">
        <f aca="false">TAKVİM!$B$42</f>
        <v>14-18 Aralık</v>
      </c>
      <c r="B51" s="29"/>
      <c r="C51" s="29"/>
      <c r="D51" s="29" t="s">
        <v>748</v>
      </c>
      <c r="E51" s="29"/>
      <c r="F51" s="29"/>
      <c r="G51" s="29"/>
      <c r="H51" s="29"/>
      <c r="I51" s="29"/>
      <c r="J51" s="29"/>
      <c r="K51" s="29"/>
      <c r="L51" s="29" t="s">
        <v>749</v>
      </c>
      <c r="M51" s="29"/>
      <c r="N51" s="29"/>
      <c r="O51" s="29"/>
      <c r="P51" s="29"/>
      <c r="Q51" s="29"/>
      <c r="R51" s="29" t="s">
        <v>326</v>
      </c>
      <c r="S51" s="29"/>
      <c r="T51" s="29"/>
      <c r="U51" s="29"/>
      <c r="V51" s="29"/>
      <c r="W51" s="29" t="s">
        <v>726</v>
      </c>
      <c r="X51" s="29"/>
      <c r="Y51" s="29"/>
      <c r="Z51" s="29"/>
      <c r="AA51" s="29"/>
      <c r="AB51" s="29"/>
      <c r="AC51" s="29"/>
      <c r="AD51" s="29"/>
      <c r="AE51" s="29"/>
    </row>
    <row r="52" customFormat="false" ht="63.75" hidden="false" customHeight="true" outlineLevel="0" collapsed="false">
      <c r="A52" s="29" t="str">
        <f aca="false">TAKVİM!$B$43</f>
        <v>21-25 Aralık</v>
      </c>
      <c r="B52" s="29"/>
      <c r="C52" s="29"/>
      <c r="D52" s="29" t="s">
        <v>750</v>
      </c>
      <c r="E52" s="29"/>
      <c r="F52" s="29"/>
      <c r="G52" s="29"/>
      <c r="H52" s="29"/>
      <c r="I52" s="29"/>
      <c r="J52" s="29"/>
      <c r="K52" s="29"/>
      <c r="L52" s="29" t="s">
        <v>751</v>
      </c>
      <c r="M52" s="29"/>
      <c r="N52" s="29"/>
      <c r="O52" s="29"/>
      <c r="P52" s="29"/>
      <c r="Q52" s="29"/>
      <c r="R52" s="29" t="s">
        <v>326</v>
      </c>
      <c r="S52" s="29"/>
      <c r="T52" s="29"/>
      <c r="U52" s="29"/>
      <c r="V52" s="29"/>
      <c r="W52" s="29" t="s">
        <v>726</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752</v>
      </c>
      <c r="E53" s="29"/>
      <c r="F53" s="29"/>
      <c r="G53" s="29"/>
      <c r="H53" s="29"/>
      <c r="I53" s="29"/>
      <c r="J53" s="29"/>
      <c r="K53" s="29"/>
      <c r="L53" s="29" t="s">
        <v>753</v>
      </c>
      <c r="M53" s="29"/>
      <c r="N53" s="29"/>
      <c r="O53" s="29"/>
      <c r="P53" s="29"/>
      <c r="Q53" s="29"/>
      <c r="R53" s="29" t="s">
        <v>326</v>
      </c>
      <c r="S53" s="29"/>
      <c r="T53" s="29"/>
      <c r="U53" s="29"/>
      <c r="V53" s="29"/>
      <c r="W53" s="29" t="s">
        <v>726</v>
      </c>
      <c r="X53" s="29"/>
      <c r="Y53" s="29"/>
      <c r="Z53" s="29"/>
      <c r="AA53" s="29"/>
      <c r="AB53" s="29"/>
      <c r="AC53" s="29"/>
      <c r="AD53" s="29"/>
      <c r="AE53" s="29"/>
    </row>
    <row r="54" customFormat="false" ht="95.25" hidden="false" customHeight="true" outlineLevel="0" collapsed="false">
      <c r="A54" s="29" t="str">
        <f aca="false">TAKVİM!$B$45</f>
        <v>04-08 Ocak</v>
      </c>
      <c r="B54" s="29"/>
      <c r="C54" s="29"/>
      <c r="D54" s="29" t="s">
        <v>754</v>
      </c>
      <c r="E54" s="29"/>
      <c r="F54" s="29"/>
      <c r="G54" s="29"/>
      <c r="H54" s="29"/>
      <c r="I54" s="29"/>
      <c r="J54" s="29"/>
      <c r="K54" s="29"/>
      <c r="L54" s="29" t="s">
        <v>755</v>
      </c>
      <c r="M54" s="29"/>
      <c r="N54" s="29"/>
      <c r="O54" s="29"/>
      <c r="P54" s="29"/>
      <c r="Q54" s="29"/>
      <c r="R54" s="29" t="s">
        <v>326</v>
      </c>
      <c r="S54" s="29"/>
      <c r="T54" s="29"/>
      <c r="U54" s="29"/>
      <c r="V54" s="29"/>
      <c r="W54" s="29" t="s">
        <v>726</v>
      </c>
      <c r="X54" s="29"/>
      <c r="Y54" s="29"/>
      <c r="Z54" s="29"/>
      <c r="AA54" s="29"/>
      <c r="AB54" s="29"/>
      <c r="AC54" s="29"/>
      <c r="AD54" s="29"/>
      <c r="AE54" s="29"/>
    </row>
    <row r="55" customFormat="false" ht="84.75" hidden="false" customHeight="true" outlineLevel="0" collapsed="false">
      <c r="A55" s="29" t="str">
        <f aca="false">TAKVİM!$B$46</f>
        <v>11-15 Ocak</v>
      </c>
      <c r="B55" s="29"/>
      <c r="C55" s="29"/>
      <c r="D55" s="29" t="s">
        <v>756</v>
      </c>
      <c r="E55" s="29"/>
      <c r="F55" s="29"/>
      <c r="G55" s="29"/>
      <c r="H55" s="29"/>
      <c r="I55" s="29"/>
      <c r="J55" s="29"/>
      <c r="K55" s="29"/>
      <c r="L55" s="29" t="s">
        <v>757</v>
      </c>
      <c r="M55" s="29"/>
      <c r="N55" s="29"/>
      <c r="O55" s="29"/>
      <c r="P55" s="29"/>
      <c r="Q55" s="29"/>
      <c r="R55" s="29" t="s">
        <v>326</v>
      </c>
      <c r="S55" s="29"/>
      <c r="T55" s="29"/>
      <c r="U55" s="29"/>
      <c r="V55" s="29"/>
      <c r="W55" s="29" t="s">
        <v>726</v>
      </c>
      <c r="X55" s="29"/>
      <c r="Y55" s="29"/>
      <c r="Z55" s="29"/>
      <c r="AA55" s="29"/>
      <c r="AB55" s="29"/>
      <c r="AC55" s="29"/>
      <c r="AD55" s="29"/>
      <c r="AE55" s="29"/>
    </row>
    <row r="56" customFormat="false" ht="63.75" hidden="false" customHeight="true" outlineLevel="0" collapsed="false">
      <c r="A56" s="29" t="str">
        <f aca="false">TAKVİM!$B$47</f>
        <v>18-22 Ocak</v>
      </c>
      <c r="B56" s="29"/>
      <c r="C56" s="29"/>
      <c r="D56" s="29" t="s">
        <v>758</v>
      </c>
      <c r="E56" s="29"/>
      <c r="F56" s="29"/>
      <c r="G56" s="29"/>
      <c r="H56" s="29"/>
      <c r="I56" s="29"/>
      <c r="J56" s="29"/>
      <c r="K56" s="29"/>
      <c r="L56" s="29" t="s">
        <v>759</v>
      </c>
      <c r="M56" s="29"/>
      <c r="N56" s="29"/>
      <c r="O56" s="29"/>
      <c r="P56" s="29"/>
      <c r="Q56" s="29"/>
      <c r="R56" s="29" t="s">
        <v>326</v>
      </c>
      <c r="S56" s="29"/>
      <c r="T56" s="29"/>
      <c r="U56" s="29"/>
      <c r="V56" s="29"/>
      <c r="W56" s="29" t="s">
        <v>726</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95.25" hidden="false" customHeight="true" outlineLevel="0" collapsed="false">
      <c r="A58" s="29" t="str">
        <f aca="false">TAKVİM!$B$49</f>
        <v>08-12 Şubat</v>
      </c>
      <c r="B58" s="29"/>
      <c r="C58" s="29"/>
      <c r="D58" s="29" t="s">
        <v>760</v>
      </c>
      <c r="E58" s="29"/>
      <c r="F58" s="29"/>
      <c r="G58" s="29"/>
      <c r="H58" s="29"/>
      <c r="I58" s="29"/>
      <c r="J58" s="29"/>
      <c r="K58" s="29"/>
      <c r="L58" s="29" t="s">
        <v>761</v>
      </c>
      <c r="M58" s="29"/>
      <c r="N58" s="29"/>
      <c r="O58" s="29"/>
      <c r="P58" s="29"/>
      <c r="Q58" s="29"/>
      <c r="R58" s="29" t="s">
        <v>326</v>
      </c>
      <c r="S58" s="29"/>
      <c r="T58" s="29"/>
      <c r="U58" s="29"/>
      <c r="V58" s="29"/>
      <c r="W58" s="29" t="s">
        <v>726</v>
      </c>
      <c r="X58" s="29"/>
      <c r="Y58" s="29"/>
      <c r="Z58" s="29"/>
      <c r="AA58" s="29"/>
      <c r="AB58" s="29"/>
      <c r="AC58" s="29"/>
      <c r="AD58" s="29"/>
      <c r="AE58" s="29"/>
    </row>
    <row r="59" customFormat="false" ht="42.75" hidden="false" customHeight="true" outlineLevel="0" collapsed="false">
      <c r="A59" s="29" t="str">
        <f aca="false">TAKVİM!$B$50</f>
        <v>15-19 Şubat</v>
      </c>
      <c r="B59" s="29"/>
      <c r="C59" s="29"/>
      <c r="D59" s="29" t="s">
        <v>762</v>
      </c>
      <c r="E59" s="29"/>
      <c r="F59" s="29"/>
      <c r="G59" s="29"/>
      <c r="H59" s="29"/>
      <c r="I59" s="29"/>
      <c r="J59" s="29"/>
      <c r="K59" s="29"/>
      <c r="L59" s="29" t="s">
        <v>761</v>
      </c>
      <c r="M59" s="29"/>
      <c r="N59" s="29"/>
      <c r="O59" s="29"/>
      <c r="P59" s="29"/>
      <c r="Q59" s="29"/>
      <c r="R59" s="29" t="s">
        <v>326</v>
      </c>
      <c r="S59" s="29"/>
      <c r="T59" s="29"/>
      <c r="U59" s="29"/>
      <c r="V59" s="29"/>
      <c r="W59" s="29" t="s">
        <v>726</v>
      </c>
      <c r="X59" s="29"/>
      <c r="Y59" s="29"/>
      <c r="Z59" s="29"/>
      <c r="AA59" s="29"/>
      <c r="AB59" s="29"/>
      <c r="AC59" s="29"/>
      <c r="AD59" s="29"/>
      <c r="AE59" s="29"/>
    </row>
    <row r="60" customFormat="false" ht="63.75" hidden="false" customHeight="true" outlineLevel="0" collapsed="false">
      <c r="A60" s="29" t="str">
        <f aca="false">TAKVİM!$B$51</f>
        <v>22-26 Şubat</v>
      </c>
      <c r="B60" s="29"/>
      <c r="C60" s="29"/>
      <c r="D60" s="29" t="s">
        <v>763</v>
      </c>
      <c r="E60" s="29"/>
      <c r="F60" s="29"/>
      <c r="G60" s="29"/>
      <c r="H60" s="29"/>
      <c r="I60" s="29"/>
      <c r="J60" s="29"/>
      <c r="K60" s="29"/>
      <c r="L60" s="29" t="s">
        <v>764</v>
      </c>
      <c r="M60" s="29"/>
      <c r="N60" s="29"/>
      <c r="O60" s="29"/>
      <c r="P60" s="29"/>
      <c r="Q60" s="29"/>
      <c r="R60" s="29" t="s">
        <v>326</v>
      </c>
      <c r="S60" s="29"/>
      <c r="T60" s="29"/>
      <c r="U60" s="29"/>
      <c r="V60" s="29"/>
      <c r="W60" s="29" t="s">
        <v>726</v>
      </c>
      <c r="X60" s="29"/>
      <c r="Y60" s="29"/>
      <c r="Z60" s="29"/>
      <c r="AA60" s="29"/>
      <c r="AB60" s="29"/>
      <c r="AC60" s="29"/>
      <c r="AD60" s="29"/>
      <c r="AE60" s="29"/>
    </row>
    <row r="61" customFormat="false" ht="74.25" hidden="false" customHeight="true" outlineLevel="0" collapsed="false">
      <c r="A61" s="29" t="str">
        <f aca="false">TAKVİM!$B$52</f>
        <v>01-05 Mart</v>
      </c>
      <c r="B61" s="29"/>
      <c r="C61" s="29"/>
      <c r="D61" s="29" t="s">
        <v>765</v>
      </c>
      <c r="E61" s="29"/>
      <c r="F61" s="29"/>
      <c r="G61" s="29"/>
      <c r="H61" s="29"/>
      <c r="I61" s="29"/>
      <c r="J61" s="29"/>
      <c r="K61" s="29"/>
      <c r="L61" s="29" t="s">
        <v>766</v>
      </c>
      <c r="M61" s="29"/>
      <c r="N61" s="29"/>
      <c r="O61" s="29"/>
      <c r="P61" s="29"/>
      <c r="Q61" s="29"/>
      <c r="R61" s="29" t="s">
        <v>326</v>
      </c>
      <c r="S61" s="29"/>
      <c r="T61" s="29"/>
      <c r="U61" s="29"/>
      <c r="V61" s="29"/>
      <c r="W61" s="29" t="s">
        <v>726</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74.25" hidden="false" customHeight="true" outlineLevel="0" collapsed="false">
      <c r="A63" s="29" t="str">
        <f aca="false">TAKVİM!$B$54</f>
        <v>15-19 Mart</v>
      </c>
      <c r="B63" s="29"/>
      <c r="C63" s="29"/>
      <c r="D63" s="29" t="s">
        <v>767</v>
      </c>
      <c r="E63" s="29"/>
      <c r="F63" s="29"/>
      <c r="G63" s="29"/>
      <c r="H63" s="29"/>
      <c r="I63" s="29"/>
      <c r="J63" s="29"/>
      <c r="K63" s="29"/>
      <c r="L63" s="29" t="s">
        <v>766</v>
      </c>
      <c r="M63" s="29"/>
      <c r="N63" s="29"/>
      <c r="O63" s="29"/>
      <c r="P63" s="29"/>
      <c r="Q63" s="29"/>
      <c r="R63" s="29" t="s">
        <v>326</v>
      </c>
      <c r="S63" s="29"/>
      <c r="T63" s="29"/>
      <c r="U63" s="29"/>
      <c r="V63" s="29"/>
      <c r="W63" s="29" t="s">
        <v>726</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768</v>
      </c>
      <c r="E64" s="29"/>
      <c r="F64" s="29"/>
      <c r="G64" s="29"/>
      <c r="H64" s="29"/>
      <c r="I64" s="29"/>
      <c r="J64" s="29"/>
      <c r="K64" s="29"/>
      <c r="L64" s="29" t="s">
        <v>766</v>
      </c>
      <c r="M64" s="29"/>
      <c r="N64" s="29"/>
      <c r="O64" s="29"/>
      <c r="P64" s="29"/>
      <c r="Q64" s="29"/>
      <c r="R64" s="29" t="s">
        <v>326</v>
      </c>
      <c r="S64" s="29"/>
      <c r="T64" s="29"/>
      <c r="U64" s="29"/>
      <c r="V64" s="29"/>
      <c r="W64" s="29" t="s">
        <v>726</v>
      </c>
      <c r="X64" s="29"/>
      <c r="Y64" s="29"/>
      <c r="Z64" s="29"/>
      <c r="AA64" s="29"/>
      <c r="AB64" s="29"/>
      <c r="AC64" s="29"/>
      <c r="AD64" s="29"/>
      <c r="AE64" s="29"/>
    </row>
    <row r="65" customFormat="false" ht="53.25" hidden="false" customHeight="true" outlineLevel="0" collapsed="false">
      <c r="A65" s="29" t="str">
        <f aca="false">TAKVİM!$B$56</f>
        <v>29 Mart - 02 Nisan</v>
      </c>
      <c r="B65" s="29"/>
      <c r="C65" s="29"/>
      <c r="D65" s="29" t="s">
        <v>769</v>
      </c>
      <c r="E65" s="29"/>
      <c r="F65" s="29"/>
      <c r="G65" s="29"/>
      <c r="H65" s="29"/>
      <c r="I65" s="29"/>
      <c r="J65" s="29"/>
      <c r="K65" s="29"/>
      <c r="L65" s="29" t="s">
        <v>766</v>
      </c>
      <c r="M65" s="29"/>
      <c r="N65" s="29"/>
      <c r="O65" s="29"/>
      <c r="P65" s="29"/>
      <c r="Q65" s="29"/>
      <c r="R65" s="29" t="s">
        <v>326</v>
      </c>
      <c r="S65" s="29"/>
      <c r="T65" s="29"/>
      <c r="U65" s="29"/>
      <c r="V65" s="29"/>
      <c r="W65" s="29" t="s">
        <v>726</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770</v>
      </c>
      <c r="E66" s="29"/>
      <c r="F66" s="29"/>
      <c r="G66" s="29"/>
      <c r="H66" s="29"/>
      <c r="I66" s="29"/>
      <c r="J66" s="29"/>
      <c r="K66" s="29"/>
      <c r="L66" s="29" t="s">
        <v>771</v>
      </c>
      <c r="M66" s="29"/>
      <c r="N66" s="29"/>
      <c r="O66" s="29"/>
      <c r="P66" s="29"/>
      <c r="Q66" s="29"/>
      <c r="R66" s="29" t="s">
        <v>326</v>
      </c>
      <c r="S66" s="29"/>
      <c r="T66" s="29"/>
      <c r="U66" s="29"/>
      <c r="V66" s="29"/>
      <c r="W66" s="29" t="s">
        <v>726</v>
      </c>
      <c r="X66" s="29"/>
      <c r="Y66" s="29"/>
      <c r="Z66" s="29"/>
      <c r="AA66" s="29"/>
      <c r="AB66" s="29"/>
      <c r="AC66" s="29"/>
      <c r="AD66" s="29"/>
      <c r="AE66" s="29"/>
    </row>
    <row r="67" customFormat="false" ht="126.75" hidden="false" customHeight="true" outlineLevel="0" collapsed="false">
      <c r="A67" s="29" t="str">
        <f aca="false">TAKVİM!$B$58</f>
        <v>12-16 Nisan</v>
      </c>
      <c r="B67" s="29"/>
      <c r="C67" s="29"/>
      <c r="D67" s="29" t="s">
        <v>772</v>
      </c>
      <c r="E67" s="29"/>
      <c r="F67" s="29"/>
      <c r="G67" s="29"/>
      <c r="H67" s="29"/>
      <c r="I67" s="29"/>
      <c r="J67" s="29"/>
      <c r="K67" s="29"/>
      <c r="L67" s="29" t="s">
        <v>773</v>
      </c>
      <c r="M67" s="29"/>
      <c r="N67" s="29"/>
      <c r="O67" s="29"/>
      <c r="P67" s="29"/>
      <c r="Q67" s="29"/>
      <c r="R67" s="29" t="s">
        <v>326</v>
      </c>
      <c r="S67" s="29"/>
      <c r="T67" s="29"/>
      <c r="U67" s="29"/>
      <c r="V67" s="29"/>
      <c r="W67" s="29" t="s">
        <v>726</v>
      </c>
      <c r="X67" s="29"/>
      <c r="Y67" s="29"/>
      <c r="Z67" s="29"/>
      <c r="AA67" s="29"/>
      <c r="AB67" s="29"/>
      <c r="AC67" s="29"/>
      <c r="AD67" s="29"/>
      <c r="AE67" s="29"/>
    </row>
    <row r="68" customFormat="false" ht="42.75" hidden="false" customHeight="true" outlineLevel="0" collapsed="false">
      <c r="A68" s="29" t="str">
        <f aca="false">TAKVİM!$B$59</f>
        <v>19-23 Nisan</v>
      </c>
      <c r="B68" s="29"/>
      <c r="C68" s="29"/>
      <c r="D68" s="29" t="s">
        <v>774</v>
      </c>
      <c r="E68" s="29"/>
      <c r="F68" s="29"/>
      <c r="G68" s="29"/>
      <c r="H68" s="29"/>
      <c r="I68" s="29"/>
      <c r="J68" s="29"/>
      <c r="K68" s="29"/>
      <c r="L68" s="29" t="s">
        <v>773</v>
      </c>
      <c r="M68" s="29"/>
      <c r="N68" s="29"/>
      <c r="O68" s="29"/>
      <c r="P68" s="29"/>
      <c r="Q68" s="29"/>
      <c r="R68" s="29" t="s">
        <v>326</v>
      </c>
      <c r="S68" s="29"/>
      <c r="T68" s="29"/>
      <c r="U68" s="29"/>
      <c r="V68" s="29"/>
      <c r="W68" s="29" t="s">
        <v>726</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775</v>
      </c>
      <c r="E69" s="29"/>
      <c r="F69" s="29"/>
      <c r="G69" s="29"/>
      <c r="H69" s="29"/>
      <c r="I69" s="29"/>
      <c r="J69" s="29"/>
      <c r="K69" s="29"/>
      <c r="L69" s="29" t="s">
        <v>776</v>
      </c>
      <c r="M69" s="29"/>
      <c r="N69" s="29"/>
      <c r="O69" s="29"/>
      <c r="P69" s="29"/>
      <c r="Q69" s="29"/>
      <c r="R69" s="29" t="s">
        <v>326</v>
      </c>
      <c r="S69" s="29"/>
      <c r="T69" s="29"/>
      <c r="U69" s="29"/>
      <c r="V69" s="29"/>
      <c r="W69" s="29" t="s">
        <v>726</v>
      </c>
      <c r="X69" s="29"/>
      <c r="Y69" s="29"/>
      <c r="Z69" s="29"/>
      <c r="AA69" s="29"/>
      <c r="AB69" s="29"/>
      <c r="AC69" s="29"/>
      <c r="AD69" s="29"/>
      <c r="AE69" s="29"/>
    </row>
    <row r="70" customFormat="false" ht="42.75" hidden="false" customHeight="true" outlineLevel="0" collapsed="false">
      <c r="A70" s="29" t="str">
        <f aca="false">TAKVİM!$B$61</f>
        <v>03-07 Mayıs</v>
      </c>
      <c r="B70" s="29"/>
      <c r="C70" s="29"/>
      <c r="D70" s="29" t="s">
        <v>777</v>
      </c>
      <c r="E70" s="29"/>
      <c r="F70" s="29"/>
      <c r="G70" s="29"/>
      <c r="H70" s="29"/>
      <c r="I70" s="29"/>
      <c r="J70" s="29"/>
      <c r="K70" s="29"/>
      <c r="L70" s="29" t="s">
        <v>776</v>
      </c>
      <c r="M70" s="29"/>
      <c r="N70" s="29"/>
      <c r="O70" s="29"/>
      <c r="P70" s="29"/>
      <c r="Q70" s="29"/>
      <c r="R70" s="29" t="s">
        <v>326</v>
      </c>
      <c r="S70" s="29"/>
      <c r="T70" s="29"/>
      <c r="U70" s="29"/>
      <c r="V70" s="29"/>
      <c r="W70" s="29" t="s">
        <v>726</v>
      </c>
      <c r="X70" s="29"/>
      <c r="Y70" s="29"/>
      <c r="Z70" s="29"/>
      <c r="AA70" s="29"/>
      <c r="AB70" s="29"/>
      <c r="AC70" s="29"/>
      <c r="AD70" s="29"/>
      <c r="AE70" s="29"/>
    </row>
    <row r="71" customFormat="false" ht="53.25" hidden="false" customHeight="true" outlineLevel="0" collapsed="false">
      <c r="A71" s="29" t="str">
        <f aca="false">TAKVİM!$B$62</f>
        <v>10-14 Mayıs</v>
      </c>
      <c r="B71" s="29"/>
      <c r="C71" s="29"/>
      <c r="D71" s="29" t="s">
        <v>778</v>
      </c>
      <c r="E71" s="29"/>
      <c r="F71" s="29"/>
      <c r="G71" s="29"/>
      <c r="H71" s="29"/>
      <c r="I71" s="29"/>
      <c r="J71" s="29"/>
      <c r="K71" s="29"/>
      <c r="L71" s="29" t="s">
        <v>776</v>
      </c>
      <c r="M71" s="29"/>
      <c r="N71" s="29"/>
      <c r="O71" s="29"/>
      <c r="P71" s="29"/>
      <c r="Q71" s="29"/>
      <c r="R71" s="29" t="s">
        <v>326</v>
      </c>
      <c r="S71" s="29"/>
      <c r="T71" s="29"/>
      <c r="U71" s="29"/>
      <c r="V71" s="29"/>
      <c r="W71" s="29" t="s">
        <v>726</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779</v>
      </c>
      <c r="E72" s="29"/>
      <c r="F72" s="29"/>
      <c r="G72" s="29"/>
      <c r="H72" s="29"/>
      <c r="I72" s="29"/>
      <c r="J72" s="29"/>
      <c r="K72" s="29"/>
      <c r="L72" s="29" t="s">
        <v>780</v>
      </c>
      <c r="M72" s="29"/>
      <c r="N72" s="29"/>
      <c r="O72" s="29"/>
      <c r="P72" s="29"/>
      <c r="Q72" s="29"/>
      <c r="R72" s="29" t="s">
        <v>326</v>
      </c>
      <c r="S72" s="29"/>
      <c r="T72" s="29"/>
      <c r="U72" s="29"/>
      <c r="V72" s="29"/>
      <c r="W72" s="29" t="s">
        <v>726</v>
      </c>
      <c r="X72" s="29"/>
      <c r="Y72" s="29"/>
      <c r="Z72" s="29"/>
      <c r="AA72" s="29"/>
      <c r="AB72" s="29"/>
      <c r="AC72" s="29"/>
      <c r="AD72" s="29"/>
      <c r="AE72" s="29"/>
    </row>
    <row r="73" customFormat="false" ht="42.75" hidden="false" customHeight="true" outlineLevel="0" collapsed="false">
      <c r="A73" s="29" t="str">
        <f aca="false">TAKVİM!$B$64</f>
        <v>24-28 Mayıs</v>
      </c>
      <c r="B73" s="29"/>
      <c r="C73" s="29"/>
      <c r="D73" s="29" t="s">
        <v>781</v>
      </c>
      <c r="E73" s="29"/>
      <c r="F73" s="29"/>
      <c r="G73" s="29"/>
      <c r="H73" s="29"/>
      <c r="I73" s="29"/>
      <c r="J73" s="29"/>
      <c r="K73" s="29"/>
      <c r="L73" s="29" t="s">
        <v>780</v>
      </c>
      <c r="M73" s="29"/>
      <c r="N73" s="29"/>
      <c r="O73" s="29"/>
      <c r="P73" s="29"/>
      <c r="Q73" s="29"/>
      <c r="R73" s="29" t="s">
        <v>326</v>
      </c>
      <c r="S73" s="29"/>
      <c r="T73" s="29"/>
      <c r="U73" s="29"/>
      <c r="V73" s="29"/>
      <c r="W73" s="29" t="s">
        <v>726</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782</v>
      </c>
      <c r="E74" s="29"/>
      <c r="F74" s="29"/>
      <c r="G74" s="29"/>
      <c r="H74" s="29"/>
      <c r="I74" s="29"/>
      <c r="J74" s="29"/>
      <c r="K74" s="29"/>
      <c r="L74" s="29" t="s">
        <v>780</v>
      </c>
      <c r="M74" s="29"/>
      <c r="N74" s="29"/>
      <c r="O74" s="29"/>
      <c r="P74" s="29"/>
      <c r="Q74" s="29"/>
      <c r="R74" s="29" t="s">
        <v>326</v>
      </c>
      <c r="S74" s="29"/>
      <c r="T74" s="29"/>
      <c r="U74" s="29"/>
      <c r="V74" s="29"/>
      <c r="W74" s="29" t="s">
        <v>726</v>
      </c>
      <c r="X74" s="29"/>
      <c r="Y74" s="29"/>
      <c r="Z74" s="29"/>
      <c r="AA74" s="29"/>
      <c r="AB74" s="29"/>
      <c r="AC74" s="29"/>
      <c r="AD74" s="29"/>
      <c r="AE74" s="29"/>
    </row>
    <row r="75" customFormat="false" ht="42.75" hidden="false" customHeight="true" outlineLevel="0" collapsed="false">
      <c r="A75" s="29" t="str">
        <f aca="false">TAKVİM!$B$66</f>
        <v>07-11 Haziran</v>
      </c>
      <c r="B75" s="29"/>
      <c r="C75" s="29"/>
      <c r="D75" s="29" t="s">
        <v>782</v>
      </c>
      <c r="E75" s="29"/>
      <c r="F75" s="29"/>
      <c r="G75" s="29"/>
      <c r="H75" s="29"/>
      <c r="I75" s="29"/>
      <c r="J75" s="29"/>
      <c r="K75" s="29"/>
      <c r="L75" s="29" t="s">
        <v>780</v>
      </c>
      <c r="M75" s="29"/>
      <c r="N75" s="29"/>
      <c r="O75" s="29"/>
      <c r="P75" s="29"/>
      <c r="Q75" s="29"/>
      <c r="R75" s="29" t="s">
        <v>326</v>
      </c>
      <c r="S75" s="29"/>
      <c r="T75" s="29"/>
      <c r="U75" s="29"/>
      <c r="V75" s="29"/>
      <c r="W75" s="29" t="s">
        <v>726</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782</v>
      </c>
      <c r="E76" s="29"/>
      <c r="F76" s="29"/>
      <c r="G76" s="29"/>
      <c r="H76" s="29"/>
      <c r="I76" s="29"/>
      <c r="J76" s="29"/>
      <c r="K76" s="29"/>
      <c r="L76" s="29" t="s">
        <v>780</v>
      </c>
      <c r="M76" s="29"/>
      <c r="N76" s="29"/>
      <c r="O76" s="29"/>
      <c r="P76" s="29"/>
      <c r="Q76" s="29"/>
      <c r="R76" s="29" t="s">
        <v>326</v>
      </c>
      <c r="S76" s="29"/>
      <c r="T76" s="29"/>
      <c r="U76" s="29"/>
      <c r="V76" s="29"/>
      <c r="W76" s="29" t="s">
        <v>726</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782</v>
      </c>
      <c r="E77" s="29"/>
      <c r="F77" s="29"/>
      <c r="G77" s="29"/>
      <c r="H77" s="29"/>
      <c r="I77" s="29"/>
      <c r="J77" s="29"/>
      <c r="K77" s="29"/>
      <c r="L77" s="29" t="s">
        <v>780</v>
      </c>
      <c r="M77" s="29"/>
      <c r="N77" s="29"/>
      <c r="O77" s="29"/>
      <c r="P77" s="29"/>
      <c r="Q77" s="29"/>
      <c r="R77" s="29" t="s">
        <v>326</v>
      </c>
      <c r="S77" s="29"/>
      <c r="T77" s="29"/>
      <c r="U77" s="29"/>
      <c r="V77" s="29"/>
      <c r="W77" s="29" t="s">
        <v>726</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783</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274</v>
      </c>
      <c r="H5" s="25"/>
      <c r="I5" s="25"/>
      <c r="J5" s="25"/>
      <c r="K5" s="25"/>
      <c r="L5" s="25"/>
      <c r="M5" s="25"/>
      <c r="N5" s="25"/>
      <c r="O5" s="25"/>
      <c r="P5" s="24" t="s">
        <v>106</v>
      </c>
      <c r="Q5" s="24"/>
      <c r="R5" s="24"/>
      <c r="S5" s="24"/>
      <c r="T5" s="24"/>
      <c r="U5" s="25" t="s">
        <v>677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42.75" hidden="false" customHeight="true" outlineLevel="0" collapsed="false">
      <c r="A38" s="29" t="str">
        <f aca="false">TAKVİM!$B$29</f>
        <v>14-18 Eylül</v>
      </c>
      <c r="B38" s="29"/>
      <c r="C38" s="29"/>
      <c r="D38" s="29" t="s">
        <v>784</v>
      </c>
      <c r="E38" s="29"/>
      <c r="F38" s="29"/>
      <c r="G38" s="29"/>
      <c r="H38" s="29"/>
      <c r="I38" s="29"/>
      <c r="J38" s="29"/>
      <c r="K38" s="29"/>
      <c r="L38" s="29" t="s">
        <v>785</v>
      </c>
      <c r="M38" s="29"/>
      <c r="N38" s="29"/>
      <c r="O38" s="29"/>
      <c r="P38" s="29"/>
      <c r="Q38" s="29"/>
      <c r="R38" s="29" t="s">
        <v>326</v>
      </c>
      <c r="S38" s="29"/>
      <c r="T38" s="29"/>
      <c r="U38" s="29"/>
      <c r="V38" s="29"/>
      <c r="W38" s="29" t="s">
        <v>786</v>
      </c>
      <c r="X38" s="29"/>
      <c r="Y38" s="29"/>
      <c r="Z38" s="29"/>
      <c r="AA38" s="29"/>
      <c r="AB38" s="29"/>
      <c r="AC38" s="29"/>
      <c r="AD38" s="29"/>
      <c r="AE38" s="29"/>
    </row>
    <row r="39" customFormat="false" ht="42.75" hidden="false" customHeight="true" outlineLevel="0" collapsed="false">
      <c r="A39" s="29" t="str">
        <f aca="false">TAKVİM!$B$30</f>
        <v>21-25 Eylül</v>
      </c>
      <c r="B39" s="29"/>
      <c r="C39" s="29"/>
      <c r="D39" s="29" t="s">
        <v>787</v>
      </c>
      <c r="E39" s="29"/>
      <c r="F39" s="29"/>
      <c r="G39" s="29"/>
      <c r="H39" s="29"/>
      <c r="I39" s="29"/>
      <c r="J39" s="29"/>
      <c r="K39" s="29"/>
      <c r="L39" s="29" t="s">
        <v>788</v>
      </c>
      <c r="M39" s="29"/>
      <c r="N39" s="29"/>
      <c r="O39" s="29"/>
      <c r="P39" s="29"/>
      <c r="Q39" s="29"/>
      <c r="R39" s="29" t="s">
        <v>326</v>
      </c>
      <c r="S39" s="29"/>
      <c r="T39" s="29"/>
      <c r="U39" s="29"/>
      <c r="V39" s="29"/>
      <c r="W39" s="29" t="s">
        <v>786</v>
      </c>
      <c r="X39" s="29"/>
      <c r="Y39" s="29"/>
      <c r="Z39" s="29"/>
      <c r="AA39" s="29"/>
      <c r="AB39" s="29"/>
      <c r="AC39" s="29"/>
      <c r="AD39" s="29"/>
      <c r="AE39" s="29"/>
    </row>
    <row r="40" customFormat="false" ht="42.75" hidden="false" customHeight="true" outlineLevel="0" collapsed="false">
      <c r="A40" s="29" t="str">
        <f aca="false">TAKVİM!$B$31</f>
        <v>28 Eylül - 02 Ekim</v>
      </c>
      <c r="B40" s="29"/>
      <c r="C40" s="29"/>
      <c r="D40" s="29" t="s">
        <v>789</v>
      </c>
      <c r="E40" s="29"/>
      <c r="F40" s="29"/>
      <c r="G40" s="29"/>
      <c r="H40" s="29"/>
      <c r="I40" s="29"/>
      <c r="J40" s="29"/>
      <c r="K40" s="29"/>
      <c r="L40" s="29" t="s">
        <v>788</v>
      </c>
      <c r="M40" s="29"/>
      <c r="N40" s="29"/>
      <c r="O40" s="29"/>
      <c r="P40" s="29"/>
      <c r="Q40" s="29"/>
      <c r="R40" s="29" t="s">
        <v>326</v>
      </c>
      <c r="S40" s="29"/>
      <c r="T40" s="29"/>
      <c r="U40" s="29"/>
      <c r="V40" s="29"/>
      <c r="W40" s="29" t="s">
        <v>786</v>
      </c>
      <c r="X40" s="29"/>
      <c r="Y40" s="29"/>
      <c r="Z40" s="29"/>
      <c r="AA40" s="29"/>
      <c r="AB40" s="29"/>
      <c r="AC40" s="29"/>
      <c r="AD40" s="29"/>
      <c r="AE40" s="29"/>
    </row>
    <row r="41" customFormat="false" ht="42.75" hidden="false" customHeight="true" outlineLevel="0" collapsed="false">
      <c r="A41" s="29" t="str">
        <f aca="false">TAKVİM!$B$32</f>
        <v>05-09 Ekim</v>
      </c>
      <c r="B41" s="29"/>
      <c r="C41" s="29"/>
      <c r="D41" s="29" t="s">
        <v>790</v>
      </c>
      <c r="E41" s="29"/>
      <c r="F41" s="29"/>
      <c r="G41" s="29"/>
      <c r="H41" s="29"/>
      <c r="I41" s="29"/>
      <c r="J41" s="29"/>
      <c r="K41" s="29"/>
      <c r="L41" s="29" t="s">
        <v>788</v>
      </c>
      <c r="M41" s="29"/>
      <c r="N41" s="29"/>
      <c r="O41" s="29"/>
      <c r="P41" s="29"/>
      <c r="Q41" s="29"/>
      <c r="R41" s="29" t="s">
        <v>326</v>
      </c>
      <c r="S41" s="29"/>
      <c r="T41" s="29"/>
      <c r="U41" s="29"/>
      <c r="V41" s="29"/>
      <c r="W41" s="29" t="s">
        <v>786</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791</v>
      </c>
      <c r="E42" s="29"/>
      <c r="F42" s="29"/>
      <c r="G42" s="29"/>
      <c r="H42" s="29"/>
      <c r="I42" s="29"/>
      <c r="J42" s="29"/>
      <c r="K42" s="29"/>
      <c r="L42" s="29" t="s">
        <v>792</v>
      </c>
      <c r="M42" s="29"/>
      <c r="N42" s="29"/>
      <c r="O42" s="29"/>
      <c r="P42" s="29"/>
      <c r="Q42" s="29"/>
      <c r="R42" s="29" t="s">
        <v>326</v>
      </c>
      <c r="S42" s="29"/>
      <c r="T42" s="29"/>
      <c r="U42" s="29"/>
      <c r="V42" s="29"/>
      <c r="W42" s="29" t="s">
        <v>786</v>
      </c>
      <c r="X42" s="29"/>
      <c r="Y42" s="29"/>
      <c r="Z42" s="29"/>
      <c r="AA42" s="29"/>
      <c r="AB42" s="29"/>
      <c r="AC42" s="29"/>
      <c r="AD42" s="29"/>
      <c r="AE42" s="29"/>
    </row>
    <row r="43" customFormat="false" ht="42.75" hidden="false" customHeight="true" outlineLevel="0" collapsed="false">
      <c r="A43" s="29" t="str">
        <f aca="false">TAKVİM!$B$34</f>
        <v>19-23 Ekim</v>
      </c>
      <c r="B43" s="29"/>
      <c r="C43" s="29"/>
      <c r="D43" s="29" t="s">
        <v>793</v>
      </c>
      <c r="E43" s="29"/>
      <c r="F43" s="29"/>
      <c r="G43" s="29"/>
      <c r="H43" s="29"/>
      <c r="I43" s="29"/>
      <c r="J43" s="29"/>
      <c r="K43" s="29"/>
      <c r="L43" s="29" t="s">
        <v>792</v>
      </c>
      <c r="M43" s="29"/>
      <c r="N43" s="29"/>
      <c r="O43" s="29"/>
      <c r="P43" s="29"/>
      <c r="Q43" s="29"/>
      <c r="R43" s="29" t="s">
        <v>326</v>
      </c>
      <c r="S43" s="29"/>
      <c r="T43" s="29"/>
      <c r="U43" s="29"/>
      <c r="V43" s="29"/>
      <c r="W43" s="29" t="s">
        <v>786</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794</v>
      </c>
      <c r="E44" s="29"/>
      <c r="F44" s="29"/>
      <c r="G44" s="29"/>
      <c r="H44" s="29"/>
      <c r="I44" s="29"/>
      <c r="J44" s="29"/>
      <c r="K44" s="29"/>
      <c r="L44" s="29" t="s">
        <v>792</v>
      </c>
      <c r="M44" s="29"/>
      <c r="N44" s="29"/>
      <c r="O44" s="29"/>
      <c r="P44" s="29"/>
      <c r="Q44" s="29"/>
      <c r="R44" s="29" t="s">
        <v>326</v>
      </c>
      <c r="S44" s="29"/>
      <c r="T44" s="29"/>
      <c r="U44" s="29"/>
      <c r="V44" s="29"/>
      <c r="W44" s="29" t="s">
        <v>786</v>
      </c>
      <c r="X44" s="29"/>
      <c r="Y44" s="29"/>
      <c r="Z44" s="29"/>
      <c r="AA44" s="29"/>
      <c r="AB44" s="29"/>
      <c r="AC44" s="29"/>
      <c r="AD44" s="29"/>
      <c r="AE44" s="29"/>
    </row>
    <row r="45" customFormat="false" ht="42.75" hidden="false" customHeight="true" outlineLevel="0" collapsed="false">
      <c r="A45" s="29" t="str">
        <f aca="false">TAKVİM!$B$36</f>
        <v>02-06 Kasım</v>
      </c>
      <c r="B45" s="29"/>
      <c r="C45" s="29"/>
      <c r="D45" s="29" t="s">
        <v>795</v>
      </c>
      <c r="E45" s="29"/>
      <c r="F45" s="29"/>
      <c r="G45" s="29"/>
      <c r="H45" s="29"/>
      <c r="I45" s="29"/>
      <c r="J45" s="29"/>
      <c r="K45" s="29"/>
      <c r="L45" s="29" t="s">
        <v>792</v>
      </c>
      <c r="M45" s="29"/>
      <c r="N45" s="29"/>
      <c r="O45" s="29"/>
      <c r="P45" s="29"/>
      <c r="Q45" s="29"/>
      <c r="R45" s="29" t="s">
        <v>326</v>
      </c>
      <c r="S45" s="29"/>
      <c r="T45" s="29"/>
      <c r="U45" s="29"/>
      <c r="V45" s="29"/>
      <c r="W45" s="29" t="s">
        <v>786</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796</v>
      </c>
      <c r="E46" s="29"/>
      <c r="F46" s="29"/>
      <c r="G46" s="29"/>
      <c r="H46" s="29"/>
      <c r="I46" s="29"/>
      <c r="J46" s="29"/>
      <c r="K46" s="29"/>
      <c r="L46" s="29" t="s">
        <v>797</v>
      </c>
      <c r="M46" s="29"/>
      <c r="N46" s="29"/>
      <c r="O46" s="29"/>
      <c r="P46" s="29"/>
      <c r="Q46" s="29"/>
      <c r="R46" s="29" t="s">
        <v>326</v>
      </c>
      <c r="S46" s="29"/>
      <c r="T46" s="29"/>
      <c r="U46" s="29"/>
      <c r="V46" s="29"/>
      <c r="W46" s="29" t="s">
        <v>786</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798</v>
      </c>
      <c r="E48" s="29"/>
      <c r="F48" s="29"/>
      <c r="G48" s="29"/>
      <c r="H48" s="29"/>
      <c r="I48" s="29"/>
      <c r="J48" s="29"/>
      <c r="K48" s="29"/>
      <c r="L48" s="29" t="s">
        <v>797</v>
      </c>
      <c r="M48" s="29"/>
      <c r="N48" s="29"/>
      <c r="O48" s="29"/>
      <c r="P48" s="29"/>
      <c r="Q48" s="29"/>
      <c r="R48" s="29" t="s">
        <v>326</v>
      </c>
      <c r="S48" s="29"/>
      <c r="T48" s="29"/>
      <c r="U48" s="29"/>
      <c r="V48" s="29"/>
      <c r="W48" s="29" t="s">
        <v>786</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799</v>
      </c>
      <c r="E49" s="29"/>
      <c r="F49" s="29"/>
      <c r="G49" s="29"/>
      <c r="H49" s="29"/>
      <c r="I49" s="29"/>
      <c r="J49" s="29"/>
      <c r="K49" s="29"/>
      <c r="L49" s="29" t="s">
        <v>797</v>
      </c>
      <c r="M49" s="29"/>
      <c r="N49" s="29"/>
      <c r="O49" s="29"/>
      <c r="P49" s="29"/>
      <c r="Q49" s="29"/>
      <c r="R49" s="29" t="s">
        <v>326</v>
      </c>
      <c r="S49" s="29"/>
      <c r="T49" s="29"/>
      <c r="U49" s="29"/>
      <c r="V49" s="29"/>
      <c r="W49" s="29" t="s">
        <v>786</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798</v>
      </c>
      <c r="E50" s="29"/>
      <c r="F50" s="29"/>
      <c r="G50" s="29"/>
      <c r="H50" s="29"/>
      <c r="I50" s="29"/>
      <c r="J50" s="29"/>
      <c r="K50" s="29"/>
      <c r="L50" s="29" t="s">
        <v>797</v>
      </c>
      <c r="M50" s="29"/>
      <c r="N50" s="29"/>
      <c r="O50" s="29"/>
      <c r="P50" s="29"/>
      <c r="Q50" s="29"/>
      <c r="R50" s="29" t="s">
        <v>326</v>
      </c>
      <c r="S50" s="29"/>
      <c r="T50" s="29"/>
      <c r="U50" s="29"/>
      <c r="V50" s="29"/>
      <c r="W50" s="29" t="s">
        <v>786</v>
      </c>
      <c r="X50" s="29"/>
      <c r="Y50" s="29"/>
      <c r="Z50" s="29"/>
      <c r="AA50" s="29"/>
      <c r="AB50" s="29"/>
      <c r="AC50" s="29"/>
      <c r="AD50" s="29"/>
      <c r="AE50" s="29"/>
    </row>
    <row r="51" customFormat="false" ht="42.75" hidden="false" customHeight="true" outlineLevel="0" collapsed="false">
      <c r="A51" s="29" t="str">
        <f aca="false">TAKVİM!$B$42</f>
        <v>14-18 Aralık</v>
      </c>
      <c r="B51" s="29"/>
      <c r="C51" s="29"/>
      <c r="D51" s="29" t="s">
        <v>800</v>
      </c>
      <c r="E51" s="29"/>
      <c r="F51" s="29"/>
      <c r="G51" s="29"/>
      <c r="H51" s="29"/>
      <c r="I51" s="29"/>
      <c r="J51" s="29"/>
      <c r="K51" s="29"/>
      <c r="L51" s="29" t="s">
        <v>801</v>
      </c>
      <c r="M51" s="29"/>
      <c r="N51" s="29"/>
      <c r="O51" s="29"/>
      <c r="P51" s="29"/>
      <c r="Q51" s="29"/>
      <c r="R51" s="29" t="s">
        <v>326</v>
      </c>
      <c r="S51" s="29"/>
      <c r="T51" s="29"/>
      <c r="U51" s="29"/>
      <c r="V51" s="29"/>
      <c r="W51" s="29" t="s">
        <v>786</v>
      </c>
      <c r="X51" s="29"/>
      <c r="Y51" s="29"/>
      <c r="Z51" s="29"/>
      <c r="AA51" s="29"/>
      <c r="AB51" s="29"/>
      <c r="AC51" s="29"/>
      <c r="AD51" s="29"/>
      <c r="AE51" s="29"/>
    </row>
    <row r="52" customFormat="false" ht="42.75" hidden="false" customHeight="true" outlineLevel="0" collapsed="false">
      <c r="A52" s="29" t="str">
        <f aca="false">TAKVİM!$B$43</f>
        <v>21-25 Aralık</v>
      </c>
      <c r="B52" s="29"/>
      <c r="C52" s="29"/>
      <c r="D52" s="29" t="s">
        <v>802</v>
      </c>
      <c r="E52" s="29"/>
      <c r="F52" s="29"/>
      <c r="G52" s="29"/>
      <c r="H52" s="29"/>
      <c r="I52" s="29"/>
      <c r="J52" s="29"/>
      <c r="K52" s="29"/>
      <c r="L52" s="29" t="s">
        <v>803</v>
      </c>
      <c r="M52" s="29"/>
      <c r="N52" s="29"/>
      <c r="O52" s="29"/>
      <c r="P52" s="29"/>
      <c r="Q52" s="29"/>
      <c r="R52" s="29" t="s">
        <v>326</v>
      </c>
      <c r="S52" s="29"/>
      <c r="T52" s="29"/>
      <c r="U52" s="29"/>
      <c r="V52" s="29"/>
      <c r="W52" s="29" t="s">
        <v>786</v>
      </c>
      <c r="X52" s="29"/>
      <c r="Y52" s="29"/>
      <c r="Z52" s="29"/>
      <c r="AA52" s="29"/>
      <c r="AB52" s="29"/>
      <c r="AC52" s="29"/>
      <c r="AD52" s="29"/>
      <c r="AE52" s="29"/>
    </row>
    <row r="53" customFormat="false" ht="42.75" hidden="false" customHeight="true" outlineLevel="0" collapsed="false">
      <c r="A53" s="29" t="str">
        <f aca="false">TAKVİM!$B$44</f>
        <v>28 Aralık - 01 Ocak</v>
      </c>
      <c r="B53" s="29"/>
      <c r="C53" s="29"/>
      <c r="D53" s="29" t="s">
        <v>804</v>
      </c>
      <c r="E53" s="29"/>
      <c r="F53" s="29"/>
      <c r="G53" s="29"/>
      <c r="H53" s="29"/>
      <c r="I53" s="29"/>
      <c r="J53" s="29"/>
      <c r="K53" s="29"/>
      <c r="L53" s="29" t="s">
        <v>803</v>
      </c>
      <c r="M53" s="29"/>
      <c r="N53" s="29"/>
      <c r="O53" s="29"/>
      <c r="P53" s="29"/>
      <c r="Q53" s="29"/>
      <c r="R53" s="29" t="s">
        <v>326</v>
      </c>
      <c r="S53" s="29"/>
      <c r="T53" s="29"/>
      <c r="U53" s="29"/>
      <c r="V53" s="29"/>
      <c r="W53" s="29" t="s">
        <v>786</v>
      </c>
      <c r="X53" s="29"/>
      <c r="Y53" s="29"/>
      <c r="Z53" s="29"/>
      <c r="AA53" s="29"/>
      <c r="AB53" s="29"/>
      <c r="AC53" s="29"/>
      <c r="AD53" s="29"/>
      <c r="AE53" s="29"/>
    </row>
    <row r="54" customFormat="false" ht="42.75" hidden="false" customHeight="true" outlineLevel="0" collapsed="false">
      <c r="A54" s="29" t="str">
        <f aca="false">TAKVİM!$B$45</f>
        <v>04-08 Ocak</v>
      </c>
      <c r="B54" s="29"/>
      <c r="C54" s="29"/>
      <c r="D54" s="29" t="s">
        <v>805</v>
      </c>
      <c r="E54" s="29"/>
      <c r="F54" s="29"/>
      <c r="G54" s="29"/>
      <c r="H54" s="29"/>
      <c r="I54" s="29"/>
      <c r="J54" s="29"/>
      <c r="K54" s="29"/>
      <c r="L54" s="29" t="s">
        <v>803</v>
      </c>
      <c r="M54" s="29"/>
      <c r="N54" s="29"/>
      <c r="O54" s="29"/>
      <c r="P54" s="29"/>
      <c r="Q54" s="29"/>
      <c r="R54" s="29" t="s">
        <v>326</v>
      </c>
      <c r="S54" s="29"/>
      <c r="T54" s="29"/>
      <c r="U54" s="29"/>
      <c r="V54" s="29"/>
      <c r="W54" s="29" t="s">
        <v>786</v>
      </c>
      <c r="X54" s="29"/>
      <c r="Y54" s="29"/>
      <c r="Z54" s="29"/>
      <c r="AA54" s="29"/>
      <c r="AB54" s="29"/>
      <c r="AC54" s="29"/>
      <c r="AD54" s="29"/>
      <c r="AE54" s="29"/>
    </row>
    <row r="55" customFormat="false" ht="42.75" hidden="false" customHeight="true" outlineLevel="0" collapsed="false">
      <c r="A55" s="29" t="str">
        <f aca="false">TAKVİM!$B$46</f>
        <v>11-15 Ocak</v>
      </c>
      <c r="B55" s="29"/>
      <c r="C55" s="29"/>
      <c r="D55" s="29" t="s">
        <v>806</v>
      </c>
      <c r="E55" s="29"/>
      <c r="F55" s="29"/>
      <c r="G55" s="29"/>
      <c r="H55" s="29"/>
      <c r="I55" s="29"/>
      <c r="J55" s="29"/>
      <c r="K55" s="29"/>
      <c r="L55" s="29" t="s">
        <v>807</v>
      </c>
      <c r="M55" s="29"/>
      <c r="N55" s="29"/>
      <c r="O55" s="29"/>
      <c r="P55" s="29"/>
      <c r="Q55" s="29"/>
      <c r="R55" s="29" t="s">
        <v>326</v>
      </c>
      <c r="S55" s="29"/>
      <c r="T55" s="29"/>
      <c r="U55" s="29"/>
      <c r="V55" s="29"/>
      <c r="W55" s="29" t="s">
        <v>786</v>
      </c>
      <c r="X55" s="29"/>
      <c r="Y55" s="29"/>
      <c r="Z55" s="29"/>
      <c r="AA55" s="29"/>
      <c r="AB55" s="29"/>
      <c r="AC55" s="29"/>
      <c r="AD55" s="29"/>
      <c r="AE55" s="29"/>
    </row>
    <row r="56" customFormat="false" ht="42.75" hidden="false" customHeight="true" outlineLevel="0" collapsed="false">
      <c r="A56" s="29" t="str">
        <f aca="false">TAKVİM!$B$47</f>
        <v>18-22 Ocak</v>
      </c>
      <c r="B56" s="29"/>
      <c r="C56" s="29"/>
      <c r="D56" s="29" t="s">
        <v>808</v>
      </c>
      <c r="E56" s="29"/>
      <c r="F56" s="29"/>
      <c r="G56" s="29"/>
      <c r="H56" s="29"/>
      <c r="I56" s="29"/>
      <c r="J56" s="29"/>
      <c r="K56" s="29"/>
      <c r="L56" s="29" t="s">
        <v>807</v>
      </c>
      <c r="M56" s="29"/>
      <c r="N56" s="29"/>
      <c r="O56" s="29"/>
      <c r="P56" s="29"/>
      <c r="Q56" s="29"/>
      <c r="R56" s="29" t="s">
        <v>326</v>
      </c>
      <c r="S56" s="29"/>
      <c r="T56" s="29"/>
      <c r="U56" s="29"/>
      <c r="V56" s="29"/>
      <c r="W56" s="29" t="s">
        <v>786</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42.75" hidden="false" customHeight="true" outlineLevel="0" collapsed="false">
      <c r="A58" s="29" t="str">
        <f aca="false">TAKVİM!$B$49</f>
        <v>08-12 Şubat</v>
      </c>
      <c r="B58" s="29"/>
      <c r="C58" s="29"/>
      <c r="D58" s="29" t="s">
        <v>809</v>
      </c>
      <c r="E58" s="29"/>
      <c r="F58" s="29"/>
      <c r="G58" s="29"/>
      <c r="H58" s="29"/>
      <c r="I58" s="29"/>
      <c r="J58" s="29"/>
      <c r="K58" s="29"/>
      <c r="L58" s="29" t="s">
        <v>807</v>
      </c>
      <c r="M58" s="29"/>
      <c r="N58" s="29"/>
      <c r="O58" s="29"/>
      <c r="P58" s="29"/>
      <c r="Q58" s="29"/>
      <c r="R58" s="29" t="s">
        <v>326</v>
      </c>
      <c r="S58" s="29"/>
      <c r="T58" s="29"/>
      <c r="U58" s="29"/>
      <c r="V58" s="29"/>
      <c r="W58" s="29" t="s">
        <v>786</v>
      </c>
      <c r="X58" s="29"/>
      <c r="Y58" s="29"/>
      <c r="Z58" s="29"/>
      <c r="AA58" s="29"/>
      <c r="AB58" s="29"/>
      <c r="AC58" s="29"/>
      <c r="AD58" s="29"/>
      <c r="AE58" s="29"/>
    </row>
    <row r="59" customFormat="false" ht="42.75" hidden="false" customHeight="true" outlineLevel="0" collapsed="false">
      <c r="A59" s="29" t="str">
        <f aca="false">TAKVİM!$B$50</f>
        <v>15-19 Şubat</v>
      </c>
      <c r="B59" s="29"/>
      <c r="C59" s="29"/>
      <c r="D59" s="29" t="s">
        <v>810</v>
      </c>
      <c r="E59" s="29"/>
      <c r="F59" s="29"/>
      <c r="G59" s="29"/>
      <c r="H59" s="29"/>
      <c r="I59" s="29"/>
      <c r="J59" s="29"/>
      <c r="K59" s="29"/>
      <c r="L59" s="29" t="s">
        <v>807</v>
      </c>
      <c r="M59" s="29"/>
      <c r="N59" s="29"/>
      <c r="O59" s="29"/>
      <c r="P59" s="29"/>
      <c r="Q59" s="29"/>
      <c r="R59" s="29" t="s">
        <v>326</v>
      </c>
      <c r="S59" s="29"/>
      <c r="T59" s="29"/>
      <c r="U59" s="29"/>
      <c r="V59" s="29"/>
      <c r="W59" s="29" t="s">
        <v>786</v>
      </c>
      <c r="X59" s="29"/>
      <c r="Y59" s="29"/>
      <c r="Z59" s="29"/>
      <c r="AA59" s="29"/>
      <c r="AB59" s="29"/>
      <c r="AC59" s="29"/>
      <c r="AD59" s="29"/>
      <c r="AE59" s="29"/>
    </row>
    <row r="60" customFormat="false" ht="42.75" hidden="false" customHeight="true" outlineLevel="0" collapsed="false">
      <c r="A60" s="29" t="str">
        <f aca="false">TAKVİM!$B$51</f>
        <v>22-26 Şubat</v>
      </c>
      <c r="B60" s="29"/>
      <c r="C60" s="29"/>
      <c r="D60" s="29" t="s">
        <v>811</v>
      </c>
      <c r="E60" s="29"/>
      <c r="F60" s="29"/>
      <c r="G60" s="29"/>
      <c r="H60" s="29"/>
      <c r="I60" s="29"/>
      <c r="J60" s="29"/>
      <c r="K60" s="29"/>
      <c r="L60" s="29" t="s">
        <v>812</v>
      </c>
      <c r="M60" s="29"/>
      <c r="N60" s="29"/>
      <c r="O60" s="29"/>
      <c r="P60" s="29"/>
      <c r="Q60" s="29"/>
      <c r="R60" s="29" t="s">
        <v>326</v>
      </c>
      <c r="S60" s="29"/>
      <c r="T60" s="29"/>
      <c r="U60" s="29"/>
      <c r="V60" s="29"/>
      <c r="W60" s="29" t="s">
        <v>786</v>
      </c>
      <c r="X60" s="29"/>
      <c r="Y60" s="29"/>
      <c r="Z60" s="29"/>
      <c r="AA60" s="29"/>
      <c r="AB60" s="29"/>
      <c r="AC60" s="29"/>
      <c r="AD60" s="29"/>
      <c r="AE60" s="29"/>
    </row>
    <row r="61" customFormat="false" ht="42.75" hidden="false" customHeight="true" outlineLevel="0" collapsed="false">
      <c r="A61" s="29" t="str">
        <f aca="false">TAKVİM!$B$52</f>
        <v>01-05 Mart</v>
      </c>
      <c r="B61" s="29"/>
      <c r="C61" s="29"/>
      <c r="D61" s="29" t="s">
        <v>813</v>
      </c>
      <c r="E61" s="29"/>
      <c r="F61" s="29"/>
      <c r="G61" s="29"/>
      <c r="H61" s="29"/>
      <c r="I61" s="29"/>
      <c r="J61" s="29"/>
      <c r="K61" s="29"/>
      <c r="L61" s="29" t="s">
        <v>812</v>
      </c>
      <c r="M61" s="29"/>
      <c r="N61" s="29"/>
      <c r="O61" s="29"/>
      <c r="P61" s="29"/>
      <c r="Q61" s="29"/>
      <c r="R61" s="29" t="s">
        <v>326</v>
      </c>
      <c r="S61" s="29"/>
      <c r="T61" s="29"/>
      <c r="U61" s="29"/>
      <c r="V61" s="29"/>
      <c r="W61" s="29" t="s">
        <v>786</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42.75" hidden="false" customHeight="true" outlineLevel="0" collapsed="false">
      <c r="A63" s="29" t="str">
        <f aca="false">TAKVİM!$B$54</f>
        <v>15-19 Mart</v>
      </c>
      <c r="B63" s="29"/>
      <c r="C63" s="29"/>
      <c r="D63" s="29" t="s">
        <v>814</v>
      </c>
      <c r="E63" s="29"/>
      <c r="F63" s="29"/>
      <c r="G63" s="29"/>
      <c r="H63" s="29"/>
      <c r="I63" s="29"/>
      <c r="J63" s="29"/>
      <c r="K63" s="29"/>
      <c r="L63" s="29" t="s">
        <v>812</v>
      </c>
      <c r="M63" s="29"/>
      <c r="N63" s="29"/>
      <c r="O63" s="29"/>
      <c r="P63" s="29"/>
      <c r="Q63" s="29"/>
      <c r="R63" s="29" t="s">
        <v>326</v>
      </c>
      <c r="S63" s="29"/>
      <c r="T63" s="29"/>
      <c r="U63" s="29"/>
      <c r="V63" s="29"/>
      <c r="W63" s="29" t="s">
        <v>786</v>
      </c>
      <c r="X63" s="29"/>
      <c r="Y63" s="29"/>
      <c r="Z63" s="29"/>
      <c r="AA63" s="29"/>
      <c r="AB63" s="29"/>
      <c r="AC63" s="29"/>
      <c r="AD63" s="29"/>
      <c r="AE63" s="29"/>
    </row>
    <row r="64" customFormat="false" ht="42.75" hidden="false" customHeight="true" outlineLevel="0" collapsed="false">
      <c r="A64" s="29" t="str">
        <f aca="false">TAKVİM!$B$55</f>
        <v>22-26 Mart</v>
      </c>
      <c r="B64" s="29"/>
      <c r="C64" s="29"/>
      <c r="D64" s="29" t="s">
        <v>815</v>
      </c>
      <c r="E64" s="29"/>
      <c r="F64" s="29"/>
      <c r="G64" s="29"/>
      <c r="H64" s="29"/>
      <c r="I64" s="29"/>
      <c r="J64" s="29"/>
      <c r="K64" s="29"/>
      <c r="L64" s="29" t="s">
        <v>812</v>
      </c>
      <c r="M64" s="29"/>
      <c r="N64" s="29"/>
      <c r="O64" s="29"/>
      <c r="P64" s="29"/>
      <c r="Q64" s="29"/>
      <c r="R64" s="29" t="s">
        <v>326</v>
      </c>
      <c r="S64" s="29"/>
      <c r="T64" s="29"/>
      <c r="U64" s="29"/>
      <c r="V64" s="29"/>
      <c r="W64" s="29" t="s">
        <v>786</v>
      </c>
      <c r="X64" s="29"/>
      <c r="Y64" s="29"/>
      <c r="Z64" s="29"/>
      <c r="AA64" s="29"/>
      <c r="AB64" s="29"/>
      <c r="AC64" s="29"/>
      <c r="AD64" s="29"/>
      <c r="AE64" s="29"/>
    </row>
    <row r="65" customFormat="false" ht="63.75" hidden="false" customHeight="true" outlineLevel="0" collapsed="false">
      <c r="A65" s="29" t="str">
        <f aca="false">TAKVİM!$B$56</f>
        <v>29 Mart - 02 Nisan</v>
      </c>
      <c r="B65" s="29"/>
      <c r="C65" s="29"/>
      <c r="D65" s="29" t="s">
        <v>816</v>
      </c>
      <c r="E65" s="29"/>
      <c r="F65" s="29"/>
      <c r="G65" s="29"/>
      <c r="H65" s="29"/>
      <c r="I65" s="29"/>
      <c r="J65" s="29"/>
      <c r="K65" s="29"/>
      <c r="L65" s="29" t="s">
        <v>817</v>
      </c>
      <c r="M65" s="29"/>
      <c r="N65" s="29"/>
      <c r="O65" s="29"/>
      <c r="P65" s="29"/>
      <c r="Q65" s="29"/>
      <c r="R65" s="29" t="s">
        <v>326</v>
      </c>
      <c r="S65" s="29"/>
      <c r="T65" s="29"/>
      <c r="U65" s="29"/>
      <c r="V65" s="29"/>
      <c r="W65" s="29" t="s">
        <v>786</v>
      </c>
      <c r="X65" s="29"/>
      <c r="Y65" s="29"/>
      <c r="Z65" s="29"/>
      <c r="AA65" s="29"/>
      <c r="AB65" s="29"/>
      <c r="AC65" s="29"/>
      <c r="AD65" s="29"/>
      <c r="AE65" s="29"/>
    </row>
    <row r="66" customFormat="false" ht="53.25" hidden="false" customHeight="true" outlineLevel="0" collapsed="false">
      <c r="A66" s="29" t="str">
        <f aca="false">TAKVİM!$B$57</f>
        <v>05-09 Nisan</v>
      </c>
      <c r="B66" s="29"/>
      <c r="C66" s="29"/>
      <c r="D66" s="29" t="s">
        <v>818</v>
      </c>
      <c r="E66" s="29"/>
      <c r="F66" s="29"/>
      <c r="G66" s="29"/>
      <c r="H66" s="29"/>
      <c r="I66" s="29"/>
      <c r="J66" s="29"/>
      <c r="K66" s="29"/>
      <c r="L66" s="29" t="s">
        <v>817</v>
      </c>
      <c r="M66" s="29"/>
      <c r="N66" s="29"/>
      <c r="O66" s="29"/>
      <c r="P66" s="29"/>
      <c r="Q66" s="29"/>
      <c r="R66" s="29" t="s">
        <v>326</v>
      </c>
      <c r="S66" s="29"/>
      <c r="T66" s="29"/>
      <c r="U66" s="29"/>
      <c r="V66" s="29"/>
      <c r="W66" s="29" t="s">
        <v>786</v>
      </c>
      <c r="X66" s="29"/>
      <c r="Y66" s="29"/>
      <c r="Z66" s="29"/>
      <c r="AA66" s="29"/>
      <c r="AB66" s="29"/>
      <c r="AC66" s="29"/>
      <c r="AD66" s="29"/>
      <c r="AE66" s="29"/>
    </row>
    <row r="67" customFormat="false" ht="42.75" hidden="false" customHeight="true" outlineLevel="0" collapsed="false">
      <c r="A67" s="29" t="str">
        <f aca="false">TAKVİM!$B$58</f>
        <v>12-16 Nisan</v>
      </c>
      <c r="B67" s="29"/>
      <c r="C67" s="29"/>
      <c r="D67" s="29" t="s">
        <v>819</v>
      </c>
      <c r="E67" s="29"/>
      <c r="F67" s="29"/>
      <c r="G67" s="29"/>
      <c r="H67" s="29"/>
      <c r="I67" s="29"/>
      <c r="J67" s="29"/>
      <c r="K67" s="29"/>
      <c r="L67" s="29" t="s">
        <v>817</v>
      </c>
      <c r="M67" s="29"/>
      <c r="N67" s="29"/>
      <c r="O67" s="29"/>
      <c r="P67" s="29"/>
      <c r="Q67" s="29"/>
      <c r="R67" s="29" t="s">
        <v>326</v>
      </c>
      <c r="S67" s="29"/>
      <c r="T67" s="29"/>
      <c r="U67" s="29"/>
      <c r="V67" s="29"/>
      <c r="W67" s="29" t="s">
        <v>786</v>
      </c>
      <c r="X67" s="29"/>
      <c r="Y67" s="29"/>
      <c r="Z67" s="29"/>
      <c r="AA67" s="29"/>
      <c r="AB67" s="29"/>
      <c r="AC67" s="29"/>
      <c r="AD67" s="29"/>
      <c r="AE67" s="29"/>
    </row>
    <row r="68" customFormat="false" ht="53.25" hidden="false" customHeight="true" outlineLevel="0" collapsed="false">
      <c r="A68" s="29" t="str">
        <f aca="false">TAKVİM!$B$59</f>
        <v>19-23 Nisan</v>
      </c>
      <c r="B68" s="29"/>
      <c r="C68" s="29"/>
      <c r="D68" s="29" t="s">
        <v>820</v>
      </c>
      <c r="E68" s="29"/>
      <c r="F68" s="29"/>
      <c r="G68" s="29"/>
      <c r="H68" s="29"/>
      <c r="I68" s="29"/>
      <c r="J68" s="29"/>
      <c r="K68" s="29"/>
      <c r="L68" s="29" t="s">
        <v>817</v>
      </c>
      <c r="M68" s="29"/>
      <c r="N68" s="29"/>
      <c r="O68" s="29"/>
      <c r="P68" s="29"/>
      <c r="Q68" s="29"/>
      <c r="R68" s="29" t="s">
        <v>326</v>
      </c>
      <c r="S68" s="29"/>
      <c r="T68" s="29"/>
      <c r="U68" s="29"/>
      <c r="V68" s="29"/>
      <c r="W68" s="29" t="s">
        <v>786</v>
      </c>
      <c r="X68" s="29"/>
      <c r="Y68" s="29"/>
      <c r="Z68" s="29"/>
      <c r="AA68" s="29"/>
      <c r="AB68" s="29"/>
      <c r="AC68" s="29"/>
      <c r="AD68" s="29"/>
      <c r="AE68" s="29"/>
    </row>
    <row r="69" customFormat="false" ht="42.75" hidden="false" customHeight="true" outlineLevel="0" collapsed="false">
      <c r="A69" s="29" t="str">
        <f aca="false">TAKVİM!$B$60</f>
        <v>26-30 Nisan</v>
      </c>
      <c r="B69" s="29"/>
      <c r="C69" s="29"/>
      <c r="D69" s="29" t="s">
        <v>821</v>
      </c>
      <c r="E69" s="29"/>
      <c r="F69" s="29"/>
      <c r="G69" s="29"/>
      <c r="H69" s="29"/>
      <c r="I69" s="29"/>
      <c r="J69" s="29"/>
      <c r="K69" s="29"/>
      <c r="L69" s="29" t="s">
        <v>822</v>
      </c>
      <c r="M69" s="29"/>
      <c r="N69" s="29"/>
      <c r="O69" s="29"/>
      <c r="P69" s="29"/>
      <c r="Q69" s="29"/>
      <c r="R69" s="29" t="s">
        <v>326</v>
      </c>
      <c r="S69" s="29"/>
      <c r="T69" s="29"/>
      <c r="U69" s="29"/>
      <c r="V69" s="29"/>
      <c r="W69" s="29" t="s">
        <v>786</v>
      </c>
      <c r="X69" s="29"/>
      <c r="Y69" s="29"/>
      <c r="Z69" s="29"/>
      <c r="AA69" s="29"/>
      <c r="AB69" s="29"/>
      <c r="AC69" s="29"/>
      <c r="AD69" s="29"/>
      <c r="AE69" s="29"/>
    </row>
    <row r="70" customFormat="false" ht="42.75" hidden="false" customHeight="true" outlineLevel="0" collapsed="false">
      <c r="A70" s="29" t="str">
        <f aca="false">TAKVİM!$B$61</f>
        <v>03-07 Mayıs</v>
      </c>
      <c r="B70" s="29"/>
      <c r="C70" s="29"/>
      <c r="D70" s="29" t="s">
        <v>823</v>
      </c>
      <c r="E70" s="29"/>
      <c r="F70" s="29"/>
      <c r="G70" s="29"/>
      <c r="H70" s="29"/>
      <c r="I70" s="29"/>
      <c r="J70" s="29"/>
      <c r="K70" s="29"/>
      <c r="L70" s="29" t="s">
        <v>822</v>
      </c>
      <c r="M70" s="29"/>
      <c r="N70" s="29"/>
      <c r="O70" s="29"/>
      <c r="P70" s="29"/>
      <c r="Q70" s="29"/>
      <c r="R70" s="29" t="s">
        <v>326</v>
      </c>
      <c r="S70" s="29"/>
      <c r="T70" s="29"/>
      <c r="U70" s="29"/>
      <c r="V70" s="29"/>
      <c r="W70" s="29" t="s">
        <v>786</v>
      </c>
      <c r="X70" s="29"/>
      <c r="Y70" s="29"/>
      <c r="Z70" s="29"/>
      <c r="AA70" s="29"/>
      <c r="AB70" s="29"/>
      <c r="AC70" s="29"/>
      <c r="AD70" s="29"/>
      <c r="AE70" s="29"/>
    </row>
    <row r="71" customFormat="false" ht="63.75" hidden="false" customHeight="true" outlineLevel="0" collapsed="false">
      <c r="A71" s="29" t="str">
        <f aca="false">TAKVİM!$B$62</f>
        <v>10-14 Mayıs</v>
      </c>
      <c r="B71" s="29"/>
      <c r="C71" s="29"/>
      <c r="D71" s="29" t="s">
        <v>824</v>
      </c>
      <c r="E71" s="29"/>
      <c r="F71" s="29"/>
      <c r="G71" s="29"/>
      <c r="H71" s="29"/>
      <c r="I71" s="29"/>
      <c r="J71" s="29"/>
      <c r="K71" s="29"/>
      <c r="L71" s="29" t="s">
        <v>822</v>
      </c>
      <c r="M71" s="29"/>
      <c r="N71" s="29"/>
      <c r="O71" s="29"/>
      <c r="P71" s="29"/>
      <c r="Q71" s="29"/>
      <c r="R71" s="29" t="s">
        <v>326</v>
      </c>
      <c r="S71" s="29"/>
      <c r="T71" s="29"/>
      <c r="U71" s="29"/>
      <c r="V71" s="29"/>
      <c r="W71" s="29" t="s">
        <v>786</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825</v>
      </c>
      <c r="E72" s="29"/>
      <c r="F72" s="29"/>
      <c r="G72" s="29"/>
      <c r="H72" s="29"/>
      <c r="I72" s="29"/>
      <c r="J72" s="29"/>
      <c r="K72" s="29"/>
      <c r="L72" s="29" t="s">
        <v>822</v>
      </c>
      <c r="M72" s="29"/>
      <c r="N72" s="29"/>
      <c r="O72" s="29"/>
      <c r="P72" s="29"/>
      <c r="Q72" s="29"/>
      <c r="R72" s="29" t="s">
        <v>326</v>
      </c>
      <c r="S72" s="29"/>
      <c r="T72" s="29"/>
      <c r="U72" s="29"/>
      <c r="V72" s="29"/>
      <c r="W72" s="29" t="s">
        <v>786</v>
      </c>
      <c r="X72" s="29"/>
      <c r="Y72" s="29"/>
      <c r="Z72" s="29"/>
      <c r="AA72" s="29"/>
      <c r="AB72" s="29"/>
      <c r="AC72" s="29"/>
      <c r="AD72" s="29"/>
      <c r="AE72" s="29"/>
    </row>
    <row r="73" customFormat="false" ht="42.75" hidden="false" customHeight="true" outlineLevel="0" collapsed="false">
      <c r="A73" s="29" t="str">
        <f aca="false">TAKVİM!$B$64</f>
        <v>24-28 Mayıs</v>
      </c>
      <c r="B73" s="29"/>
      <c r="C73" s="29"/>
      <c r="D73" s="29" t="s">
        <v>826</v>
      </c>
      <c r="E73" s="29"/>
      <c r="F73" s="29"/>
      <c r="G73" s="29"/>
      <c r="H73" s="29"/>
      <c r="I73" s="29"/>
      <c r="J73" s="29"/>
      <c r="K73" s="29"/>
      <c r="L73" s="29" t="s">
        <v>822</v>
      </c>
      <c r="M73" s="29"/>
      <c r="N73" s="29"/>
      <c r="O73" s="29"/>
      <c r="P73" s="29"/>
      <c r="Q73" s="29"/>
      <c r="R73" s="29" t="s">
        <v>326</v>
      </c>
      <c r="S73" s="29"/>
      <c r="T73" s="29"/>
      <c r="U73" s="29"/>
      <c r="V73" s="29"/>
      <c r="W73" s="29" t="s">
        <v>786</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825</v>
      </c>
      <c r="E74" s="29"/>
      <c r="F74" s="29"/>
      <c r="G74" s="29"/>
      <c r="H74" s="29"/>
      <c r="I74" s="29"/>
      <c r="J74" s="29"/>
      <c r="K74" s="29"/>
      <c r="L74" s="29" t="s">
        <v>822</v>
      </c>
      <c r="M74" s="29"/>
      <c r="N74" s="29"/>
      <c r="O74" s="29"/>
      <c r="P74" s="29"/>
      <c r="Q74" s="29"/>
      <c r="R74" s="29" t="s">
        <v>326</v>
      </c>
      <c r="S74" s="29"/>
      <c r="T74" s="29"/>
      <c r="U74" s="29"/>
      <c r="V74" s="29"/>
      <c r="W74" s="29" t="s">
        <v>786</v>
      </c>
      <c r="X74" s="29"/>
      <c r="Y74" s="29"/>
      <c r="Z74" s="29"/>
      <c r="AA74" s="29"/>
      <c r="AB74" s="29"/>
      <c r="AC74" s="29"/>
      <c r="AD74" s="29"/>
      <c r="AE74" s="29"/>
    </row>
    <row r="75" customFormat="false" ht="42.75" hidden="false" customHeight="true" outlineLevel="0" collapsed="false">
      <c r="A75" s="29" t="str">
        <f aca="false">TAKVİM!$B$66</f>
        <v>07-11 Haziran</v>
      </c>
      <c r="B75" s="29"/>
      <c r="C75" s="29"/>
      <c r="D75" s="29" t="s">
        <v>827</v>
      </c>
      <c r="E75" s="29"/>
      <c r="F75" s="29"/>
      <c r="G75" s="29"/>
      <c r="H75" s="29"/>
      <c r="I75" s="29"/>
      <c r="J75" s="29"/>
      <c r="K75" s="29"/>
      <c r="L75" s="29" t="s">
        <v>822</v>
      </c>
      <c r="M75" s="29"/>
      <c r="N75" s="29"/>
      <c r="O75" s="29"/>
      <c r="P75" s="29"/>
      <c r="Q75" s="29"/>
      <c r="R75" s="29" t="s">
        <v>326</v>
      </c>
      <c r="S75" s="29"/>
      <c r="T75" s="29"/>
      <c r="U75" s="29"/>
      <c r="V75" s="29"/>
      <c r="W75" s="29" t="s">
        <v>786</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827</v>
      </c>
      <c r="E76" s="29"/>
      <c r="F76" s="29"/>
      <c r="G76" s="29"/>
      <c r="H76" s="29"/>
      <c r="I76" s="29"/>
      <c r="J76" s="29"/>
      <c r="K76" s="29"/>
      <c r="L76" s="29" t="s">
        <v>822</v>
      </c>
      <c r="M76" s="29"/>
      <c r="N76" s="29"/>
      <c r="O76" s="29"/>
      <c r="P76" s="29"/>
      <c r="Q76" s="29"/>
      <c r="R76" s="29" t="s">
        <v>326</v>
      </c>
      <c r="S76" s="29"/>
      <c r="T76" s="29"/>
      <c r="U76" s="29"/>
      <c r="V76" s="29"/>
      <c r="W76" s="29" t="s">
        <v>786</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827</v>
      </c>
      <c r="E77" s="29"/>
      <c r="F77" s="29"/>
      <c r="G77" s="29"/>
      <c r="H77" s="29"/>
      <c r="I77" s="29"/>
      <c r="J77" s="29"/>
      <c r="K77" s="29"/>
      <c r="L77" s="29" t="s">
        <v>822</v>
      </c>
      <c r="M77" s="29"/>
      <c r="N77" s="29"/>
      <c r="O77" s="29"/>
      <c r="P77" s="29"/>
      <c r="Q77" s="29"/>
      <c r="R77" s="29" t="s">
        <v>326</v>
      </c>
      <c r="S77" s="29"/>
      <c r="T77" s="29"/>
      <c r="U77" s="29"/>
      <c r="V77" s="29"/>
      <c r="W77" s="29" t="s">
        <v>786</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828</v>
      </c>
      <c r="H4" s="25"/>
      <c r="I4" s="25"/>
      <c r="J4" s="25"/>
      <c r="K4" s="25"/>
      <c r="L4" s="25"/>
      <c r="M4" s="25"/>
      <c r="N4" s="25"/>
      <c r="O4" s="25"/>
      <c r="P4" s="24" t="s">
        <v>102</v>
      </c>
      <c r="Q4" s="24"/>
      <c r="R4" s="24"/>
      <c r="S4" s="24"/>
      <c r="T4" s="24"/>
      <c r="U4" s="25" t="s">
        <v>322</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105</v>
      </c>
      <c r="H5" s="25"/>
      <c r="I5" s="25"/>
      <c r="J5" s="25"/>
      <c r="K5" s="25"/>
      <c r="L5" s="25"/>
      <c r="M5" s="25"/>
      <c r="N5" s="25"/>
      <c r="O5" s="25"/>
      <c r="P5" s="24" t="s">
        <v>106</v>
      </c>
      <c r="Q5" s="24"/>
      <c r="R5" s="24"/>
      <c r="S5" s="24"/>
      <c r="T5" s="24"/>
      <c r="U5" s="25" t="s">
        <v>677</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63.75" hidden="false" customHeight="true" outlineLevel="0" collapsed="false">
      <c r="A38" s="29" t="str">
        <f aca="false">TAKVİM!$B$29</f>
        <v>14-18 Eylül</v>
      </c>
      <c r="B38" s="29"/>
      <c r="C38" s="29"/>
      <c r="D38" s="29" t="s">
        <v>829</v>
      </c>
      <c r="E38" s="29"/>
      <c r="F38" s="29"/>
      <c r="G38" s="29"/>
      <c r="H38" s="29"/>
      <c r="I38" s="29"/>
      <c r="J38" s="29"/>
      <c r="K38" s="29"/>
      <c r="L38" s="29" t="s">
        <v>830</v>
      </c>
      <c r="M38" s="29"/>
      <c r="N38" s="29"/>
      <c r="O38" s="29"/>
      <c r="P38" s="29"/>
      <c r="Q38" s="29"/>
      <c r="R38" s="29" t="s">
        <v>326</v>
      </c>
      <c r="S38" s="29"/>
      <c r="T38" s="29"/>
      <c r="U38" s="29"/>
      <c r="V38" s="29"/>
      <c r="W38" s="29" t="s">
        <v>831</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832</v>
      </c>
      <c r="E39" s="29"/>
      <c r="F39" s="29"/>
      <c r="G39" s="29"/>
      <c r="H39" s="29"/>
      <c r="I39" s="29"/>
      <c r="J39" s="29"/>
      <c r="K39" s="29"/>
      <c r="L39" s="29" t="s">
        <v>833</v>
      </c>
      <c r="M39" s="29"/>
      <c r="N39" s="29"/>
      <c r="O39" s="29"/>
      <c r="P39" s="29"/>
      <c r="Q39" s="29"/>
      <c r="R39" s="29" t="s">
        <v>326</v>
      </c>
      <c r="S39" s="29"/>
      <c r="T39" s="29"/>
      <c r="U39" s="29"/>
      <c r="V39" s="29"/>
      <c r="W39" s="29" t="s">
        <v>831</v>
      </c>
      <c r="X39" s="29"/>
      <c r="Y39" s="29"/>
      <c r="Z39" s="29"/>
      <c r="AA39" s="29"/>
      <c r="AB39" s="29"/>
      <c r="AC39" s="29"/>
      <c r="AD39" s="29"/>
      <c r="AE39" s="29"/>
    </row>
    <row r="40" customFormat="false" ht="42.75" hidden="false" customHeight="true" outlineLevel="0" collapsed="false">
      <c r="A40" s="29" t="str">
        <f aca="false">TAKVİM!$B$31</f>
        <v>28 Eylül - 02 Ekim</v>
      </c>
      <c r="B40" s="29"/>
      <c r="C40" s="29"/>
      <c r="D40" s="29" t="s">
        <v>834</v>
      </c>
      <c r="E40" s="29"/>
      <c r="F40" s="29"/>
      <c r="G40" s="29"/>
      <c r="H40" s="29"/>
      <c r="I40" s="29"/>
      <c r="J40" s="29"/>
      <c r="K40" s="29"/>
      <c r="L40" s="29" t="s">
        <v>833</v>
      </c>
      <c r="M40" s="29"/>
      <c r="N40" s="29"/>
      <c r="O40" s="29"/>
      <c r="P40" s="29"/>
      <c r="Q40" s="29"/>
      <c r="R40" s="29" t="s">
        <v>326</v>
      </c>
      <c r="S40" s="29"/>
      <c r="T40" s="29"/>
      <c r="U40" s="29"/>
      <c r="V40" s="29"/>
      <c r="W40" s="29" t="s">
        <v>831</v>
      </c>
      <c r="X40" s="29"/>
      <c r="Y40" s="29"/>
      <c r="Z40" s="29"/>
      <c r="AA40" s="29"/>
      <c r="AB40" s="29"/>
      <c r="AC40" s="29"/>
      <c r="AD40" s="29"/>
      <c r="AE40" s="29"/>
    </row>
    <row r="41" customFormat="false" ht="63.75" hidden="false" customHeight="true" outlineLevel="0" collapsed="false">
      <c r="A41" s="29" t="str">
        <f aca="false">TAKVİM!$B$32</f>
        <v>05-09 Ekim</v>
      </c>
      <c r="B41" s="29"/>
      <c r="C41" s="29"/>
      <c r="D41" s="29" t="s">
        <v>835</v>
      </c>
      <c r="E41" s="29"/>
      <c r="F41" s="29"/>
      <c r="G41" s="29"/>
      <c r="H41" s="29"/>
      <c r="I41" s="29"/>
      <c r="J41" s="29"/>
      <c r="K41" s="29"/>
      <c r="L41" s="29" t="s">
        <v>836</v>
      </c>
      <c r="M41" s="29"/>
      <c r="N41" s="29"/>
      <c r="O41" s="29"/>
      <c r="P41" s="29"/>
      <c r="Q41" s="29"/>
      <c r="R41" s="29" t="s">
        <v>326</v>
      </c>
      <c r="S41" s="29"/>
      <c r="T41" s="29"/>
      <c r="U41" s="29"/>
      <c r="V41" s="29"/>
      <c r="W41" s="29" t="s">
        <v>831</v>
      </c>
      <c r="X41" s="29"/>
      <c r="Y41" s="29"/>
      <c r="Z41" s="29"/>
      <c r="AA41" s="29"/>
      <c r="AB41" s="29"/>
      <c r="AC41" s="29"/>
      <c r="AD41" s="29"/>
      <c r="AE41" s="29"/>
    </row>
    <row r="42" customFormat="false" ht="42.75" hidden="false" customHeight="true" outlineLevel="0" collapsed="false">
      <c r="A42" s="29" t="str">
        <f aca="false">TAKVİM!$B$33</f>
        <v>12-16 Ekim</v>
      </c>
      <c r="B42" s="29"/>
      <c r="C42" s="29"/>
      <c r="D42" s="29" t="s">
        <v>837</v>
      </c>
      <c r="E42" s="29"/>
      <c r="F42" s="29"/>
      <c r="G42" s="29"/>
      <c r="H42" s="29"/>
      <c r="I42" s="29"/>
      <c r="J42" s="29"/>
      <c r="K42" s="29"/>
      <c r="L42" s="29" t="s">
        <v>836</v>
      </c>
      <c r="M42" s="29"/>
      <c r="N42" s="29"/>
      <c r="O42" s="29"/>
      <c r="P42" s="29"/>
      <c r="Q42" s="29"/>
      <c r="R42" s="29" t="s">
        <v>326</v>
      </c>
      <c r="S42" s="29"/>
      <c r="T42" s="29"/>
      <c r="U42" s="29"/>
      <c r="V42" s="29"/>
      <c r="W42" s="29" t="s">
        <v>831</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838</v>
      </c>
      <c r="E43" s="29"/>
      <c r="F43" s="29"/>
      <c r="G43" s="29"/>
      <c r="H43" s="29"/>
      <c r="I43" s="29"/>
      <c r="J43" s="29"/>
      <c r="K43" s="29"/>
      <c r="L43" s="29" t="s">
        <v>839</v>
      </c>
      <c r="M43" s="29"/>
      <c r="N43" s="29"/>
      <c r="O43" s="29"/>
      <c r="P43" s="29"/>
      <c r="Q43" s="29"/>
      <c r="R43" s="29" t="s">
        <v>326</v>
      </c>
      <c r="S43" s="29"/>
      <c r="T43" s="29"/>
      <c r="U43" s="29"/>
      <c r="V43" s="29"/>
      <c r="W43" s="29" t="s">
        <v>831</v>
      </c>
      <c r="X43" s="29"/>
      <c r="Y43" s="29"/>
      <c r="Z43" s="29"/>
      <c r="AA43" s="29"/>
      <c r="AB43" s="29"/>
      <c r="AC43" s="29"/>
      <c r="AD43" s="29"/>
      <c r="AE43" s="29"/>
    </row>
    <row r="44" customFormat="false" ht="42.75" hidden="false" customHeight="true" outlineLevel="0" collapsed="false">
      <c r="A44" s="29" t="str">
        <f aca="false">TAKVİM!$B$35</f>
        <v>26-30 Ekim</v>
      </c>
      <c r="B44" s="29"/>
      <c r="C44" s="29"/>
      <c r="D44" s="29" t="s">
        <v>840</v>
      </c>
      <c r="E44" s="29"/>
      <c r="F44" s="29"/>
      <c r="G44" s="29"/>
      <c r="H44" s="29"/>
      <c r="I44" s="29"/>
      <c r="J44" s="29"/>
      <c r="K44" s="29"/>
      <c r="L44" s="29" t="s">
        <v>839</v>
      </c>
      <c r="M44" s="29"/>
      <c r="N44" s="29"/>
      <c r="O44" s="29"/>
      <c r="P44" s="29"/>
      <c r="Q44" s="29"/>
      <c r="R44" s="29" t="s">
        <v>326</v>
      </c>
      <c r="S44" s="29"/>
      <c r="T44" s="29"/>
      <c r="U44" s="29"/>
      <c r="V44" s="29"/>
      <c r="W44" s="29" t="s">
        <v>831</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841</v>
      </c>
      <c r="E45" s="29"/>
      <c r="F45" s="29"/>
      <c r="G45" s="29"/>
      <c r="H45" s="29"/>
      <c r="I45" s="29"/>
      <c r="J45" s="29"/>
      <c r="K45" s="29"/>
      <c r="L45" s="29" t="s">
        <v>842</v>
      </c>
      <c r="M45" s="29"/>
      <c r="N45" s="29"/>
      <c r="O45" s="29"/>
      <c r="P45" s="29"/>
      <c r="Q45" s="29"/>
      <c r="R45" s="29" t="s">
        <v>326</v>
      </c>
      <c r="S45" s="29"/>
      <c r="T45" s="29"/>
      <c r="U45" s="29"/>
      <c r="V45" s="29"/>
      <c r="W45" s="29" t="s">
        <v>831</v>
      </c>
      <c r="X45" s="29"/>
      <c r="Y45" s="29"/>
      <c r="Z45" s="29"/>
      <c r="AA45" s="29"/>
      <c r="AB45" s="29"/>
      <c r="AC45" s="29"/>
      <c r="AD45" s="29"/>
      <c r="AE45" s="29"/>
    </row>
    <row r="46" customFormat="false" ht="53.25" hidden="false" customHeight="true" outlineLevel="0" collapsed="false">
      <c r="A46" s="29" t="str">
        <f aca="false">TAKVİM!$B$37</f>
        <v>09-13 Kasım</v>
      </c>
      <c r="B46" s="29"/>
      <c r="C46" s="29"/>
      <c r="D46" s="29" t="s">
        <v>843</v>
      </c>
      <c r="E46" s="29"/>
      <c r="F46" s="29"/>
      <c r="G46" s="29"/>
      <c r="H46" s="29"/>
      <c r="I46" s="29"/>
      <c r="J46" s="29"/>
      <c r="K46" s="29"/>
      <c r="L46" s="29" t="s">
        <v>842</v>
      </c>
      <c r="M46" s="29"/>
      <c r="N46" s="29"/>
      <c r="O46" s="29"/>
      <c r="P46" s="29"/>
      <c r="Q46" s="29"/>
      <c r="R46" s="29" t="s">
        <v>326</v>
      </c>
      <c r="S46" s="29"/>
      <c r="T46" s="29"/>
      <c r="U46" s="29"/>
      <c r="V46" s="29"/>
      <c r="W46" s="29" t="s">
        <v>831</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844</v>
      </c>
      <c r="E48" s="29"/>
      <c r="F48" s="29"/>
      <c r="G48" s="29"/>
      <c r="H48" s="29"/>
      <c r="I48" s="29"/>
      <c r="J48" s="29"/>
      <c r="K48" s="29"/>
      <c r="L48" s="29" t="s">
        <v>845</v>
      </c>
      <c r="M48" s="29"/>
      <c r="N48" s="29"/>
      <c r="O48" s="29"/>
      <c r="P48" s="29"/>
      <c r="Q48" s="29"/>
      <c r="R48" s="29" t="s">
        <v>326</v>
      </c>
      <c r="S48" s="29"/>
      <c r="T48" s="29"/>
      <c r="U48" s="29"/>
      <c r="V48" s="29"/>
      <c r="W48" s="29" t="s">
        <v>831</v>
      </c>
      <c r="X48" s="29"/>
      <c r="Y48" s="29"/>
      <c r="Z48" s="29"/>
      <c r="AA48" s="29"/>
      <c r="AB48" s="29"/>
      <c r="AC48" s="29"/>
      <c r="AD48" s="29"/>
      <c r="AE48" s="29"/>
    </row>
    <row r="49" customFormat="false" ht="42.75" hidden="false" customHeight="true" outlineLevel="0" collapsed="false">
      <c r="A49" s="29" t="str">
        <f aca="false">TAKVİM!$B$40</f>
        <v>30 Kasım - 04 Aralık</v>
      </c>
      <c r="B49" s="29"/>
      <c r="C49" s="29"/>
      <c r="D49" s="29" t="s">
        <v>846</v>
      </c>
      <c r="E49" s="29"/>
      <c r="F49" s="29"/>
      <c r="G49" s="29"/>
      <c r="H49" s="29"/>
      <c r="I49" s="29"/>
      <c r="J49" s="29"/>
      <c r="K49" s="29"/>
      <c r="L49" s="29" t="s">
        <v>845</v>
      </c>
      <c r="M49" s="29"/>
      <c r="N49" s="29"/>
      <c r="O49" s="29"/>
      <c r="P49" s="29"/>
      <c r="Q49" s="29"/>
      <c r="R49" s="29" t="s">
        <v>326</v>
      </c>
      <c r="S49" s="29"/>
      <c r="T49" s="29"/>
      <c r="U49" s="29"/>
      <c r="V49" s="29"/>
      <c r="W49" s="29" t="s">
        <v>831</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847</v>
      </c>
      <c r="E50" s="29"/>
      <c r="F50" s="29"/>
      <c r="G50" s="29"/>
      <c r="H50" s="29"/>
      <c r="I50" s="29"/>
      <c r="J50" s="29"/>
      <c r="K50" s="29"/>
      <c r="L50" s="29" t="s">
        <v>845</v>
      </c>
      <c r="M50" s="29"/>
      <c r="N50" s="29"/>
      <c r="O50" s="29"/>
      <c r="P50" s="29"/>
      <c r="Q50" s="29"/>
      <c r="R50" s="29" t="s">
        <v>326</v>
      </c>
      <c r="S50" s="29"/>
      <c r="T50" s="29"/>
      <c r="U50" s="29"/>
      <c r="V50" s="29"/>
      <c r="W50" s="29" t="s">
        <v>831</v>
      </c>
      <c r="X50" s="29"/>
      <c r="Y50" s="29"/>
      <c r="Z50" s="29"/>
      <c r="AA50" s="29"/>
      <c r="AB50" s="29"/>
      <c r="AC50" s="29"/>
      <c r="AD50" s="29"/>
      <c r="AE50" s="29"/>
    </row>
    <row r="51" customFormat="false" ht="42.75" hidden="false" customHeight="true" outlineLevel="0" collapsed="false">
      <c r="A51" s="29" t="str">
        <f aca="false">TAKVİM!$B$42</f>
        <v>14-18 Aralık</v>
      </c>
      <c r="B51" s="29"/>
      <c r="C51" s="29"/>
      <c r="D51" s="29" t="s">
        <v>848</v>
      </c>
      <c r="E51" s="29"/>
      <c r="F51" s="29"/>
      <c r="G51" s="29"/>
      <c r="H51" s="29"/>
      <c r="I51" s="29"/>
      <c r="J51" s="29"/>
      <c r="K51" s="29"/>
      <c r="L51" s="29" t="s">
        <v>849</v>
      </c>
      <c r="M51" s="29"/>
      <c r="N51" s="29"/>
      <c r="O51" s="29"/>
      <c r="P51" s="29"/>
      <c r="Q51" s="29"/>
      <c r="R51" s="29" t="s">
        <v>326</v>
      </c>
      <c r="S51" s="29"/>
      <c r="T51" s="29"/>
      <c r="U51" s="29"/>
      <c r="V51" s="29"/>
      <c r="W51" s="29" t="s">
        <v>831</v>
      </c>
      <c r="X51" s="29"/>
      <c r="Y51" s="29"/>
      <c r="Z51" s="29"/>
      <c r="AA51" s="29"/>
      <c r="AB51" s="29"/>
      <c r="AC51" s="29"/>
      <c r="AD51" s="29"/>
      <c r="AE51" s="29"/>
    </row>
    <row r="52" customFormat="false" ht="53.25" hidden="false" customHeight="true" outlineLevel="0" collapsed="false">
      <c r="A52" s="29" t="str">
        <f aca="false">TAKVİM!$B$43</f>
        <v>21-25 Aralık</v>
      </c>
      <c r="B52" s="29"/>
      <c r="C52" s="29"/>
      <c r="D52" s="29" t="s">
        <v>850</v>
      </c>
      <c r="E52" s="29"/>
      <c r="F52" s="29"/>
      <c r="G52" s="29"/>
      <c r="H52" s="29"/>
      <c r="I52" s="29"/>
      <c r="J52" s="29"/>
      <c r="K52" s="29"/>
      <c r="L52" s="29" t="s">
        <v>851</v>
      </c>
      <c r="M52" s="29"/>
      <c r="N52" s="29"/>
      <c r="O52" s="29"/>
      <c r="P52" s="29"/>
      <c r="Q52" s="29"/>
      <c r="R52" s="29" t="s">
        <v>326</v>
      </c>
      <c r="S52" s="29"/>
      <c r="T52" s="29"/>
      <c r="U52" s="29"/>
      <c r="V52" s="29"/>
      <c r="W52" s="29" t="s">
        <v>831</v>
      </c>
      <c r="X52" s="29"/>
      <c r="Y52" s="29"/>
      <c r="Z52" s="29"/>
      <c r="AA52" s="29"/>
      <c r="AB52" s="29"/>
      <c r="AC52" s="29"/>
      <c r="AD52" s="29"/>
      <c r="AE52" s="29"/>
    </row>
    <row r="53" customFormat="false" ht="63.75" hidden="false" customHeight="true" outlineLevel="0" collapsed="false">
      <c r="A53" s="29" t="str">
        <f aca="false">TAKVİM!$B$44</f>
        <v>28 Aralık - 01 Ocak</v>
      </c>
      <c r="B53" s="29"/>
      <c r="C53" s="29"/>
      <c r="D53" s="29" t="s">
        <v>852</v>
      </c>
      <c r="E53" s="29"/>
      <c r="F53" s="29"/>
      <c r="G53" s="29"/>
      <c r="H53" s="29"/>
      <c r="I53" s="29"/>
      <c r="J53" s="29"/>
      <c r="K53" s="29"/>
      <c r="L53" s="29" t="s">
        <v>853</v>
      </c>
      <c r="M53" s="29"/>
      <c r="N53" s="29"/>
      <c r="O53" s="29"/>
      <c r="P53" s="29"/>
      <c r="Q53" s="29"/>
      <c r="R53" s="29" t="s">
        <v>326</v>
      </c>
      <c r="S53" s="29"/>
      <c r="T53" s="29"/>
      <c r="U53" s="29"/>
      <c r="V53" s="29"/>
      <c r="W53" s="29" t="s">
        <v>831</v>
      </c>
      <c r="X53" s="29"/>
      <c r="Y53" s="29"/>
      <c r="Z53" s="29"/>
      <c r="AA53" s="29"/>
      <c r="AB53" s="29"/>
      <c r="AC53" s="29"/>
      <c r="AD53" s="29"/>
      <c r="AE53" s="29"/>
    </row>
    <row r="54" customFormat="false" ht="63.75" hidden="false" customHeight="true" outlineLevel="0" collapsed="false">
      <c r="A54" s="29" t="str">
        <f aca="false">TAKVİM!$B$45</f>
        <v>04-08 Ocak</v>
      </c>
      <c r="B54" s="29"/>
      <c r="C54" s="29"/>
      <c r="D54" s="29" t="s">
        <v>854</v>
      </c>
      <c r="E54" s="29"/>
      <c r="F54" s="29"/>
      <c r="G54" s="29"/>
      <c r="H54" s="29"/>
      <c r="I54" s="29"/>
      <c r="J54" s="29"/>
      <c r="K54" s="29"/>
      <c r="L54" s="29" t="s">
        <v>855</v>
      </c>
      <c r="M54" s="29"/>
      <c r="N54" s="29"/>
      <c r="O54" s="29"/>
      <c r="P54" s="29"/>
      <c r="Q54" s="29"/>
      <c r="R54" s="29" t="s">
        <v>326</v>
      </c>
      <c r="S54" s="29"/>
      <c r="T54" s="29"/>
      <c r="U54" s="29"/>
      <c r="V54" s="29"/>
      <c r="W54" s="29" t="s">
        <v>831</v>
      </c>
      <c r="X54" s="29"/>
      <c r="Y54" s="29"/>
      <c r="Z54" s="29"/>
      <c r="AA54" s="29"/>
      <c r="AB54" s="29"/>
      <c r="AC54" s="29"/>
      <c r="AD54" s="29"/>
      <c r="AE54" s="29"/>
    </row>
    <row r="55" customFormat="false" ht="42.75" hidden="false" customHeight="true" outlineLevel="0" collapsed="false">
      <c r="A55" s="29" t="str">
        <f aca="false">TAKVİM!$B$46</f>
        <v>11-15 Ocak</v>
      </c>
      <c r="B55" s="29"/>
      <c r="C55" s="29"/>
      <c r="D55" s="29" t="s">
        <v>856</v>
      </c>
      <c r="E55" s="29"/>
      <c r="F55" s="29"/>
      <c r="G55" s="29"/>
      <c r="H55" s="29"/>
      <c r="I55" s="29"/>
      <c r="J55" s="29"/>
      <c r="K55" s="29"/>
      <c r="L55" s="29" t="s">
        <v>855</v>
      </c>
      <c r="M55" s="29"/>
      <c r="N55" s="29"/>
      <c r="O55" s="29"/>
      <c r="P55" s="29"/>
      <c r="Q55" s="29"/>
      <c r="R55" s="29" t="s">
        <v>326</v>
      </c>
      <c r="S55" s="29"/>
      <c r="T55" s="29"/>
      <c r="U55" s="29"/>
      <c r="V55" s="29"/>
      <c r="W55" s="29" t="s">
        <v>831</v>
      </c>
      <c r="X55" s="29"/>
      <c r="Y55" s="29"/>
      <c r="Z55" s="29"/>
      <c r="AA55" s="29"/>
      <c r="AB55" s="29"/>
      <c r="AC55" s="29"/>
      <c r="AD55" s="29"/>
      <c r="AE55" s="29"/>
    </row>
    <row r="56" customFormat="false" ht="63.75" hidden="false" customHeight="true" outlineLevel="0" collapsed="false">
      <c r="A56" s="29" t="str">
        <f aca="false">TAKVİM!$B$47</f>
        <v>18-22 Ocak</v>
      </c>
      <c r="B56" s="29"/>
      <c r="C56" s="29"/>
      <c r="D56" s="29" t="s">
        <v>857</v>
      </c>
      <c r="E56" s="29"/>
      <c r="F56" s="29"/>
      <c r="G56" s="29"/>
      <c r="H56" s="29"/>
      <c r="I56" s="29"/>
      <c r="J56" s="29"/>
      <c r="K56" s="29"/>
      <c r="L56" s="29" t="s">
        <v>858</v>
      </c>
      <c r="M56" s="29"/>
      <c r="N56" s="29"/>
      <c r="O56" s="29"/>
      <c r="P56" s="29"/>
      <c r="Q56" s="29"/>
      <c r="R56" s="29" t="s">
        <v>326</v>
      </c>
      <c r="S56" s="29"/>
      <c r="T56" s="29"/>
      <c r="U56" s="29"/>
      <c r="V56" s="29"/>
      <c r="W56" s="29" t="s">
        <v>831</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859</v>
      </c>
      <c r="E58" s="29"/>
      <c r="F58" s="29"/>
      <c r="G58" s="29"/>
      <c r="H58" s="29"/>
      <c r="I58" s="29"/>
      <c r="J58" s="29"/>
      <c r="K58" s="29"/>
      <c r="L58" s="29" t="s">
        <v>860</v>
      </c>
      <c r="M58" s="29"/>
      <c r="N58" s="29"/>
      <c r="O58" s="29"/>
      <c r="P58" s="29"/>
      <c r="Q58" s="29"/>
      <c r="R58" s="29" t="s">
        <v>326</v>
      </c>
      <c r="S58" s="29"/>
      <c r="T58" s="29"/>
      <c r="U58" s="29"/>
      <c r="V58" s="29"/>
      <c r="W58" s="29" t="s">
        <v>831</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861</v>
      </c>
      <c r="E59" s="29"/>
      <c r="F59" s="29"/>
      <c r="G59" s="29"/>
      <c r="H59" s="29"/>
      <c r="I59" s="29"/>
      <c r="J59" s="29"/>
      <c r="K59" s="29"/>
      <c r="L59" s="29" t="s">
        <v>862</v>
      </c>
      <c r="M59" s="29"/>
      <c r="N59" s="29"/>
      <c r="O59" s="29"/>
      <c r="P59" s="29"/>
      <c r="Q59" s="29"/>
      <c r="R59" s="29" t="s">
        <v>326</v>
      </c>
      <c r="S59" s="29"/>
      <c r="T59" s="29"/>
      <c r="U59" s="29"/>
      <c r="V59" s="29"/>
      <c r="W59" s="29" t="s">
        <v>831</v>
      </c>
      <c r="X59" s="29"/>
      <c r="Y59" s="29"/>
      <c r="Z59" s="29"/>
      <c r="AA59" s="29"/>
      <c r="AB59" s="29"/>
      <c r="AC59" s="29"/>
      <c r="AD59" s="29"/>
      <c r="AE59" s="29"/>
    </row>
    <row r="60" customFormat="false" ht="42.75" hidden="false" customHeight="true" outlineLevel="0" collapsed="false">
      <c r="A60" s="29" t="str">
        <f aca="false">TAKVİM!$B$51</f>
        <v>22-26 Şubat</v>
      </c>
      <c r="B60" s="29"/>
      <c r="C60" s="29"/>
      <c r="D60" s="29" t="s">
        <v>863</v>
      </c>
      <c r="E60" s="29"/>
      <c r="F60" s="29"/>
      <c r="G60" s="29"/>
      <c r="H60" s="29"/>
      <c r="I60" s="29"/>
      <c r="J60" s="29"/>
      <c r="K60" s="29"/>
      <c r="L60" s="29" t="s">
        <v>862</v>
      </c>
      <c r="M60" s="29"/>
      <c r="N60" s="29"/>
      <c r="O60" s="29"/>
      <c r="P60" s="29"/>
      <c r="Q60" s="29"/>
      <c r="R60" s="29" t="s">
        <v>326</v>
      </c>
      <c r="S60" s="29"/>
      <c r="T60" s="29"/>
      <c r="U60" s="29"/>
      <c r="V60" s="29"/>
      <c r="W60" s="29" t="s">
        <v>831</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864</v>
      </c>
      <c r="E61" s="29"/>
      <c r="F61" s="29"/>
      <c r="G61" s="29"/>
      <c r="H61" s="29"/>
      <c r="I61" s="29"/>
      <c r="J61" s="29"/>
      <c r="K61" s="29"/>
      <c r="L61" s="29" t="s">
        <v>865</v>
      </c>
      <c r="M61" s="29"/>
      <c r="N61" s="29"/>
      <c r="O61" s="29"/>
      <c r="P61" s="29"/>
      <c r="Q61" s="29"/>
      <c r="R61" s="29" t="s">
        <v>326</v>
      </c>
      <c r="S61" s="29"/>
      <c r="T61" s="29"/>
      <c r="U61" s="29"/>
      <c r="V61" s="29"/>
      <c r="W61" s="29" t="s">
        <v>831</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42.75" hidden="false" customHeight="true" outlineLevel="0" collapsed="false">
      <c r="A63" s="29" t="str">
        <f aca="false">TAKVİM!$B$54</f>
        <v>15-19 Mart</v>
      </c>
      <c r="B63" s="29"/>
      <c r="C63" s="29"/>
      <c r="D63" s="29" t="s">
        <v>866</v>
      </c>
      <c r="E63" s="29"/>
      <c r="F63" s="29"/>
      <c r="G63" s="29"/>
      <c r="H63" s="29"/>
      <c r="I63" s="29"/>
      <c r="J63" s="29"/>
      <c r="K63" s="29"/>
      <c r="L63" s="29" t="s">
        <v>865</v>
      </c>
      <c r="M63" s="29"/>
      <c r="N63" s="29"/>
      <c r="O63" s="29"/>
      <c r="P63" s="29"/>
      <c r="Q63" s="29"/>
      <c r="R63" s="29" t="s">
        <v>326</v>
      </c>
      <c r="S63" s="29"/>
      <c r="T63" s="29"/>
      <c r="U63" s="29"/>
      <c r="V63" s="29"/>
      <c r="W63" s="29" t="s">
        <v>831</v>
      </c>
      <c r="X63" s="29"/>
      <c r="Y63" s="29"/>
      <c r="Z63" s="29"/>
      <c r="AA63" s="29"/>
      <c r="AB63" s="29"/>
      <c r="AC63" s="29"/>
      <c r="AD63" s="29"/>
      <c r="AE63" s="29"/>
    </row>
    <row r="64" customFormat="false" ht="42.75" hidden="false" customHeight="true" outlineLevel="0" collapsed="false">
      <c r="A64" s="29" t="str">
        <f aca="false">TAKVİM!$B$55</f>
        <v>22-26 Mart</v>
      </c>
      <c r="B64" s="29"/>
      <c r="C64" s="29"/>
      <c r="D64" s="29" t="s">
        <v>867</v>
      </c>
      <c r="E64" s="29"/>
      <c r="F64" s="29"/>
      <c r="G64" s="29"/>
      <c r="H64" s="29"/>
      <c r="I64" s="29"/>
      <c r="J64" s="29"/>
      <c r="K64" s="29"/>
      <c r="L64" s="29" t="s">
        <v>868</v>
      </c>
      <c r="M64" s="29"/>
      <c r="N64" s="29"/>
      <c r="O64" s="29"/>
      <c r="P64" s="29"/>
      <c r="Q64" s="29"/>
      <c r="R64" s="29" t="s">
        <v>326</v>
      </c>
      <c r="S64" s="29"/>
      <c r="T64" s="29"/>
      <c r="U64" s="29"/>
      <c r="V64" s="29"/>
      <c r="W64" s="29" t="s">
        <v>831</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869</v>
      </c>
      <c r="E65" s="29"/>
      <c r="F65" s="29"/>
      <c r="G65" s="29"/>
      <c r="H65" s="29"/>
      <c r="I65" s="29"/>
      <c r="J65" s="29"/>
      <c r="K65" s="29"/>
      <c r="L65" s="29" t="s">
        <v>870</v>
      </c>
      <c r="M65" s="29"/>
      <c r="N65" s="29"/>
      <c r="O65" s="29"/>
      <c r="P65" s="29"/>
      <c r="Q65" s="29"/>
      <c r="R65" s="29" t="s">
        <v>326</v>
      </c>
      <c r="S65" s="29"/>
      <c r="T65" s="29"/>
      <c r="U65" s="29"/>
      <c r="V65" s="29"/>
      <c r="W65" s="29" t="s">
        <v>831</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871</v>
      </c>
      <c r="E66" s="29"/>
      <c r="F66" s="29"/>
      <c r="G66" s="29"/>
      <c r="H66" s="29"/>
      <c r="I66" s="29"/>
      <c r="J66" s="29"/>
      <c r="K66" s="29"/>
      <c r="L66" s="29" t="s">
        <v>870</v>
      </c>
      <c r="M66" s="29"/>
      <c r="N66" s="29"/>
      <c r="O66" s="29"/>
      <c r="P66" s="29"/>
      <c r="Q66" s="29"/>
      <c r="R66" s="29" t="s">
        <v>326</v>
      </c>
      <c r="S66" s="29"/>
      <c r="T66" s="29"/>
      <c r="U66" s="29"/>
      <c r="V66" s="29"/>
      <c r="W66" s="29" t="s">
        <v>831</v>
      </c>
      <c r="X66" s="29"/>
      <c r="Y66" s="29"/>
      <c r="Z66" s="29"/>
      <c r="AA66" s="29"/>
      <c r="AB66" s="29"/>
      <c r="AC66" s="29"/>
      <c r="AD66" s="29"/>
      <c r="AE66" s="29"/>
    </row>
    <row r="67" customFormat="false" ht="42.75" hidden="false" customHeight="true" outlineLevel="0" collapsed="false">
      <c r="A67" s="29" t="str">
        <f aca="false">TAKVİM!$B$58</f>
        <v>12-16 Nisan</v>
      </c>
      <c r="B67" s="29"/>
      <c r="C67" s="29"/>
      <c r="D67" s="29" t="s">
        <v>872</v>
      </c>
      <c r="E67" s="29"/>
      <c r="F67" s="29"/>
      <c r="G67" s="29"/>
      <c r="H67" s="29"/>
      <c r="I67" s="29"/>
      <c r="J67" s="29"/>
      <c r="K67" s="29"/>
      <c r="L67" s="29" t="s">
        <v>870</v>
      </c>
      <c r="M67" s="29"/>
      <c r="N67" s="29"/>
      <c r="O67" s="29"/>
      <c r="P67" s="29"/>
      <c r="Q67" s="29"/>
      <c r="R67" s="29" t="s">
        <v>326</v>
      </c>
      <c r="S67" s="29"/>
      <c r="T67" s="29"/>
      <c r="U67" s="29"/>
      <c r="V67" s="29"/>
      <c r="W67" s="29" t="s">
        <v>831</v>
      </c>
      <c r="X67" s="29"/>
      <c r="Y67" s="29"/>
      <c r="Z67" s="29"/>
      <c r="AA67" s="29"/>
      <c r="AB67" s="29"/>
      <c r="AC67" s="29"/>
      <c r="AD67" s="29"/>
      <c r="AE67" s="29"/>
    </row>
    <row r="68" customFormat="false" ht="42.75" hidden="false" customHeight="true" outlineLevel="0" collapsed="false">
      <c r="A68" s="29" t="str">
        <f aca="false">TAKVİM!$B$59</f>
        <v>19-23 Nisan</v>
      </c>
      <c r="B68" s="29"/>
      <c r="C68" s="29"/>
      <c r="D68" s="29" t="s">
        <v>873</v>
      </c>
      <c r="E68" s="29"/>
      <c r="F68" s="29"/>
      <c r="G68" s="29"/>
      <c r="H68" s="29"/>
      <c r="I68" s="29"/>
      <c r="J68" s="29"/>
      <c r="K68" s="29"/>
      <c r="L68" s="29" t="s">
        <v>870</v>
      </c>
      <c r="M68" s="29"/>
      <c r="N68" s="29"/>
      <c r="O68" s="29"/>
      <c r="P68" s="29"/>
      <c r="Q68" s="29"/>
      <c r="R68" s="29" t="s">
        <v>326</v>
      </c>
      <c r="S68" s="29"/>
      <c r="T68" s="29"/>
      <c r="U68" s="29"/>
      <c r="V68" s="29"/>
      <c r="W68" s="29" t="s">
        <v>831</v>
      </c>
      <c r="X68" s="29"/>
      <c r="Y68" s="29"/>
      <c r="Z68" s="29"/>
      <c r="AA68" s="29"/>
      <c r="AB68" s="29"/>
      <c r="AC68" s="29"/>
      <c r="AD68" s="29"/>
      <c r="AE68" s="29"/>
    </row>
    <row r="69" customFormat="false" ht="42.75" hidden="false" customHeight="true" outlineLevel="0" collapsed="false">
      <c r="A69" s="29" t="str">
        <f aca="false">TAKVİM!$B$60</f>
        <v>26-30 Nisan</v>
      </c>
      <c r="B69" s="29"/>
      <c r="C69" s="29"/>
      <c r="D69" s="29" t="s">
        <v>869</v>
      </c>
      <c r="E69" s="29"/>
      <c r="F69" s="29"/>
      <c r="G69" s="29"/>
      <c r="H69" s="29"/>
      <c r="I69" s="29"/>
      <c r="J69" s="29"/>
      <c r="K69" s="29"/>
      <c r="L69" s="29" t="s">
        <v>870</v>
      </c>
      <c r="M69" s="29"/>
      <c r="N69" s="29"/>
      <c r="O69" s="29"/>
      <c r="P69" s="29"/>
      <c r="Q69" s="29"/>
      <c r="R69" s="29" t="s">
        <v>326</v>
      </c>
      <c r="S69" s="29"/>
      <c r="T69" s="29"/>
      <c r="U69" s="29"/>
      <c r="V69" s="29"/>
      <c r="W69" s="29" t="s">
        <v>831</v>
      </c>
      <c r="X69" s="29"/>
      <c r="Y69" s="29"/>
      <c r="Z69" s="29"/>
      <c r="AA69" s="29"/>
      <c r="AB69" s="29"/>
      <c r="AC69" s="29"/>
      <c r="AD69" s="29"/>
      <c r="AE69" s="29"/>
    </row>
    <row r="70" customFormat="false" ht="42.75" hidden="false" customHeight="true" outlineLevel="0" collapsed="false">
      <c r="A70" s="29" t="str">
        <f aca="false">TAKVİM!$B$61</f>
        <v>03-07 Mayıs</v>
      </c>
      <c r="B70" s="29"/>
      <c r="C70" s="29"/>
      <c r="D70" s="29" t="s">
        <v>871</v>
      </c>
      <c r="E70" s="29"/>
      <c r="F70" s="29"/>
      <c r="G70" s="29"/>
      <c r="H70" s="29"/>
      <c r="I70" s="29"/>
      <c r="J70" s="29"/>
      <c r="K70" s="29"/>
      <c r="L70" s="29" t="s">
        <v>870</v>
      </c>
      <c r="M70" s="29"/>
      <c r="N70" s="29"/>
      <c r="O70" s="29"/>
      <c r="P70" s="29"/>
      <c r="Q70" s="29"/>
      <c r="R70" s="29" t="s">
        <v>326</v>
      </c>
      <c r="S70" s="29"/>
      <c r="T70" s="29"/>
      <c r="U70" s="29"/>
      <c r="V70" s="29"/>
      <c r="W70" s="29" t="s">
        <v>831</v>
      </c>
      <c r="X70" s="29"/>
      <c r="Y70" s="29"/>
      <c r="Z70" s="29"/>
      <c r="AA70" s="29"/>
      <c r="AB70" s="29"/>
      <c r="AC70" s="29"/>
      <c r="AD70" s="29"/>
      <c r="AE70" s="29"/>
    </row>
    <row r="71" customFormat="false" ht="74.25" hidden="false" customHeight="true" outlineLevel="0" collapsed="false">
      <c r="A71" s="29" t="str">
        <f aca="false">TAKVİM!$B$62</f>
        <v>10-14 Mayıs</v>
      </c>
      <c r="B71" s="29"/>
      <c r="C71" s="29"/>
      <c r="D71" s="29" t="s">
        <v>874</v>
      </c>
      <c r="E71" s="29"/>
      <c r="F71" s="29"/>
      <c r="G71" s="29"/>
      <c r="H71" s="29"/>
      <c r="I71" s="29"/>
      <c r="J71" s="29"/>
      <c r="K71" s="29"/>
      <c r="L71" s="29" t="s">
        <v>870</v>
      </c>
      <c r="M71" s="29"/>
      <c r="N71" s="29"/>
      <c r="O71" s="29"/>
      <c r="P71" s="29"/>
      <c r="Q71" s="29"/>
      <c r="R71" s="29" t="s">
        <v>326</v>
      </c>
      <c r="S71" s="29"/>
      <c r="T71" s="29"/>
      <c r="U71" s="29"/>
      <c r="V71" s="29"/>
      <c r="W71" s="29" t="s">
        <v>831</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875</v>
      </c>
      <c r="E72" s="29"/>
      <c r="F72" s="29"/>
      <c r="G72" s="29"/>
      <c r="H72" s="29"/>
      <c r="I72" s="29"/>
      <c r="J72" s="29"/>
      <c r="K72" s="29"/>
      <c r="L72" s="29" t="s">
        <v>876</v>
      </c>
      <c r="M72" s="29"/>
      <c r="N72" s="29"/>
      <c r="O72" s="29"/>
      <c r="P72" s="29"/>
      <c r="Q72" s="29"/>
      <c r="R72" s="29" t="s">
        <v>326</v>
      </c>
      <c r="S72" s="29"/>
      <c r="T72" s="29"/>
      <c r="U72" s="29"/>
      <c r="V72" s="29"/>
      <c r="W72" s="29" t="s">
        <v>831</v>
      </c>
      <c r="X72" s="29"/>
      <c r="Y72" s="29"/>
      <c r="Z72" s="29"/>
      <c r="AA72" s="29"/>
      <c r="AB72" s="29"/>
      <c r="AC72" s="29"/>
      <c r="AD72" s="29"/>
      <c r="AE72" s="29"/>
    </row>
    <row r="73" customFormat="false" ht="42.75" hidden="false" customHeight="true" outlineLevel="0" collapsed="false">
      <c r="A73" s="29" t="str">
        <f aca="false">TAKVİM!$B$64</f>
        <v>24-28 Mayıs</v>
      </c>
      <c r="B73" s="29"/>
      <c r="C73" s="29"/>
      <c r="D73" s="29" t="s">
        <v>877</v>
      </c>
      <c r="E73" s="29"/>
      <c r="F73" s="29"/>
      <c r="G73" s="29"/>
      <c r="H73" s="29"/>
      <c r="I73" s="29"/>
      <c r="J73" s="29"/>
      <c r="K73" s="29"/>
      <c r="L73" s="29" t="s">
        <v>878</v>
      </c>
      <c r="M73" s="29"/>
      <c r="N73" s="29"/>
      <c r="O73" s="29"/>
      <c r="P73" s="29"/>
      <c r="Q73" s="29"/>
      <c r="R73" s="29" t="s">
        <v>326</v>
      </c>
      <c r="S73" s="29"/>
      <c r="T73" s="29"/>
      <c r="U73" s="29"/>
      <c r="V73" s="29"/>
      <c r="W73" s="29" t="s">
        <v>831</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879</v>
      </c>
      <c r="E74" s="29"/>
      <c r="F74" s="29"/>
      <c r="G74" s="29"/>
      <c r="H74" s="29"/>
      <c r="I74" s="29"/>
      <c r="J74" s="29"/>
      <c r="K74" s="29"/>
      <c r="L74" s="29" t="s">
        <v>878</v>
      </c>
      <c r="M74" s="29"/>
      <c r="N74" s="29"/>
      <c r="O74" s="29"/>
      <c r="P74" s="29"/>
      <c r="Q74" s="29"/>
      <c r="R74" s="29" t="s">
        <v>326</v>
      </c>
      <c r="S74" s="29"/>
      <c r="T74" s="29"/>
      <c r="U74" s="29"/>
      <c r="V74" s="29"/>
      <c r="W74" s="29" t="s">
        <v>831</v>
      </c>
      <c r="X74" s="29"/>
      <c r="Y74" s="29"/>
      <c r="Z74" s="29"/>
      <c r="AA74" s="29"/>
      <c r="AB74" s="29"/>
      <c r="AC74" s="29"/>
      <c r="AD74" s="29"/>
      <c r="AE74" s="29"/>
    </row>
    <row r="75" customFormat="false" ht="42.75" hidden="false" customHeight="true" outlineLevel="0" collapsed="false">
      <c r="A75" s="29" t="str">
        <f aca="false">TAKVİM!$B$66</f>
        <v>07-11 Haziran</v>
      </c>
      <c r="B75" s="29"/>
      <c r="C75" s="29"/>
      <c r="D75" s="29" t="s">
        <v>880</v>
      </c>
      <c r="E75" s="29"/>
      <c r="F75" s="29"/>
      <c r="G75" s="29"/>
      <c r="H75" s="29"/>
      <c r="I75" s="29"/>
      <c r="J75" s="29"/>
      <c r="K75" s="29"/>
      <c r="L75" s="29" t="s">
        <v>878</v>
      </c>
      <c r="M75" s="29"/>
      <c r="N75" s="29"/>
      <c r="O75" s="29"/>
      <c r="P75" s="29"/>
      <c r="Q75" s="29"/>
      <c r="R75" s="29" t="s">
        <v>326</v>
      </c>
      <c r="S75" s="29"/>
      <c r="T75" s="29"/>
      <c r="U75" s="29"/>
      <c r="V75" s="29"/>
      <c r="W75" s="29" t="s">
        <v>831</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879</v>
      </c>
      <c r="E76" s="29"/>
      <c r="F76" s="29"/>
      <c r="G76" s="29"/>
      <c r="H76" s="29"/>
      <c r="I76" s="29"/>
      <c r="J76" s="29"/>
      <c r="K76" s="29"/>
      <c r="L76" s="29" t="s">
        <v>878</v>
      </c>
      <c r="M76" s="29"/>
      <c r="N76" s="29"/>
      <c r="O76" s="29"/>
      <c r="P76" s="29"/>
      <c r="Q76" s="29"/>
      <c r="R76" s="29" t="s">
        <v>326</v>
      </c>
      <c r="S76" s="29"/>
      <c r="T76" s="29"/>
      <c r="U76" s="29"/>
      <c r="V76" s="29"/>
      <c r="W76" s="29" t="s">
        <v>831</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879</v>
      </c>
      <c r="E77" s="29"/>
      <c r="F77" s="29"/>
      <c r="G77" s="29"/>
      <c r="H77" s="29"/>
      <c r="I77" s="29"/>
      <c r="J77" s="29"/>
      <c r="K77" s="29"/>
      <c r="L77" s="29" t="s">
        <v>878</v>
      </c>
      <c r="M77" s="29"/>
      <c r="N77" s="29"/>
      <c r="O77" s="29"/>
      <c r="P77" s="29"/>
      <c r="Q77" s="29"/>
      <c r="R77" s="29" t="s">
        <v>326</v>
      </c>
      <c r="S77" s="29"/>
      <c r="T77" s="29"/>
      <c r="U77" s="29"/>
      <c r="V77" s="29"/>
      <c r="W77" s="29" t="s">
        <v>831</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881</v>
      </c>
      <c r="H4" s="25"/>
      <c r="I4" s="25"/>
      <c r="J4" s="25"/>
      <c r="K4" s="25"/>
      <c r="L4" s="25"/>
      <c r="M4" s="25"/>
      <c r="N4" s="25"/>
      <c r="O4" s="25"/>
      <c r="P4" s="24" t="s">
        <v>102</v>
      </c>
      <c r="Q4" s="24"/>
      <c r="R4" s="24"/>
      <c r="S4" s="24"/>
      <c r="T4" s="24"/>
      <c r="U4" s="25" t="s">
        <v>561</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882</v>
      </c>
      <c r="H5" s="25"/>
      <c r="I5" s="25"/>
      <c r="J5" s="25"/>
      <c r="K5" s="25"/>
      <c r="L5" s="25"/>
      <c r="M5" s="25"/>
      <c r="N5" s="25"/>
      <c r="O5" s="25"/>
      <c r="P5" s="24" t="s">
        <v>106</v>
      </c>
      <c r="Q5" s="24"/>
      <c r="R5" s="24"/>
      <c r="S5" s="24"/>
      <c r="T5" s="24"/>
      <c r="U5" s="25" t="s">
        <v>562</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63.75" hidden="false" customHeight="true" outlineLevel="0" collapsed="false">
      <c r="A38" s="29" t="str">
        <f aca="false">TAKVİM!$B$29</f>
        <v>14-18 Eylül</v>
      </c>
      <c r="B38" s="29"/>
      <c r="C38" s="29"/>
      <c r="D38" s="29" t="s">
        <v>883</v>
      </c>
      <c r="E38" s="29"/>
      <c r="F38" s="29"/>
      <c r="G38" s="29"/>
      <c r="H38" s="29"/>
      <c r="I38" s="29"/>
      <c r="J38" s="29"/>
      <c r="K38" s="29"/>
      <c r="L38" s="29" t="s">
        <v>884</v>
      </c>
      <c r="M38" s="29"/>
      <c r="N38" s="29"/>
      <c r="O38" s="29"/>
      <c r="P38" s="29"/>
      <c r="Q38" s="29"/>
      <c r="R38" s="29" t="s">
        <v>565</v>
      </c>
      <c r="S38" s="29"/>
      <c r="T38" s="29"/>
      <c r="U38" s="29"/>
      <c r="V38" s="29"/>
      <c r="W38" s="29" t="s">
        <v>885</v>
      </c>
      <c r="X38" s="29"/>
      <c r="Y38" s="29"/>
      <c r="Z38" s="29"/>
      <c r="AA38" s="29"/>
      <c r="AB38" s="29"/>
      <c r="AC38" s="29"/>
      <c r="AD38" s="29"/>
      <c r="AE38" s="29"/>
    </row>
    <row r="39" customFormat="false" ht="63.75" hidden="false" customHeight="true" outlineLevel="0" collapsed="false">
      <c r="A39" s="29" t="str">
        <f aca="false">TAKVİM!$B$30</f>
        <v>21-25 Eylül</v>
      </c>
      <c r="B39" s="29"/>
      <c r="C39" s="29"/>
      <c r="D39" s="29" t="s">
        <v>886</v>
      </c>
      <c r="E39" s="29"/>
      <c r="F39" s="29"/>
      <c r="G39" s="29"/>
      <c r="H39" s="29"/>
      <c r="I39" s="29"/>
      <c r="J39" s="29"/>
      <c r="K39" s="29"/>
      <c r="L39" s="29" t="s">
        <v>887</v>
      </c>
      <c r="M39" s="29"/>
      <c r="N39" s="29"/>
      <c r="O39" s="29"/>
      <c r="P39" s="29"/>
      <c r="Q39" s="29"/>
      <c r="R39" s="29" t="s">
        <v>565</v>
      </c>
      <c r="S39" s="29"/>
      <c r="T39" s="29"/>
      <c r="U39" s="29"/>
      <c r="V39" s="29"/>
      <c r="W39" s="29" t="s">
        <v>885</v>
      </c>
      <c r="X39" s="29"/>
      <c r="Y39" s="29"/>
      <c r="Z39" s="29"/>
      <c r="AA39" s="29"/>
      <c r="AB39" s="29"/>
      <c r="AC39" s="29"/>
      <c r="AD39" s="29"/>
      <c r="AE39" s="29"/>
    </row>
    <row r="40" customFormat="false" ht="63.75" hidden="false" customHeight="true" outlineLevel="0" collapsed="false">
      <c r="A40" s="29" t="str">
        <f aca="false">TAKVİM!$B$31</f>
        <v>28 Eylül - 02 Ekim</v>
      </c>
      <c r="B40" s="29"/>
      <c r="C40" s="29"/>
      <c r="D40" s="29" t="s">
        <v>888</v>
      </c>
      <c r="E40" s="29"/>
      <c r="F40" s="29"/>
      <c r="G40" s="29"/>
      <c r="H40" s="29"/>
      <c r="I40" s="29"/>
      <c r="J40" s="29"/>
      <c r="K40" s="29"/>
      <c r="L40" s="29" t="s">
        <v>889</v>
      </c>
      <c r="M40" s="29"/>
      <c r="N40" s="29"/>
      <c r="O40" s="29"/>
      <c r="P40" s="29"/>
      <c r="Q40" s="29"/>
      <c r="R40" s="29" t="s">
        <v>565</v>
      </c>
      <c r="S40" s="29"/>
      <c r="T40" s="29"/>
      <c r="U40" s="29"/>
      <c r="V40" s="29"/>
      <c r="W40" s="29" t="s">
        <v>885</v>
      </c>
      <c r="X40" s="29"/>
      <c r="Y40" s="29"/>
      <c r="Z40" s="29"/>
      <c r="AA40" s="29"/>
      <c r="AB40" s="29"/>
      <c r="AC40" s="29"/>
      <c r="AD40" s="29"/>
      <c r="AE40" s="29"/>
    </row>
    <row r="41" customFormat="false" ht="63.75" hidden="false" customHeight="true" outlineLevel="0" collapsed="false">
      <c r="A41" s="29" t="str">
        <f aca="false">TAKVİM!$B$32</f>
        <v>05-09 Ekim</v>
      </c>
      <c r="B41" s="29"/>
      <c r="C41" s="29"/>
      <c r="D41" s="29" t="s">
        <v>890</v>
      </c>
      <c r="E41" s="29"/>
      <c r="F41" s="29"/>
      <c r="G41" s="29"/>
      <c r="H41" s="29"/>
      <c r="I41" s="29"/>
      <c r="J41" s="29"/>
      <c r="K41" s="29"/>
      <c r="L41" s="29" t="s">
        <v>891</v>
      </c>
      <c r="M41" s="29"/>
      <c r="N41" s="29"/>
      <c r="O41" s="29"/>
      <c r="P41" s="29"/>
      <c r="Q41" s="29"/>
      <c r="R41" s="29" t="s">
        <v>565</v>
      </c>
      <c r="S41" s="29"/>
      <c r="T41" s="29"/>
      <c r="U41" s="29"/>
      <c r="V41" s="29"/>
      <c r="W41" s="29" t="s">
        <v>885</v>
      </c>
      <c r="X41" s="29"/>
      <c r="Y41" s="29"/>
      <c r="Z41" s="29"/>
      <c r="AA41" s="29"/>
      <c r="AB41" s="29"/>
      <c r="AC41" s="29"/>
      <c r="AD41" s="29"/>
      <c r="AE41" s="29"/>
    </row>
    <row r="42" customFormat="false" ht="63.75" hidden="false" customHeight="true" outlineLevel="0" collapsed="false">
      <c r="A42" s="29" t="str">
        <f aca="false">TAKVİM!$B$33</f>
        <v>12-16 Ekim</v>
      </c>
      <c r="B42" s="29"/>
      <c r="C42" s="29"/>
      <c r="D42" s="29" t="s">
        <v>892</v>
      </c>
      <c r="E42" s="29"/>
      <c r="F42" s="29"/>
      <c r="G42" s="29"/>
      <c r="H42" s="29"/>
      <c r="I42" s="29"/>
      <c r="J42" s="29"/>
      <c r="K42" s="29"/>
      <c r="L42" s="29" t="s">
        <v>893</v>
      </c>
      <c r="M42" s="29"/>
      <c r="N42" s="29"/>
      <c r="O42" s="29"/>
      <c r="P42" s="29"/>
      <c r="Q42" s="29"/>
      <c r="R42" s="29" t="s">
        <v>565</v>
      </c>
      <c r="S42" s="29"/>
      <c r="T42" s="29"/>
      <c r="U42" s="29"/>
      <c r="V42" s="29"/>
      <c r="W42" s="29" t="s">
        <v>885</v>
      </c>
      <c r="X42" s="29"/>
      <c r="Y42" s="29"/>
      <c r="Z42" s="29"/>
      <c r="AA42" s="29"/>
      <c r="AB42" s="29"/>
      <c r="AC42" s="29"/>
      <c r="AD42" s="29"/>
      <c r="AE42" s="29"/>
    </row>
    <row r="43" customFormat="false" ht="63.75" hidden="false" customHeight="true" outlineLevel="0" collapsed="false">
      <c r="A43" s="29" t="str">
        <f aca="false">TAKVİM!$B$34</f>
        <v>19-23 Ekim</v>
      </c>
      <c r="B43" s="29"/>
      <c r="C43" s="29"/>
      <c r="D43" s="29" t="s">
        <v>892</v>
      </c>
      <c r="E43" s="29"/>
      <c r="F43" s="29"/>
      <c r="G43" s="29"/>
      <c r="H43" s="29"/>
      <c r="I43" s="29"/>
      <c r="J43" s="29"/>
      <c r="K43" s="29"/>
      <c r="L43" s="29" t="s">
        <v>894</v>
      </c>
      <c r="M43" s="29"/>
      <c r="N43" s="29"/>
      <c r="O43" s="29"/>
      <c r="P43" s="29"/>
      <c r="Q43" s="29"/>
      <c r="R43" s="29" t="s">
        <v>565</v>
      </c>
      <c r="S43" s="29"/>
      <c r="T43" s="29"/>
      <c r="U43" s="29"/>
      <c r="V43" s="29"/>
      <c r="W43" s="29" t="s">
        <v>885</v>
      </c>
      <c r="X43" s="29"/>
      <c r="Y43" s="29"/>
      <c r="Z43" s="29"/>
      <c r="AA43" s="29"/>
      <c r="AB43" s="29"/>
      <c r="AC43" s="29"/>
      <c r="AD43" s="29"/>
      <c r="AE43" s="29"/>
    </row>
    <row r="44" customFormat="false" ht="63.75" hidden="false" customHeight="true" outlineLevel="0" collapsed="false">
      <c r="A44" s="29" t="str">
        <f aca="false">TAKVİM!$B$35</f>
        <v>26-30 Ekim</v>
      </c>
      <c r="B44" s="29"/>
      <c r="C44" s="29"/>
      <c r="D44" s="29" t="s">
        <v>895</v>
      </c>
      <c r="E44" s="29"/>
      <c r="F44" s="29"/>
      <c r="G44" s="29"/>
      <c r="H44" s="29"/>
      <c r="I44" s="29"/>
      <c r="J44" s="29"/>
      <c r="K44" s="29"/>
      <c r="L44" s="29" t="s">
        <v>896</v>
      </c>
      <c r="M44" s="29"/>
      <c r="N44" s="29"/>
      <c r="O44" s="29"/>
      <c r="P44" s="29"/>
      <c r="Q44" s="29"/>
      <c r="R44" s="29" t="s">
        <v>565</v>
      </c>
      <c r="S44" s="29"/>
      <c r="T44" s="29"/>
      <c r="U44" s="29"/>
      <c r="V44" s="29"/>
      <c r="W44" s="29" t="s">
        <v>885</v>
      </c>
      <c r="X44" s="29"/>
      <c r="Y44" s="29"/>
      <c r="Z44" s="29"/>
      <c r="AA44" s="29"/>
      <c r="AB44" s="29"/>
      <c r="AC44" s="29"/>
      <c r="AD44" s="29"/>
      <c r="AE44" s="29"/>
    </row>
    <row r="45" customFormat="false" ht="63.75" hidden="false" customHeight="true" outlineLevel="0" collapsed="false">
      <c r="A45" s="29" t="str">
        <f aca="false">TAKVİM!$B$36</f>
        <v>02-06 Kasım</v>
      </c>
      <c r="B45" s="29"/>
      <c r="C45" s="29"/>
      <c r="D45" s="29" t="s">
        <v>895</v>
      </c>
      <c r="E45" s="29"/>
      <c r="F45" s="29"/>
      <c r="G45" s="29"/>
      <c r="H45" s="29"/>
      <c r="I45" s="29"/>
      <c r="J45" s="29"/>
      <c r="K45" s="29"/>
      <c r="L45" s="29" t="s">
        <v>896</v>
      </c>
      <c r="M45" s="29"/>
      <c r="N45" s="29"/>
      <c r="O45" s="29"/>
      <c r="P45" s="29"/>
      <c r="Q45" s="29"/>
      <c r="R45" s="29" t="s">
        <v>565</v>
      </c>
      <c r="S45" s="29"/>
      <c r="T45" s="29"/>
      <c r="U45" s="29"/>
      <c r="V45" s="29"/>
      <c r="W45" s="29" t="s">
        <v>885</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897</v>
      </c>
      <c r="E46" s="29"/>
      <c r="F46" s="29"/>
      <c r="G46" s="29"/>
      <c r="H46" s="29"/>
      <c r="I46" s="29"/>
      <c r="J46" s="29"/>
      <c r="K46" s="29"/>
      <c r="L46" s="29" t="s">
        <v>898</v>
      </c>
      <c r="M46" s="29"/>
      <c r="N46" s="29"/>
      <c r="O46" s="29"/>
      <c r="P46" s="29"/>
      <c r="Q46" s="29"/>
      <c r="R46" s="29" t="s">
        <v>565</v>
      </c>
      <c r="S46" s="29"/>
      <c r="T46" s="29"/>
      <c r="U46" s="29"/>
      <c r="V46" s="29"/>
      <c r="W46" s="29" t="s">
        <v>885</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63.75" hidden="false" customHeight="true" outlineLevel="0" collapsed="false">
      <c r="A48" s="29" t="str">
        <f aca="false">TAKVİM!$B$39</f>
        <v>23-27 Kasım</v>
      </c>
      <c r="B48" s="29"/>
      <c r="C48" s="29"/>
      <c r="D48" s="29" t="s">
        <v>897</v>
      </c>
      <c r="E48" s="29"/>
      <c r="F48" s="29"/>
      <c r="G48" s="29"/>
      <c r="H48" s="29"/>
      <c r="I48" s="29"/>
      <c r="J48" s="29"/>
      <c r="K48" s="29"/>
      <c r="L48" s="29" t="s">
        <v>898</v>
      </c>
      <c r="M48" s="29"/>
      <c r="N48" s="29"/>
      <c r="O48" s="29"/>
      <c r="P48" s="29"/>
      <c r="Q48" s="29"/>
      <c r="R48" s="29" t="s">
        <v>565</v>
      </c>
      <c r="S48" s="29"/>
      <c r="T48" s="29"/>
      <c r="U48" s="29"/>
      <c r="V48" s="29"/>
      <c r="W48" s="29" t="s">
        <v>885</v>
      </c>
      <c r="X48" s="29"/>
      <c r="Y48" s="29"/>
      <c r="Z48" s="29"/>
      <c r="AA48" s="29"/>
      <c r="AB48" s="29"/>
      <c r="AC48" s="29"/>
      <c r="AD48" s="29"/>
      <c r="AE48" s="29"/>
    </row>
    <row r="49" customFormat="false" ht="63.75" hidden="false" customHeight="true" outlineLevel="0" collapsed="false">
      <c r="A49" s="29" t="str">
        <f aca="false">TAKVİM!$B$40</f>
        <v>30 Kasım - 04 Aralık</v>
      </c>
      <c r="B49" s="29"/>
      <c r="C49" s="29"/>
      <c r="D49" s="29" t="s">
        <v>899</v>
      </c>
      <c r="E49" s="29"/>
      <c r="F49" s="29"/>
      <c r="G49" s="29"/>
      <c r="H49" s="29"/>
      <c r="I49" s="29"/>
      <c r="J49" s="29"/>
      <c r="K49" s="29"/>
      <c r="L49" s="29" t="s">
        <v>900</v>
      </c>
      <c r="M49" s="29"/>
      <c r="N49" s="29"/>
      <c r="O49" s="29"/>
      <c r="P49" s="29"/>
      <c r="Q49" s="29"/>
      <c r="R49" s="29" t="s">
        <v>565</v>
      </c>
      <c r="S49" s="29"/>
      <c r="T49" s="29"/>
      <c r="U49" s="29"/>
      <c r="V49" s="29"/>
      <c r="W49" s="29" t="s">
        <v>885</v>
      </c>
      <c r="X49" s="29"/>
      <c r="Y49" s="29"/>
      <c r="Z49" s="29"/>
      <c r="AA49" s="29"/>
      <c r="AB49" s="29"/>
      <c r="AC49" s="29"/>
      <c r="AD49" s="29"/>
      <c r="AE49" s="29"/>
    </row>
    <row r="50" customFormat="false" ht="63.75" hidden="false" customHeight="true" outlineLevel="0" collapsed="false">
      <c r="A50" s="29" t="str">
        <f aca="false">TAKVİM!$B$41</f>
        <v>07-11 Aralık</v>
      </c>
      <c r="B50" s="29"/>
      <c r="C50" s="29"/>
      <c r="D50" s="29" t="s">
        <v>901</v>
      </c>
      <c r="E50" s="29"/>
      <c r="F50" s="29"/>
      <c r="G50" s="29"/>
      <c r="H50" s="29"/>
      <c r="I50" s="29"/>
      <c r="J50" s="29"/>
      <c r="K50" s="29"/>
      <c r="L50" s="29" t="s">
        <v>902</v>
      </c>
      <c r="M50" s="29"/>
      <c r="N50" s="29"/>
      <c r="O50" s="29"/>
      <c r="P50" s="29"/>
      <c r="Q50" s="29"/>
      <c r="R50" s="29" t="s">
        <v>565</v>
      </c>
      <c r="S50" s="29"/>
      <c r="T50" s="29"/>
      <c r="U50" s="29"/>
      <c r="V50" s="29"/>
      <c r="W50" s="29" t="s">
        <v>885</v>
      </c>
      <c r="X50" s="29"/>
      <c r="Y50" s="29"/>
      <c r="Z50" s="29"/>
      <c r="AA50" s="29"/>
      <c r="AB50" s="29"/>
      <c r="AC50" s="29"/>
      <c r="AD50" s="29"/>
      <c r="AE50" s="29"/>
    </row>
    <row r="51" customFormat="false" ht="63.75" hidden="false" customHeight="true" outlineLevel="0" collapsed="false">
      <c r="A51" s="29" t="str">
        <f aca="false">TAKVİM!$B$42</f>
        <v>14-18 Aralık</v>
      </c>
      <c r="B51" s="29"/>
      <c r="C51" s="29"/>
      <c r="D51" s="29" t="s">
        <v>903</v>
      </c>
      <c r="E51" s="29"/>
      <c r="F51" s="29"/>
      <c r="G51" s="29"/>
      <c r="H51" s="29"/>
      <c r="I51" s="29"/>
      <c r="J51" s="29"/>
      <c r="K51" s="29"/>
      <c r="L51" s="29" t="s">
        <v>904</v>
      </c>
      <c r="M51" s="29"/>
      <c r="N51" s="29"/>
      <c r="O51" s="29"/>
      <c r="P51" s="29"/>
      <c r="Q51" s="29"/>
      <c r="R51" s="29" t="s">
        <v>565</v>
      </c>
      <c r="S51" s="29"/>
      <c r="T51" s="29"/>
      <c r="U51" s="29"/>
      <c r="V51" s="29"/>
      <c r="W51" s="29" t="s">
        <v>885</v>
      </c>
      <c r="X51" s="29"/>
      <c r="Y51" s="29"/>
      <c r="Z51" s="29"/>
      <c r="AA51" s="29"/>
      <c r="AB51" s="29"/>
      <c r="AC51" s="29"/>
      <c r="AD51" s="29"/>
      <c r="AE51" s="29"/>
    </row>
    <row r="52" customFormat="false" ht="63.75" hidden="false" customHeight="true" outlineLevel="0" collapsed="false">
      <c r="A52" s="29" t="str">
        <f aca="false">TAKVİM!$B$43</f>
        <v>21-25 Aralık</v>
      </c>
      <c r="B52" s="29"/>
      <c r="C52" s="29"/>
      <c r="D52" s="29" t="s">
        <v>905</v>
      </c>
      <c r="E52" s="29"/>
      <c r="F52" s="29"/>
      <c r="G52" s="29"/>
      <c r="H52" s="29"/>
      <c r="I52" s="29"/>
      <c r="J52" s="29"/>
      <c r="K52" s="29"/>
      <c r="L52" s="29" t="s">
        <v>906</v>
      </c>
      <c r="M52" s="29"/>
      <c r="N52" s="29"/>
      <c r="O52" s="29"/>
      <c r="P52" s="29"/>
      <c r="Q52" s="29"/>
      <c r="R52" s="29" t="s">
        <v>565</v>
      </c>
      <c r="S52" s="29"/>
      <c r="T52" s="29"/>
      <c r="U52" s="29"/>
      <c r="V52" s="29"/>
      <c r="W52" s="29" t="s">
        <v>885</v>
      </c>
      <c r="X52" s="29"/>
      <c r="Y52" s="29"/>
      <c r="Z52" s="29"/>
      <c r="AA52" s="29"/>
      <c r="AB52" s="29"/>
      <c r="AC52" s="29"/>
      <c r="AD52" s="29"/>
      <c r="AE52" s="29"/>
    </row>
    <row r="53" customFormat="false" ht="63.75" hidden="false" customHeight="true" outlineLevel="0" collapsed="false">
      <c r="A53" s="29" t="str">
        <f aca="false">TAKVİM!$B$44</f>
        <v>28 Aralık - 01 Ocak</v>
      </c>
      <c r="B53" s="29"/>
      <c r="C53" s="29"/>
      <c r="D53" s="29" t="s">
        <v>907</v>
      </c>
      <c r="E53" s="29"/>
      <c r="F53" s="29"/>
      <c r="G53" s="29"/>
      <c r="H53" s="29"/>
      <c r="I53" s="29"/>
      <c r="J53" s="29"/>
      <c r="K53" s="29"/>
      <c r="L53" s="29" t="s">
        <v>908</v>
      </c>
      <c r="M53" s="29"/>
      <c r="N53" s="29"/>
      <c r="O53" s="29"/>
      <c r="P53" s="29"/>
      <c r="Q53" s="29"/>
      <c r="R53" s="29" t="s">
        <v>565</v>
      </c>
      <c r="S53" s="29"/>
      <c r="T53" s="29"/>
      <c r="U53" s="29"/>
      <c r="V53" s="29"/>
      <c r="W53" s="29" t="s">
        <v>885</v>
      </c>
      <c r="X53" s="29"/>
      <c r="Y53" s="29"/>
      <c r="Z53" s="29"/>
      <c r="AA53" s="29"/>
      <c r="AB53" s="29"/>
      <c r="AC53" s="29"/>
      <c r="AD53" s="29"/>
      <c r="AE53" s="29"/>
    </row>
    <row r="54" customFormat="false" ht="63.75" hidden="false" customHeight="true" outlineLevel="0" collapsed="false">
      <c r="A54" s="29" t="str">
        <f aca="false">TAKVİM!$B$45</f>
        <v>04-08 Ocak</v>
      </c>
      <c r="B54" s="29"/>
      <c r="C54" s="29"/>
      <c r="D54" s="29" t="s">
        <v>909</v>
      </c>
      <c r="E54" s="29"/>
      <c r="F54" s="29"/>
      <c r="G54" s="29"/>
      <c r="H54" s="29"/>
      <c r="I54" s="29"/>
      <c r="J54" s="29"/>
      <c r="K54" s="29"/>
      <c r="L54" s="29" t="s">
        <v>910</v>
      </c>
      <c r="M54" s="29"/>
      <c r="N54" s="29"/>
      <c r="O54" s="29"/>
      <c r="P54" s="29"/>
      <c r="Q54" s="29"/>
      <c r="R54" s="29" t="s">
        <v>565</v>
      </c>
      <c r="S54" s="29"/>
      <c r="T54" s="29"/>
      <c r="U54" s="29"/>
      <c r="V54" s="29"/>
      <c r="W54" s="29" t="s">
        <v>885</v>
      </c>
      <c r="X54" s="29"/>
      <c r="Y54" s="29"/>
      <c r="Z54" s="29"/>
      <c r="AA54" s="29"/>
      <c r="AB54" s="29"/>
      <c r="AC54" s="29"/>
      <c r="AD54" s="29"/>
      <c r="AE54" s="29"/>
    </row>
    <row r="55" customFormat="false" ht="63.75" hidden="false" customHeight="true" outlineLevel="0" collapsed="false">
      <c r="A55" s="29" t="str">
        <f aca="false">TAKVİM!$B$46</f>
        <v>11-15 Ocak</v>
      </c>
      <c r="B55" s="29"/>
      <c r="C55" s="29"/>
      <c r="D55" s="29" t="s">
        <v>911</v>
      </c>
      <c r="E55" s="29"/>
      <c r="F55" s="29"/>
      <c r="G55" s="29"/>
      <c r="H55" s="29"/>
      <c r="I55" s="29"/>
      <c r="J55" s="29"/>
      <c r="K55" s="29"/>
      <c r="L55" s="29" t="s">
        <v>912</v>
      </c>
      <c r="M55" s="29"/>
      <c r="N55" s="29"/>
      <c r="O55" s="29"/>
      <c r="P55" s="29"/>
      <c r="Q55" s="29"/>
      <c r="R55" s="29" t="s">
        <v>565</v>
      </c>
      <c r="S55" s="29"/>
      <c r="T55" s="29"/>
      <c r="U55" s="29"/>
      <c r="V55" s="29"/>
      <c r="W55" s="29" t="s">
        <v>885</v>
      </c>
      <c r="X55" s="29"/>
      <c r="Y55" s="29"/>
      <c r="Z55" s="29"/>
      <c r="AA55" s="29"/>
      <c r="AB55" s="29"/>
      <c r="AC55" s="29"/>
      <c r="AD55" s="29"/>
      <c r="AE55" s="29"/>
    </row>
    <row r="56" customFormat="false" ht="63.75" hidden="false" customHeight="true" outlineLevel="0" collapsed="false">
      <c r="A56" s="29" t="str">
        <f aca="false">TAKVİM!$B$47</f>
        <v>18-22 Ocak</v>
      </c>
      <c r="B56" s="29"/>
      <c r="C56" s="29"/>
      <c r="D56" s="29" t="s">
        <v>913</v>
      </c>
      <c r="E56" s="29"/>
      <c r="F56" s="29"/>
      <c r="G56" s="29"/>
      <c r="H56" s="29"/>
      <c r="I56" s="29"/>
      <c r="J56" s="29"/>
      <c r="K56" s="29"/>
      <c r="L56" s="29" t="s">
        <v>914</v>
      </c>
      <c r="M56" s="29"/>
      <c r="N56" s="29"/>
      <c r="O56" s="29"/>
      <c r="P56" s="29"/>
      <c r="Q56" s="29"/>
      <c r="R56" s="29" t="s">
        <v>565</v>
      </c>
      <c r="S56" s="29"/>
      <c r="T56" s="29"/>
      <c r="U56" s="29"/>
      <c r="V56" s="29"/>
      <c r="W56" s="29" t="s">
        <v>885</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63.75" hidden="false" customHeight="true" outlineLevel="0" collapsed="false">
      <c r="A58" s="29" t="str">
        <f aca="false">TAKVİM!$B$49</f>
        <v>08-12 Şubat</v>
      </c>
      <c r="B58" s="29"/>
      <c r="C58" s="29"/>
      <c r="D58" s="29" t="s">
        <v>915</v>
      </c>
      <c r="E58" s="29"/>
      <c r="F58" s="29"/>
      <c r="G58" s="29"/>
      <c r="H58" s="29"/>
      <c r="I58" s="29"/>
      <c r="J58" s="29"/>
      <c r="K58" s="29"/>
      <c r="L58" s="29" t="s">
        <v>916</v>
      </c>
      <c r="M58" s="29"/>
      <c r="N58" s="29"/>
      <c r="O58" s="29"/>
      <c r="P58" s="29"/>
      <c r="Q58" s="29"/>
      <c r="R58" s="29" t="s">
        <v>565</v>
      </c>
      <c r="S58" s="29"/>
      <c r="T58" s="29"/>
      <c r="U58" s="29"/>
      <c r="V58" s="29"/>
      <c r="W58" s="29" t="s">
        <v>885</v>
      </c>
      <c r="X58" s="29"/>
      <c r="Y58" s="29"/>
      <c r="Z58" s="29"/>
      <c r="AA58" s="29"/>
      <c r="AB58" s="29"/>
      <c r="AC58" s="29"/>
      <c r="AD58" s="29"/>
      <c r="AE58" s="29"/>
    </row>
    <row r="59" customFormat="false" ht="63.75" hidden="false" customHeight="true" outlineLevel="0" collapsed="false">
      <c r="A59" s="29" t="str">
        <f aca="false">TAKVİM!$B$50</f>
        <v>15-19 Şubat</v>
      </c>
      <c r="B59" s="29"/>
      <c r="C59" s="29"/>
      <c r="D59" s="29" t="s">
        <v>917</v>
      </c>
      <c r="E59" s="29"/>
      <c r="F59" s="29"/>
      <c r="G59" s="29"/>
      <c r="H59" s="29"/>
      <c r="I59" s="29"/>
      <c r="J59" s="29"/>
      <c r="K59" s="29"/>
      <c r="L59" s="29" t="s">
        <v>918</v>
      </c>
      <c r="M59" s="29"/>
      <c r="N59" s="29"/>
      <c r="O59" s="29"/>
      <c r="P59" s="29"/>
      <c r="Q59" s="29"/>
      <c r="R59" s="29" t="s">
        <v>565</v>
      </c>
      <c r="S59" s="29"/>
      <c r="T59" s="29"/>
      <c r="U59" s="29"/>
      <c r="V59" s="29"/>
      <c r="W59" s="29" t="s">
        <v>885</v>
      </c>
      <c r="X59" s="29"/>
      <c r="Y59" s="29"/>
      <c r="Z59" s="29"/>
      <c r="AA59" s="29"/>
      <c r="AB59" s="29"/>
      <c r="AC59" s="29"/>
      <c r="AD59" s="29"/>
      <c r="AE59" s="29"/>
    </row>
    <row r="60" customFormat="false" ht="63.75" hidden="false" customHeight="true" outlineLevel="0" collapsed="false">
      <c r="A60" s="29" t="str">
        <f aca="false">TAKVİM!$B$51</f>
        <v>22-26 Şubat</v>
      </c>
      <c r="B60" s="29"/>
      <c r="C60" s="29"/>
      <c r="D60" s="29" t="s">
        <v>919</v>
      </c>
      <c r="E60" s="29"/>
      <c r="F60" s="29"/>
      <c r="G60" s="29"/>
      <c r="H60" s="29"/>
      <c r="I60" s="29"/>
      <c r="J60" s="29"/>
      <c r="K60" s="29"/>
      <c r="L60" s="29" t="s">
        <v>920</v>
      </c>
      <c r="M60" s="29"/>
      <c r="N60" s="29"/>
      <c r="O60" s="29"/>
      <c r="P60" s="29"/>
      <c r="Q60" s="29"/>
      <c r="R60" s="29" t="s">
        <v>565</v>
      </c>
      <c r="S60" s="29"/>
      <c r="T60" s="29"/>
      <c r="U60" s="29"/>
      <c r="V60" s="29"/>
      <c r="W60" s="29" t="s">
        <v>885</v>
      </c>
      <c r="X60" s="29"/>
      <c r="Y60" s="29"/>
      <c r="Z60" s="29"/>
      <c r="AA60" s="29"/>
      <c r="AB60" s="29"/>
      <c r="AC60" s="29"/>
      <c r="AD60" s="29"/>
      <c r="AE60" s="29"/>
    </row>
    <row r="61" customFormat="false" ht="63.75" hidden="false" customHeight="true" outlineLevel="0" collapsed="false">
      <c r="A61" s="29" t="str">
        <f aca="false">TAKVİM!$B$52</f>
        <v>01-05 Mart</v>
      </c>
      <c r="B61" s="29"/>
      <c r="C61" s="29"/>
      <c r="D61" s="29" t="s">
        <v>921</v>
      </c>
      <c r="E61" s="29"/>
      <c r="F61" s="29"/>
      <c r="G61" s="29"/>
      <c r="H61" s="29"/>
      <c r="I61" s="29"/>
      <c r="J61" s="29"/>
      <c r="K61" s="29"/>
      <c r="L61" s="29" t="s">
        <v>922</v>
      </c>
      <c r="M61" s="29"/>
      <c r="N61" s="29"/>
      <c r="O61" s="29"/>
      <c r="P61" s="29"/>
      <c r="Q61" s="29"/>
      <c r="R61" s="29" t="s">
        <v>565</v>
      </c>
      <c r="S61" s="29"/>
      <c r="T61" s="29"/>
      <c r="U61" s="29"/>
      <c r="V61" s="29"/>
      <c r="W61" s="29" t="s">
        <v>885</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63.75" hidden="false" customHeight="true" outlineLevel="0" collapsed="false">
      <c r="A63" s="29" t="str">
        <f aca="false">TAKVİM!$B$54</f>
        <v>15-19 Mart</v>
      </c>
      <c r="B63" s="29"/>
      <c r="C63" s="29"/>
      <c r="D63" s="29" t="s">
        <v>923</v>
      </c>
      <c r="E63" s="29"/>
      <c r="F63" s="29"/>
      <c r="G63" s="29"/>
      <c r="H63" s="29"/>
      <c r="I63" s="29"/>
      <c r="J63" s="29"/>
      <c r="K63" s="29"/>
      <c r="L63" s="29" t="s">
        <v>924</v>
      </c>
      <c r="M63" s="29"/>
      <c r="N63" s="29"/>
      <c r="O63" s="29"/>
      <c r="P63" s="29"/>
      <c r="Q63" s="29"/>
      <c r="R63" s="29" t="s">
        <v>565</v>
      </c>
      <c r="S63" s="29"/>
      <c r="T63" s="29"/>
      <c r="U63" s="29"/>
      <c r="V63" s="29"/>
      <c r="W63" s="29" t="s">
        <v>885</v>
      </c>
      <c r="X63" s="29"/>
      <c r="Y63" s="29"/>
      <c r="Z63" s="29"/>
      <c r="AA63" s="29"/>
      <c r="AB63" s="29"/>
      <c r="AC63" s="29"/>
      <c r="AD63" s="29"/>
      <c r="AE63" s="29"/>
    </row>
    <row r="64" customFormat="false" ht="63.75" hidden="false" customHeight="true" outlineLevel="0" collapsed="false">
      <c r="A64" s="29" t="str">
        <f aca="false">TAKVİM!$B$55</f>
        <v>22-26 Mart</v>
      </c>
      <c r="B64" s="29"/>
      <c r="C64" s="29"/>
      <c r="D64" s="29" t="s">
        <v>925</v>
      </c>
      <c r="E64" s="29"/>
      <c r="F64" s="29"/>
      <c r="G64" s="29"/>
      <c r="H64" s="29"/>
      <c r="I64" s="29"/>
      <c r="J64" s="29"/>
      <c r="K64" s="29"/>
      <c r="L64" s="29" t="s">
        <v>926</v>
      </c>
      <c r="M64" s="29"/>
      <c r="N64" s="29"/>
      <c r="O64" s="29"/>
      <c r="P64" s="29"/>
      <c r="Q64" s="29"/>
      <c r="R64" s="29" t="s">
        <v>565</v>
      </c>
      <c r="S64" s="29"/>
      <c r="T64" s="29"/>
      <c r="U64" s="29"/>
      <c r="V64" s="29"/>
      <c r="W64" s="29" t="s">
        <v>885</v>
      </c>
      <c r="X64" s="29"/>
      <c r="Y64" s="29"/>
      <c r="Z64" s="29"/>
      <c r="AA64" s="29"/>
      <c r="AB64" s="29"/>
      <c r="AC64" s="29"/>
      <c r="AD64" s="29"/>
      <c r="AE64" s="29"/>
    </row>
    <row r="65" customFormat="false" ht="63.75" hidden="false" customHeight="true" outlineLevel="0" collapsed="false">
      <c r="A65" s="29" t="str">
        <f aca="false">TAKVİM!$B$56</f>
        <v>29 Mart - 02 Nisan</v>
      </c>
      <c r="B65" s="29"/>
      <c r="C65" s="29"/>
      <c r="D65" s="29" t="s">
        <v>927</v>
      </c>
      <c r="E65" s="29"/>
      <c r="F65" s="29"/>
      <c r="G65" s="29"/>
      <c r="H65" s="29"/>
      <c r="I65" s="29"/>
      <c r="J65" s="29"/>
      <c r="K65" s="29"/>
      <c r="L65" s="29" t="s">
        <v>928</v>
      </c>
      <c r="M65" s="29"/>
      <c r="N65" s="29"/>
      <c r="O65" s="29"/>
      <c r="P65" s="29"/>
      <c r="Q65" s="29"/>
      <c r="R65" s="29" t="s">
        <v>565</v>
      </c>
      <c r="S65" s="29"/>
      <c r="T65" s="29"/>
      <c r="U65" s="29"/>
      <c r="V65" s="29"/>
      <c r="W65" s="29" t="s">
        <v>885</v>
      </c>
      <c r="X65" s="29"/>
      <c r="Y65" s="29"/>
      <c r="Z65" s="29"/>
      <c r="AA65" s="29"/>
      <c r="AB65" s="29"/>
      <c r="AC65" s="29"/>
      <c r="AD65" s="29"/>
      <c r="AE65" s="29"/>
    </row>
    <row r="66" customFormat="false" ht="63.75" hidden="false" customHeight="true" outlineLevel="0" collapsed="false">
      <c r="A66" s="29" t="str">
        <f aca="false">TAKVİM!$B$57</f>
        <v>05-09 Nisan</v>
      </c>
      <c r="B66" s="29"/>
      <c r="C66" s="29"/>
      <c r="D66" s="29" t="s">
        <v>929</v>
      </c>
      <c r="E66" s="29"/>
      <c r="F66" s="29"/>
      <c r="G66" s="29"/>
      <c r="H66" s="29"/>
      <c r="I66" s="29"/>
      <c r="J66" s="29"/>
      <c r="K66" s="29"/>
      <c r="L66" s="29" t="s">
        <v>930</v>
      </c>
      <c r="M66" s="29"/>
      <c r="N66" s="29"/>
      <c r="O66" s="29"/>
      <c r="P66" s="29"/>
      <c r="Q66" s="29"/>
      <c r="R66" s="29" t="s">
        <v>565</v>
      </c>
      <c r="S66" s="29"/>
      <c r="T66" s="29"/>
      <c r="U66" s="29"/>
      <c r="V66" s="29"/>
      <c r="W66" s="29" t="s">
        <v>885</v>
      </c>
      <c r="X66" s="29"/>
      <c r="Y66" s="29"/>
      <c r="Z66" s="29"/>
      <c r="AA66" s="29"/>
      <c r="AB66" s="29"/>
      <c r="AC66" s="29"/>
      <c r="AD66" s="29"/>
      <c r="AE66" s="29"/>
    </row>
    <row r="67" customFormat="false" ht="63.75" hidden="false" customHeight="true" outlineLevel="0" collapsed="false">
      <c r="A67" s="29" t="str">
        <f aca="false">TAKVİM!$B$58</f>
        <v>12-16 Nisan</v>
      </c>
      <c r="B67" s="29"/>
      <c r="C67" s="29"/>
      <c r="D67" s="29" t="s">
        <v>931</v>
      </c>
      <c r="E67" s="29"/>
      <c r="F67" s="29"/>
      <c r="G67" s="29"/>
      <c r="H67" s="29"/>
      <c r="I67" s="29"/>
      <c r="J67" s="29"/>
      <c r="K67" s="29"/>
      <c r="L67" s="29" t="s">
        <v>932</v>
      </c>
      <c r="M67" s="29"/>
      <c r="N67" s="29"/>
      <c r="O67" s="29"/>
      <c r="P67" s="29"/>
      <c r="Q67" s="29"/>
      <c r="R67" s="29" t="s">
        <v>565</v>
      </c>
      <c r="S67" s="29"/>
      <c r="T67" s="29"/>
      <c r="U67" s="29"/>
      <c r="V67" s="29"/>
      <c r="W67" s="29" t="s">
        <v>885</v>
      </c>
      <c r="X67" s="29"/>
      <c r="Y67" s="29"/>
      <c r="Z67" s="29"/>
      <c r="AA67" s="29"/>
      <c r="AB67" s="29"/>
      <c r="AC67" s="29"/>
      <c r="AD67" s="29"/>
      <c r="AE67" s="29"/>
    </row>
    <row r="68" customFormat="false" ht="63.75" hidden="false" customHeight="true" outlineLevel="0" collapsed="false">
      <c r="A68" s="29" t="str">
        <f aca="false">TAKVİM!$B$59</f>
        <v>19-23 Nisan</v>
      </c>
      <c r="B68" s="29"/>
      <c r="C68" s="29"/>
      <c r="D68" s="29" t="s">
        <v>933</v>
      </c>
      <c r="E68" s="29"/>
      <c r="F68" s="29"/>
      <c r="G68" s="29"/>
      <c r="H68" s="29"/>
      <c r="I68" s="29"/>
      <c r="J68" s="29"/>
      <c r="K68" s="29"/>
      <c r="L68" s="29" t="s">
        <v>934</v>
      </c>
      <c r="M68" s="29"/>
      <c r="N68" s="29"/>
      <c r="O68" s="29"/>
      <c r="P68" s="29"/>
      <c r="Q68" s="29"/>
      <c r="R68" s="29" t="s">
        <v>565</v>
      </c>
      <c r="S68" s="29"/>
      <c r="T68" s="29"/>
      <c r="U68" s="29"/>
      <c r="V68" s="29"/>
      <c r="W68" s="29" t="s">
        <v>885</v>
      </c>
      <c r="X68" s="29"/>
      <c r="Y68" s="29"/>
      <c r="Z68" s="29"/>
      <c r="AA68" s="29"/>
      <c r="AB68" s="29"/>
      <c r="AC68" s="29"/>
      <c r="AD68" s="29"/>
      <c r="AE68" s="29"/>
    </row>
    <row r="69" customFormat="false" ht="63.75" hidden="false" customHeight="true" outlineLevel="0" collapsed="false">
      <c r="A69" s="29" t="str">
        <f aca="false">TAKVİM!$B$60</f>
        <v>26-30 Nisan</v>
      </c>
      <c r="B69" s="29"/>
      <c r="C69" s="29"/>
      <c r="D69" s="29" t="s">
        <v>935</v>
      </c>
      <c r="E69" s="29"/>
      <c r="F69" s="29"/>
      <c r="G69" s="29"/>
      <c r="H69" s="29"/>
      <c r="I69" s="29"/>
      <c r="J69" s="29"/>
      <c r="K69" s="29"/>
      <c r="L69" s="29" t="s">
        <v>936</v>
      </c>
      <c r="M69" s="29"/>
      <c r="N69" s="29"/>
      <c r="O69" s="29"/>
      <c r="P69" s="29"/>
      <c r="Q69" s="29"/>
      <c r="R69" s="29" t="s">
        <v>565</v>
      </c>
      <c r="S69" s="29"/>
      <c r="T69" s="29"/>
      <c r="U69" s="29"/>
      <c r="V69" s="29"/>
      <c r="W69" s="29" t="s">
        <v>885</v>
      </c>
      <c r="X69" s="29"/>
      <c r="Y69" s="29"/>
      <c r="Z69" s="29"/>
      <c r="AA69" s="29"/>
      <c r="AB69" s="29"/>
      <c r="AC69" s="29"/>
      <c r="AD69" s="29"/>
      <c r="AE69" s="29"/>
    </row>
    <row r="70" customFormat="false" ht="63.75" hidden="false" customHeight="true" outlineLevel="0" collapsed="false">
      <c r="A70" s="29" t="str">
        <f aca="false">TAKVİM!$B$61</f>
        <v>03-07 Mayıs</v>
      </c>
      <c r="B70" s="29"/>
      <c r="C70" s="29"/>
      <c r="D70" s="29" t="s">
        <v>937</v>
      </c>
      <c r="E70" s="29"/>
      <c r="F70" s="29"/>
      <c r="G70" s="29"/>
      <c r="H70" s="29"/>
      <c r="I70" s="29"/>
      <c r="J70" s="29"/>
      <c r="K70" s="29"/>
      <c r="L70" s="29" t="s">
        <v>938</v>
      </c>
      <c r="M70" s="29"/>
      <c r="N70" s="29"/>
      <c r="O70" s="29"/>
      <c r="P70" s="29"/>
      <c r="Q70" s="29"/>
      <c r="R70" s="29" t="s">
        <v>565</v>
      </c>
      <c r="S70" s="29"/>
      <c r="T70" s="29"/>
      <c r="U70" s="29"/>
      <c r="V70" s="29"/>
      <c r="W70" s="29" t="s">
        <v>885</v>
      </c>
      <c r="X70" s="29"/>
      <c r="Y70" s="29"/>
      <c r="Z70" s="29"/>
      <c r="AA70" s="29"/>
      <c r="AB70" s="29"/>
      <c r="AC70" s="29"/>
      <c r="AD70" s="29"/>
      <c r="AE70" s="29"/>
    </row>
    <row r="71" customFormat="false" ht="63.75" hidden="false" customHeight="true" outlineLevel="0" collapsed="false">
      <c r="A71" s="29" t="str">
        <f aca="false">TAKVİM!$B$62</f>
        <v>10-14 Mayıs</v>
      </c>
      <c r="B71" s="29"/>
      <c r="C71" s="29"/>
      <c r="D71" s="29" t="s">
        <v>939</v>
      </c>
      <c r="E71" s="29"/>
      <c r="F71" s="29"/>
      <c r="G71" s="29"/>
      <c r="H71" s="29"/>
      <c r="I71" s="29"/>
      <c r="J71" s="29"/>
      <c r="K71" s="29"/>
      <c r="L71" s="29" t="s">
        <v>940</v>
      </c>
      <c r="M71" s="29"/>
      <c r="N71" s="29"/>
      <c r="O71" s="29"/>
      <c r="P71" s="29"/>
      <c r="Q71" s="29"/>
      <c r="R71" s="29" t="s">
        <v>565</v>
      </c>
      <c r="S71" s="29"/>
      <c r="T71" s="29"/>
      <c r="U71" s="29"/>
      <c r="V71" s="29"/>
      <c r="W71" s="29" t="s">
        <v>885</v>
      </c>
      <c r="X71" s="29"/>
      <c r="Y71" s="29"/>
      <c r="Z71" s="29"/>
      <c r="AA71" s="29"/>
      <c r="AB71" s="29"/>
      <c r="AC71" s="29"/>
      <c r="AD71" s="29"/>
      <c r="AE71" s="29"/>
    </row>
    <row r="72" customFormat="false" ht="63.75" hidden="false" customHeight="true" outlineLevel="0" collapsed="false">
      <c r="A72" s="29" t="str">
        <f aca="false">TAKVİM!$B$63</f>
        <v>17-21 Mayıs</v>
      </c>
      <c r="B72" s="29"/>
      <c r="C72" s="29"/>
      <c r="D72" s="29" t="s">
        <v>941</v>
      </c>
      <c r="E72" s="29"/>
      <c r="F72" s="29"/>
      <c r="G72" s="29"/>
      <c r="H72" s="29"/>
      <c r="I72" s="29"/>
      <c r="J72" s="29"/>
      <c r="K72" s="29"/>
      <c r="L72" s="29" t="s">
        <v>942</v>
      </c>
      <c r="M72" s="29"/>
      <c r="N72" s="29"/>
      <c r="O72" s="29"/>
      <c r="P72" s="29"/>
      <c r="Q72" s="29"/>
      <c r="R72" s="29" t="s">
        <v>565</v>
      </c>
      <c r="S72" s="29"/>
      <c r="T72" s="29"/>
      <c r="U72" s="29"/>
      <c r="V72" s="29"/>
      <c r="W72" s="29" t="s">
        <v>885</v>
      </c>
      <c r="X72" s="29"/>
      <c r="Y72" s="29"/>
      <c r="Z72" s="29"/>
      <c r="AA72" s="29"/>
      <c r="AB72" s="29"/>
      <c r="AC72" s="29"/>
      <c r="AD72" s="29"/>
      <c r="AE72" s="29"/>
    </row>
    <row r="73" customFormat="false" ht="63.75" hidden="false" customHeight="true" outlineLevel="0" collapsed="false">
      <c r="A73" s="29" t="str">
        <f aca="false">TAKVİM!$B$64</f>
        <v>24-28 Mayıs</v>
      </c>
      <c r="B73" s="29"/>
      <c r="C73" s="29"/>
      <c r="D73" s="29" t="s">
        <v>943</v>
      </c>
      <c r="E73" s="29"/>
      <c r="F73" s="29"/>
      <c r="G73" s="29"/>
      <c r="H73" s="29"/>
      <c r="I73" s="29"/>
      <c r="J73" s="29"/>
      <c r="K73" s="29"/>
      <c r="L73" s="29" t="s">
        <v>944</v>
      </c>
      <c r="M73" s="29"/>
      <c r="N73" s="29"/>
      <c r="O73" s="29"/>
      <c r="P73" s="29"/>
      <c r="Q73" s="29"/>
      <c r="R73" s="29" t="s">
        <v>565</v>
      </c>
      <c r="S73" s="29"/>
      <c r="T73" s="29"/>
      <c r="U73" s="29"/>
      <c r="V73" s="29"/>
      <c r="W73" s="29" t="s">
        <v>885</v>
      </c>
      <c r="X73" s="29"/>
      <c r="Y73" s="29"/>
      <c r="Z73" s="29"/>
      <c r="AA73" s="29"/>
      <c r="AB73" s="29"/>
      <c r="AC73" s="29"/>
      <c r="AD73" s="29"/>
      <c r="AE73" s="29"/>
    </row>
    <row r="74" customFormat="false" ht="63.75" hidden="false" customHeight="true" outlineLevel="0" collapsed="false">
      <c r="A74" s="29" t="str">
        <f aca="false">TAKVİM!$B$65</f>
        <v>31 Mayıs - 04 Haziran</v>
      </c>
      <c r="B74" s="29"/>
      <c r="C74" s="29"/>
      <c r="D74" s="29" t="s">
        <v>945</v>
      </c>
      <c r="E74" s="29"/>
      <c r="F74" s="29"/>
      <c r="G74" s="29"/>
      <c r="H74" s="29"/>
      <c r="I74" s="29"/>
      <c r="J74" s="29"/>
      <c r="K74" s="29"/>
      <c r="L74" s="29" t="s">
        <v>946</v>
      </c>
      <c r="M74" s="29"/>
      <c r="N74" s="29"/>
      <c r="O74" s="29"/>
      <c r="P74" s="29"/>
      <c r="Q74" s="29"/>
      <c r="R74" s="29" t="s">
        <v>565</v>
      </c>
      <c r="S74" s="29"/>
      <c r="T74" s="29"/>
      <c r="U74" s="29"/>
      <c r="V74" s="29"/>
      <c r="W74" s="29" t="s">
        <v>885</v>
      </c>
      <c r="X74" s="29"/>
      <c r="Y74" s="29"/>
      <c r="Z74" s="29"/>
      <c r="AA74" s="29"/>
      <c r="AB74" s="29"/>
      <c r="AC74" s="29"/>
      <c r="AD74" s="29"/>
      <c r="AE74" s="29"/>
    </row>
    <row r="75" customFormat="false" ht="63.75" hidden="false" customHeight="true" outlineLevel="0" collapsed="false">
      <c r="A75" s="29" t="str">
        <f aca="false">TAKVİM!$B$66</f>
        <v>07-11 Haziran</v>
      </c>
      <c r="B75" s="29"/>
      <c r="C75" s="29"/>
      <c r="D75" s="29" t="s">
        <v>947</v>
      </c>
      <c r="E75" s="29"/>
      <c r="F75" s="29"/>
      <c r="G75" s="29"/>
      <c r="H75" s="29"/>
      <c r="I75" s="29"/>
      <c r="J75" s="29"/>
      <c r="K75" s="29"/>
      <c r="L75" s="29" t="s">
        <v>948</v>
      </c>
      <c r="M75" s="29"/>
      <c r="N75" s="29"/>
      <c r="O75" s="29"/>
      <c r="P75" s="29"/>
      <c r="Q75" s="29"/>
      <c r="R75" s="29" t="s">
        <v>565</v>
      </c>
      <c r="S75" s="29"/>
      <c r="T75" s="29"/>
      <c r="U75" s="29"/>
      <c r="V75" s="29"/>
      <c r="W75" s="29" t="s">
        <v>885</v>
      </c>
      <c r="X75" s="29"/>
      <c r="Y75" s="29"/>
      <c r="Z75" s="29"/>
      <c r="AA75" s="29"/>
      <c r="AB75" s="29"/>
      <c r="AC75" s="29"/>
      <c r="AD75" s="29"/>
      <c r="AE75" s="29"/>
    </row>
    <row r="76" customFormat="false" ht="63.75" hidden="false" customHeight="true" outlineLevel="0" collapsed="false">
      <c r="A76" s="29" t="str">
        <f aca="false">TAKVİM!$B$67</f>
        <v>14-18 Haziran</v>
      </c>
      <c r="B76" s="29"/>
      <c r="C76" s="29"/>
      <c r="D76" s="29" t="s">
        <v>949</v>
      </c>
      <c r="E76" s="29"/>
      <c r="F76" s="29"/>
      <c r="G76" s="29"/>
      <c r="H76" s="29"/>
      <c r="I76" s="29"/>
      <c r="J76" s="29"/>
      <c r="K76" s="29"/>
      <c r="L76" s="29" t="s">
        <v>950</v>
      </c>
      <c r="M76" s="29"/>
      <c r="N76" s="29"/>
      <c r="O76" s="29"/>
      <c r="P76" s="29"/>
      <c r="Q76" s="29"/>
      <c r="R76" s="29" t="s">
        <v>565</v>
      </c>
      <c r="S76" s="29"/>
      <c r="T76" s="29"/>
      <c r="U76" s="29"/>
      <c r="V76" s="29"/>
      <c r="W76" s="29" t="s">
        <v>885</v>
      </c>
      <c r="X76" s="29"/>
      <c r="Y76" s="29"/>
      <c r="Z76" s="29"/>
      <c r="AA76" s="29"/>
      <c r="AB76" s="29"/>
      <c r="AC76" s="29"/>
      <c r="AD76" s="29"/>
      <c r="AE76" s="29"/>
    </row>
    <row r="77" customFormat="false" ht="63.75" hidden="false" customHeight="true" outlineLevel="0" collapsed="false">
      <c r="A77" s="29" t="str">
        <f aca="false">TAKVİM!$B$68</f>
        <v>21-25 Haziran</v>
      </c>
      <c r="B77" s="29"/>
      <c r="C77" s="29"/>
      <c r="D77" s="29" t="s">
        <v>951</v>
      </c>
      <c r="E77" s="29"/>
      <c r="F77" s="29"/>
      <c r="G77" s="29"/>
      <c r="H77" s="29"/>
      <c r="I77" s="29"/>
      <c r="J77" s="29"/>
      <c r="K77" s="29"/>
      <c r="L77" s="29" t="s">
        <v>950</v>
      </c>
      <c r="M77" s="29"/>
      <c r="N77" s="29"/>
      <c r="O77" s="29"/>
      <c r="P77" s="29"/>
      <c r="Q77" s="29"/>
      <c r="R77" s="29" t="s">
        <v>565</v>
      </c>
      <c r="S77" s="29"/>
      <c r="T77" s="29"/>
      <c r="U77" s="29"/>
      <c r="V77" s="29"/>
      <c r="W77" s="29" t="s">
        <v>885</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952</v>
      </c>
      <c r="H4" s="25"/>
      <c r="I4" s="25"/>
      <c r="J4" s="25"/>
      <c r="K4" s="25"/>
      <c r="L4" s="25"/>
      <c r="M4" s="25"/>
      <c r="N4" s="25"/>
      <c r="O4" s="25"/>
      <c r="P4" s="24" t="s">
        <v>102</v>
      </c>
      <c r="Q4" s="24"/>
      <c r="R4" s="24"/>
      <c r="S4" s="24"/>
      <c r="T4" s="24"/>
      <c r="U4" s="25" t="s">
        <v>561</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562</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53.25" hidden="false" customHeight="true" outlineLevel="0" collapsed="false">
      <c r="A38" s="29" t="str">
        <f aca="false">TAKVİM!$B$29</f>
        <v>14-18 Eylül</v>
      </c>
      <c r="B38" s="29"/>
      <c r="C38" s="29"/>
      <c r="D38" s="29" t="s">
        <v>953</v>
      </c>
      <c r="E38" s="29"/>
      <c r="F38" s="29"/>
      <c r="G38" s="29"/>
      <c r="H38" s="29"/>
      <c r="I38" s="29"/>
      <c r="J38" s="29"/>
      <c r="K38" s="29"/>
      <c r="L38" s="29" t="s">
        <v>954</v>
      </c>
      <c r="M38" s="29"/>
      <c r="N38" s="29"/>
      <c r="O38" s="29"/>
      <c r="P38" s="29"/>
      <c r="Q38" s="29"/>
      <c r="R38" s="29" t="s">
        <v>565</v>
      </c>
      <c r="S38" s="29"/>
      <c r="T38" s="29"/>
      <c r="U38" s="29"/>
      <c r="V38" s="29"/>
      <c r="W38" s="29" t="s">
        <v>955</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956</v>
      </c>
      <c r="E39" s="29"/>
      <c r="F39" s="29"/>
      <c r="G39" s="29"/>
      <c r="H39" s="29"/>
      <c r="I39" s="29"/>
      <c r="J39" s="29"/>
      <c r="K39" s="29"/>
      <c r="L39" s="29" t="s">
        <v>954</v>
      </c>
      <c r="M39" s="29"/>
      <c r="N39" s="29"/>
      <c r="O39" s="29"/>
      <c r="P39" s="29"/>
      <c r="Q39" s="29"/>
      <c r="R39" s="29" t="s">
        <v>565</v>
      </c>
      <c r="S39" s="29"/>
      <c r="T39" s="29"/>
      <c r="U39" s="29"/>
      <c r="V39" s="29"/>
      <c r="W39" s="29" t="s">
        <v>955</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957</v>
      </c>
      <c r="E40" s="29"/>
      <c r="F40" s="29"/>
      <c r="G40" s="29"/>
      <c r="H40" s="29"/>
      <c r="I40" s="29"/>
      <c r="J40" s="29"/>
      <c r="K40" s="29"/>
      <c r="L40" s="29" t="s">
        <v>954</v>
      </c>
      <c r="M40" s="29"/>
      <c r="N40" s="29"/>
      <c r="O40" s="29"/>
      <c r="P40" s="29"/>
      <c r="Q40" s="29"/>
      <c r="R40" s="29" t="s">
        <v>565</v>
      </c>
      <c r="S40" s="29"/>
      <c r="T40" s="29"/>
      <c r="U40" s="29"/>
      <c r="V40" s="29"/>
      <c r="W40" s="29" t="s">
        <v>955</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958</v>
      </c>
      <c r="E41" s="29"/>
      <c r="F41" s="29"/>
      <c r="G41" s="29"/>
      <c r="H41" s="29"/>
      <c r="I41" s="29"/>
      <c r="J41" s="29"/>
      <c r="K41" s="29"/>
      <c r="L41" s="29" t="s">
        <v>959</v>
      </c>
      <c r="M41" s="29"/>
      <c r="N41" s="29"/>
      <c r="O41" s="29"/>
      <c r="P41" s="29"/>
      <c r="Q41" s="29"/>
      <c r="R41" s="29" t="s">
        <v>565</v>
      </c>
      <c r="S41" s="29"/>
      <c r="T41" s="29"/>
      <c r="U41" s="29"/>
      <c r="V41" s="29"/>
      <c r="W41" s="29" t="s">
        <v>955</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960</v>
      </c>
      <c r="E42" s="29"/>
      <c r="F42" s="29"/>
      <c r="G42" s="29"/>
      <c r="H42" s="29"/>
      <c r="I42" s="29"/>
      <c r="J42" s="29"/>
      <c r="K42" s="29"/>
      <c r="L42" s="29" t="s">
        <v>959</v>
      </c>
      <c r="M42" s="29"/>
      <c r="N42" s="29"/>
      <c r="O42" s="29"/>
      <c r="P42" s="29"/>
      <c r="Q42" s="29"/>
      <c r="R42" s="29" t="s">
        <v>565</v>
      </c>
      <c r="S42" s="29"/>
      <c r="T42" s="29"/>
      <c r="U42" s="29"/>
      <c r="V42" s="29"/>
      <c r="W42" s="29" t="s">
        <v>955</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961</v>
      </c>
      <c r="E43" s="29"/>
      <c r="F43" s="29"/>
      <c r="G43" s="29"/>
      <c r="H43" s="29"/>
      <c r="I43" s="29"/>
      <c r="J43" s="29"/>
      <c r="K43" s="29"/>
      <c r="L43" s="29" t="s">
        <v>959</v>
      </c>
      <c r="M43" s="29"/>
      <c r="N43" s="29"/>
      <c r="O43" s="29"/>
      <c r="P43" s="29"/>
      <c r="Q43" s="29"/>
      <c r="R43" s="29" t="s">
        <v>565</v>
      </c>
      <c r="S43" s="29"/>
      <c r="T43" s="29"/>
      <c r="U43" s="29"/>
      <c r="V43" s="29"/>
      <c r="W43" s="29" t="s">
        <v>955</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962</v>
      </c>
      <c r="E44" s="29"/>
      <c r="F44" s="29"/>
      <c r="G44" s="29"/>
      <c r="H44" s="29"/>
      <c r="I44" s="29"/>
      <c r="J44" s="29"/>
      <c r="K44" s="29"/>
      <c r="L44" s="29" t="s">
        <v>963</v>
      </c>
      <c r="M44" s="29"/>
      <c r="N44" s="29"/>
      <c r="O44" s="29"/>
      <c r="P44" s="29"/>
      <c r="Q44" s="29"/>
      <c r="R44" s="29" t="s">
        <v>565</v>
      </c>
      <c r="S44" s="29"/>
      <c r="T44" s="29"/>
      <c r="U44" s="29"/>
      <c r="V44" s="29"/>
      <c r="W44" s="29" t="s">
        <v>955</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964</v>
      </c>
      <c r="E45" s="29"/>
      <c r="F45" s="29"/>
      <c r="G45" s="29"/>
      <c r="H45" s="29"/>
      <c r="I45" s="29"/>
      <c r="J45" s="29"/>
      <c r="K45" s="29"/>
      <c r="L45" s="29" t="s">
        <v>963</v>
      </c>
      <c r="M45" s="29"/>
      <c r="N45" s="29"/>
      <c r="O45" s="29"/>
      <c r="P45" s="29"/>
      <c r="Q45" s="29"/>
      <c r="R45" s="29" t="s">
        <v>565</v>
      </c>
      <c r="S45" s="29"/>
      <c r="T45" s="29"/>
      <c r="U45" s="29"/>
      <c r="V45" s="29"/>
      <c r="W45" s="29" t="s">
        <v>955</v>
      </c>
      <c r="X45" s="29"/>
      <c r="Y45" s="29"/>
      <c r="Z45" s="29"/>
      <c r="AA45" s="29"/>
      <c r="AB45" s="29"/>
      <c r="AC45" s="29"/>
      <c r="AD45" s="29"/>
      <c r="AE45" s="29"/>
    </row>
    <row r="46" customFormat="false" ht="53.25" hidden="false" customHeight="true" outlineLevel="0" collapsed="false">
      <c r="A46" s="29" t="str">
        <f aca="false">TAKVİM!$B$37</f>
        <v>09-13 Kasım</v>
      </c>
      <c r="B46" s="29"/>
      <c r="C46" s="29"/>
      <c r="D46" s="29" t="s">
        <v>965</v>
      </c>
      <c r="E46" s="29"/>
      <c r="F46" s="29"/>
      <c r="G46" s="29"/>
      <c r="H46" s="29"/>
      <c r="I46" s="29"/>
      <c r="J46" s="29"/>
      <c r="K46" s="29"/>
      <c r="L46" s="29" t="s">
        <v>966</v>
      </c>
      <c r="M46" s="29"/>
      <c r="N46" s="29"/>
      <c r="O46" s="29"/>
      <c r="P46" s="29"/>
      <c r="Q46" s="29"/>
      <c r="R46" s="29" t="s">
        <v>565</v>
      </c>
      <c r="S46" s="29"/>
      <c r="T46" s="29"/>
      <c r="U46" s="29"/>
      <c r="V46" s="29"/>
      <c r="W46" s="29" t="s">
        <v>955</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53.25" hidden="false" customHeight="true" outlineLevel="0" collapsed="false">
      <c r="A48" s="29" t="str">
        <f aca="false">TAKVİM!$B$39</f>
        <v>23-27 Kasım</v>
      </c>
      <c r="B48" s="29"/>
      <c r="C48" s="29"/>
      <c r="D48" s="29" t="s">
        <v>967</v>
      </c>
      <c r="E48" s="29"/>
      <c r="F48" s="29"/>
      <c r="G48" s="29"/>
      <c r="H48" s="29"/>
      <c r="I48" s="29"/>
      <c r="J48" s="29"/>
      <c r="K48" s="29"/>
      <c r="L48" s="29" t="s">
        <v>966</v>
      </c>
      <c r="M48" s="29"/>
      <c r="N48" s="29"/>
      <c r="O48" s="29"/>
      <c r="P48" s="29"/>
      <c r="Q48" s="29"/>
      <c r="R48" s="29" t="s">
        <v>565</v>
      </c>
      <c r="S48" s="29"/>
      <c r="T48" s="29"/>
      <c r="U48" s="29"/>
      <c r="V48" s="29"/>
      <c r="W48" s="29" t="s">
        <v>955</v>
      </c>
      <c r="X48" s="29"/>
      <c r="Y48" s="29"/>
      <c r="Z48" s="29"/>
      <c r="AA48" s="29"/>
      <c r="AB48" s="29"/>
      <c r="AC48" s="29"/>
      <c r="AD48" s="29"/>
      <c r="AE48" s="29"/>
    </row>
    <row r="49" customFormat="false" ht="53.25" hidden="false" customHeight="true" outlineLevel="0" collapsed="false">
      <c r="A49" s="29" t="str">
        <f aca="false">TAKVİM!$B$40</f>
        <v>30 Kasım - 04 Aralık</v>
      </c>
      <c r="B49" s="29"/>
      <c r="C49" s="29"/>
      <c r="D49" s="29" t="s">
        <v>968</v>
      </c>
      <c r="E49" s="29"/>
      <c r="F49" s="29"/>
      <c r="G49" s="29"/>
      <c r="H49" s="29"/>
      <c r="I49" s="29"/>
      <c r="J49" s="29"/>
      <c r="K49" s="29"/>
      <c r="L49" s="29" t="s">
        <v>969</v>
      </c>
      <c r="M49" s="29"/>
      <c r="N49" s="29"/>
      <c r="O49" s="29"/>
      <c r="P49" s="29"/>
      <c r="Q49" s="29"/>
      <c r="R49" s="29" t="s">
        <v>565</v>
      </c>
      <c r="S49" s="29"/>
      <c r="T49" s="29"/>
      <c r="U49" s="29"/>
      <c r="V49" s="29"/>
      <c r="W49" s="29" t="s">
        <v>955</v>
      </c>
      <c r="X49" s="29"/>
      <c r="Y49" s="29"/>
      <c r="Z49" s="29"/>
      <c r="AA49" s="29"/>
      <c r="AB49" s="29"/>
      <c r="AC49" s="29"/>
      <c r="AD49" s="29"/>
      <c r="AE49" s="29"/>
    </row>
    <row r="50" customFormat="false" ht="53.25" hidden="false" customHeight="true" outlineLevel="0" collapsed="false">
      <c r="A50" s="29" t="str">
        <f aca="false">TAKVİM!$B$41</f>
        <v>07-11 Aralık</v>
      </c>
      <c r="B50" s="29"/>
      <c r="C50" s="29"/>
      <c r="D50" s="29" t="s">
        <v>970</v>
      </c>
      <c r="E50" s="29"/>
      <c r="F50" s="29"/>
      <c r="G50" s="29"/>
      <c r="H50" s="29"/>
      <c r="I50" s="29"/>
      <c r="J50" s="29"/>
      <c r="K50" s="29"/>
      <c r="L50" s="29" t="s">
        <v>969</v>
      </c>
      <c r="M50" s="29"/>
      <c r="N50" s="29"/>
      <c r="O50" s="29"/>
      <c r="P50" s="29"/>
      <c r="Q50" s="29"/>
      <c r="R50" s="29" t="s">
        <v>565</v>
      </c>
      <c r="S50" s="29"/>
      <c r="T50" s="29"/>
      <c r="U50" s="29"/>
      <c r="V50" s="29"/>
      <c r="W50" s="29" t="s">
        <v>955</v>
      </c>
      <c r="X50" s="29"/>
      <c r="Y50" s="29"/>
      <c r="Z50" s="29"/>
      <c r="AA50" s="29"/>
      <c r="AB50" s="29"/>
      <c r="AC50" s="29"/>
      <c r="AD50" s="29"/>
      <c r="AE50" s="29"/>
    </row>
    <row r="51" customFormat="false" ht="53.25" hidden="false" customHeight="true" outlineLevel="0" collapsed="false">
      <c r="A51" s="29" t="str">
        <f aca="false">TAKVİM!$B$42</f>
        <v>14-18 Aralık</v>
      </c>
      <c r="B51" s="29"/>
      <c r="C51" s="29"/>
      <c r="D51" s="29" t="s">
        <v>971</v>
      </c>
      <c r="E51" s="29"/>
      <c r="F51" s="29"/>
      <c r="G51" s="29"/>
      <c r="H51" s="29"/>
      <c r="I51" s="29"/>
      <c r="J51" s="29"/>
      <c r="K51" s="29"/>
      <c r="L51" s="29" t="s">
        <v>972</v>
      </c>
      <c r="M51" s="29"/>
      <c r="N51" s="29"/>
      <c r="O51" s="29"/>
      <c r="P51" s="29"/>
      <c r="Q51" s="29"/>
      <c r="R51" s="29" t="s">
        <v>565</v>
      </c>
      <c r="S51" s="29"/>
      <c r="T51" s="29"/>
      <c r="U51" s="29"/>
      <c r="V51" s="29"/>
      <c r="W51" s="29" t="s">
        <v>955</v>
      </c>
      <c r="X51" s="29"/>
      <c r="Y51" s="29"/>
      <c r="Z51" s="29"/>
      <c r="AA51" s="29"/>
      <c r="AB51" s="29"/>
      <c r="AC51" s="29"/>
      <c r="AD51" s="29"/>
      <c r="AE51" s="29"/>
    </row>
    <row r="52" customFormat="false" ht="53.25" hidden="false" customHeight="true" outlineLevel="0" collapsed="false">
      <c r="A52" s="29" t="str">
        <f aca="false">TAKVİM!$B$43</f>
        <v>21-25 Aralık</v>
      </c>
      <c r="B52" s="29"/>
      <c r="C52" s="29"/>
      <c r="D52" s="29" t="s">
        <v>973</v>
      </c>
      <c r="E52" s="29"/>
      <c r="F52" s="29"/>
      <c r="G52" s="29"/>
      <c r="H52" s="29"/>
      <c r="I52" s="29"/>
      <c r="J52" s="29"/>
      <c r="K52" s="29"/>
      <c r="L52" s="29" t="s">
        <v>972</v>
      </c>
      <c r="M52" s="29"/>
      <c r="N52" s="29"/>
      <c r="O52" s="29"/>
      <c r="P52" s="29"/>
      <c r="Q52" s="29"/>
      <c r="R52" s="29" t="s">
        <v>565</v>
      </c>
      <c r="S52" s="29"/>
      <c r="T52" s="29"/>
      <c r="U52" s="29"/>
      <c r="V52" s="29"/>
      <c r="W52" s="29" t="s">
        <v>955</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974</v>
      </c>
      <c r="E53" s="29"/>
      <c r="F53" s="29"/>
      <c r="G53" s="29"/>
      <c r="H53" s="29"/>
      <c r="I53" s="29"/>
      <c r="J53" s="29"/>
      <c r="K53" s="29"/>
      <c r="L53" s="29" t="s">
        <v>975</v>
      </c>
      <c r="M53" s="29"/>
      <c r="N53" s="29"/>
      <c r="O53" s="29"/>
      <c r="P53" s="29"/>
      <c r="Q53" s="29"/>
      <c r="R53" s="29" t="s">
        <v>565</v>
      </c>
      <c r="S53" s="29"/>
      <c r="T53" s="29"/>
      <c r="U53" s="29"/>
      <c r="V53" s="29"/>
      <c r="W53" s="29" t="s">
        <v>955</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976</v>
      </c>
      <c r="E54" s="29"/>
      <c r="F54" s="29"/>
      <c r="G54" s="29"/>
      <c r="H54" s="29"/>
      <c r="I54" s="29"/>
      <c r="J54" s="29"/>
      <c r="K54" s="29"/>
      <c r="L54" s="29" t="s">
        <v>975</v>
      </c>
      <c r="M54" s="29"/>
      <c r="N54" s="29"/>
      <c r="O54" s="29"/>
      <c r="P54" s="29"/>
      <c r="Q54" s="29"/>
      <c r="R54" s="29" t="s">
        <v>565</v>
      </c>
      <c r="S54" s="29"/>
      <c r="T54" s="29"/>
      <c r="U54" s="29"/>
      <c r="V54" s="29"/>
      <c r="W54" s="29" t="s">
        <v>955</v>
      </c>
      <c r="X54" s="29"/>
      <c r="Y54" s="29"/>
      <c r="Z54" s="29"/>
      <c r="AA54" s="29"/>
      <c r="AB54" s="29"/>
      <c r="AC54" s="29"/>
      <c r="AD54" s="29"/>
      <c r="AE54" s="29"/>
    </row>
    <row r="55" customFormat="false" ht="53.25" hidden="false" customHeight="true" outlineLevel="0" collapsed="false">
      <c r="A55" s="29" t="str">
        <f aca="false">TAKVİM!$B$46</f>
        <v>11-15 Ocak</v>
      </c>
      <c r="B55" s="29"/>
      <c r="C55" s="29"/>
      <c r="D55" s="29" t="s">
        <v>977</v>
      </c>
      <c r="E55" s="29"/>
      <c r="F55" s="29"/>
      <c r="G55" s="29"/>
      <c r="H55" s="29"/>
      <c r="I55" s="29"/>
      <c r="J55" s="29"/>
      <c r="K55" s="29"/>
      <c r="L55" s="29" t="s">
        <v>978</v>
      </c>
      <c r="M55" s="29"/>
      <c r="N55" s="29"/>
      <c r="O55" s="29"/>
      <c r="P55" s="29"/>
      <c r="Q55" s="29"/>
      <c r="R55" s="29" t="s">
        <v>565</v>
      </c>
      <c r="S55" s="29"/>
      <c r="T55" s="29"/>
      <c r="U55" s="29"/>
      <c r="V55" s="29"/>
      <c r="W55" s="29" t="s">
        <v>955</v>
      </c>
      <c r="X55" s="29"/>
      <c r="Y55" s="29"/>
      <c r="Z55" s="29"/>
      <c r="AA55" s="29"/>
      <c r="AB55" s="29"/>
      <c r="AC55" s="29"/>
      <c r="AD55" s="29"/>
      <c r="AE55" s="29"/>
    </row>
    <row r="56" customFormat="false" ht="53.25" hidden="false" customHeight="true" outlineLevel="0" collapsed="false">
      <c r="A56" s="29" t="str">
        <f aca="false">TAKVİM!$B$47</f>
        <v>18-22 Ocak</v>
      </c>
      <c r="B56" s="29"/>
      <c r="C56" s="29"/>
      <c r="D56" s="29" t="s">
        <v>979</v>
      </c>
      <c r="E56" s="29"/>
      <c r="F56" s="29"/>
      <c r="G56" s="29"/>
      <c r="H56" s="29"/>
      <c r="I56" s="29"/>
      <c r="J56" s="29"/>
      <c r="K56" s="29"/>
      <c r="L56" s="29" t="s">
        <v>978</v>
      </c>
      <c r="M56" s="29"/>
      <c r="N56" s="29"/>
      <c r="O56" s="29"/>
      <c r="P56" s="29"/>
      <c r="Q56" s="29"/>
      <c r="R56" s="29" t="s">
        <v>565</v>
      </c>
      <c r="S56" s="29"/>
      <c r="T56" s="29"/>
      <c r="U56" s="29"/>
      <c r="V56" s="29"/>
      <c r="W56" s="29" t="s">
        <v>955</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53.25" hidden="false" customHeight="true" outlineLevel="0" collapsed="false">
      <c r="A58" s="29" t="str">
        <f aca="false">TAKVİM!$B$49</f>
        <v>08-12 Şubat</v>
      </c>
      <c r="B58" s="29"/>
      <c r="C58" s="29"/>
      <c r="D58" s="29" t="s">
        <v>980</v>
      </c>
      <c r="E58" s="29"/>
      <c r="F58" s="29"/>
      <c r="G58" s="29"/>
      <c r="H58" s="29"/>
      <c r="I58" s="29"/>
      <c r="J58" s="29"/>
      <c r="K58" s="29"/>
      <c r="L58" s="29" t="s">
        <v>981</v>
      </c>
      <c r="M58" s="29"/>
      <c r="N58" s="29"/>
      <c r="O58" s="29"/>
      <c r="P58" s="29"/>
      <c r="Q58" s="29"/>
      <c r="R58" s="29" t="s">
        <v>565</v>
      </c>
      <c r="S58" s="29"/>
      <c r="T58" s="29"/>
      <c r="U58" s="29"/>
      <c r="V58" s="29"/>
      <c r="W58" s="29" t="s">
        <v>955</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982</v>
      </c>
      <c r="E59" s="29"/>
      <c r="F59" s="29"/>
      <c r="G59" s="29"/>
      <c r="H59" s="29"/>
      <c r="I59" s="29"/>
      <c r="J59" s="29"/>
      <c r="K59" s="29"/>
      <c r="L59" s="29" t="s">
        <v>981</v>
      </c>
      <c r="M59" s="29"/>
      <c r="N59" s="29"/>
      <c r="O59" s="29"/>
      <c r="P59" s="29"/>
      <c r="Q59" s="29"/>
      <c r="R59" s="29" t="s">
        <v>565</v>
      </c>
      <c r="S59" s="29"/>
      <c r="T59" s="29"/>
      <c r="U59" s="29"/>
      <c r="V59" s="29"/>
      <c r="W59" s="29" t="s">
        <v>955</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983</v>
      </c>
      <c r="E60" s="29"/>
      <c r="F60" s="29"/>
      <c r="G60" s="29"/>
      <c r="H60" s="29"/>
      <c r="I60" s="29"/>
      <c r="J60" s="29"/>
      <c r="K60" s="29"/>
      <c r="L60" s="29" t="s">
        <v>981</v>
      </c>
      <c r="M60" s="29"/>
      <c r="N60" s="29"/>
      <c r="O60" s="29"/>
      <c r="P60" s="29"/>
      <c r="Q60" s="29"/>
      <c r="R60" s="29" t="s">
        <v>565</v>
      </c>
      <c r="S60" s="29"/>
      <c r="T60" s="29"/>
      <c r="U60" s="29"/>
      <c r="V60" s="29"/>
      <c r="W60" s="29" t="s">
        <v>955</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984</v>
      </c>
      <c r="E61" s="29"/>
      <c r="F61" s="29"/>
      <c r="G61" s="29"/>
      <c r="H61" s="29"/>
      <c r="I61" s="29"/>
      <c r="J61" s="29"/>
      <c r="K61" s="29"/>
      <c r="L61" s="29" t="s">
        <v>985</v>
      </c>
      <c r="M61" s="29"/>
      <c r="N61" s="29"/>
      <c r="O61" s="29"/>
      <c r="P61" s="29"/>
      <c r="Q61" s="29"/>
      <c r="R61" s="29" t="s">
        <v>565</v>
      </c>
      <c r="S61" s="29"/>
      <c r="T61" s="29"/>
      <c r="U61" s="29"/>
      <c r="V61" s="29"/>
      <c r="W61" s="29" t="s">
        <v>955</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53.25" hidden="false" customHeight="true" outlineLevel="0" collapsed="false">
      <c r="A63" s="29" t="str">
        <f aca="false">TAKVİM!$B$54</f>
        <v>15-19 Mart</v>
      </c>
      <c r="B63" s="29"/>
      <c r="C63" s="29"/>
      <c r="D63" s="29" t="s">
        <v>986</v>
      </c>
      <c r="E63" s="29"/>
      <c r="F63" s="29"/>
      <c r="G63" s="29"/>
      <c r="H63" s="29"/>
      <c r="I63" s="29"/>
      <c r="J63" s="29"/>
      <c r="K63" s="29"/>
      <c r="L63" s="29" t="s">
        <v>987</v>
      </c>
      <c r="M63" s="29"/>
      <c r="N63" s="29"/>
      <c r="O63" s="29"/>
      <c r="P63" s="29"/>
      <c r="Q63" s="29"/>
      <c r="R63" s="29" t="s">
        <v>565</v>
      </c>
      <c r="S63" s="29"/>
      <c r="T63" s="29"/>
      <c r="U63" s="29"/>
      <c r="V63" s="29"/>
      <c r="W63" s="29" t="s">
        <v>955</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988</v>
      </c>
      <c r="E64" s="29"/>
      <c r="F64" s="29"/>
      <c r="G64" s="29"/>
      <c r="H64" s="29"/>
      <c r="I64" s="29"/>
      <c r="J64" s="29"/>
      <c r="K64" s="29"/>
      <c r="L64" s="29" t="s">
        <v>987</v>
      </c>
      <c r="M64" s="29"/>
      <c r="N64" s="29"/>
      <c r="O64" s="29"/>
      <c r="P64" s="29"/>
      <c r="Q64" s="29"/>
      <c r="R64" s="29" t="s">
        <v>565</v>
      </c>
      <c r="S64" s="29"/>
      <c r="T64" s="29"/>
      <c r="U64" s="29"/>
      <c r="V64" s="29"/>
      <c r="W64" s="29" t="s">
        <v>955</v>
      </c>
      <c r="X64" s="29"/>
      <c r="Y64" s="29"/>
      <c r="Z64" s="29"/>
      <c r="AA64" s="29"/>
      <c r="AB64" s="29"/>
      <c r="AC64" s="29"/>
      <c r="AD64" s="29"/>
      <c r="AE64" s="29"/>
    </row>
    <row r="65" customFormat="false" ht="53.25" hidden="false" customHeight="true" outlineLevel="0" collapsed="false">
      <c r="A65" s="29" t="str">
        <f aca="false">TAKVİM!$B$56</f>
        <v>29 Mart - 02 Nisan</v>
      </c>
      <c r="B65" s="29"/>
      <c r="C65" s="29"/>
      <c r="D65" s="29" t="s">
        <v>989</v>
      </c>
      <c r="E65" s="29"/>
      <c r="F65" s="29"/>
      <c r="G65" s="29"/>
      <c r="H65" s="29"/>
      <c r="I65" s="29"/>
      <c r="J65" s="29"/>
      <c r="K65" s="29"/>
      <c r="L65" s="29" t="s">
        <v>990</v>
      </c>
      <c r="M65" s="29"/>
      <c r="N65" s="29"/>
      <c r="O65" s="29"/>
      <c r="P65" s="29"/>
      <c r="Q65" s="29"/>
      <c r="R65" s="29" t="s">
        <v>565</v>
      </c>
      <c r="S65" s="29"/>
      <c r="T65" s="29"/>
      <c r="U65" s="29"/>
      <c r="V65" s="29"/>
      <c r="W65" s="29" t="s">
        <v>955</v>
      </c>
      <c r="X65" s="29"/>
      <c r="Y65" s="29"/>
      <c r="Z65" s="29"/>
      <c r="AA65" s="29"/>
      <c r="AB65" s="29"/>
      <c r="AC65" s="29"/>
      <c r="AD65" s="29"/>
      <c r="AE65" s="29"/>
    </row>
    <row r="66" customFormat="false" ht="53.25" hidden="false" customHeight="true" outlineLevel="0" collapsed="false">
      <c r="A66" s="29" t="str">
        <f aca="false">TAKVİM!$B$57</f>
        <v>05-09 Nisan</v>
      </c>
      <c r="B66" s="29"/>
      <c r="C66" s="29"/>
      <c r="D66" s="29" t="s">
        <v>991</v>
      </c>
      <c r="E66" s="29"/>
      <c r="F66" s="29"/>
      <c r="G66" s="29"/>
      <c r="H66" s="29"/>
      <c r="I66" s="29"/>
      <c r="J66" s="29"/>
      <c r="K66" s="29"/>
      <c r="L66" s="29" t="s">
        <v>990</v>
      </c>
      <c r="M66" s="29"/>
      <c r="N66" s="29"/>
      <c r="O66" s="29"/>
      <c r="P66" s="29"/>
      <c r="Q66" s="29"/>
      <c r="R66" s="29" t="s">
        <v>565</v>
      </c>
      <c r="S66" s="29"/>
      <c r="T66" s="29"/>
      <c r="U66" s="29"/>
      <c r="V66" s="29"/>
      <c r="W66" s="29" t="s">
        <v>955</v>
      </c>
      <c r="X66" s="29"/>
      <c r="Y66" s="29"/>
      <c r="Z66" s="29"/>
      <c r="AA66" s="29"/>
      <c r="AB66" s="29"/>
      <c r="AC66" s="29"/>
      <c r="AD66" s="29"/>
      <c r="AE66" s="29"/>
    </row>
    <row r="67" customFormat="false" ht="53.25" hidden="false" customHeight="true" outlineLevel="0" collapsed="false">
      <c r="A67" s="29" t="str">
        <f aca="false">TAKVİM!$B$58</f>
        <v>12-16 Nisan</v>
      </c>
      <c r="B67" s="29"/>
      <c r="C67" s="29"/>
      <c r="D67" s="29" t="s">
        <v>992</v>
      </c>
      <c r="E67" s="29"/>
      <c r="F67" s="29"/>
      <c r="G67" s="29"/>
      <c r="H67" s="29"/>
      <c r="I67" s="29"/>
      <c r="J67" s="29"/>
      <c r="K67" s="29"/>
      <c r="L67" s="29" t="s">
        <v>993</v>
      </c>
      <c r="M67" s="29"/>
      <c r="N67" s="29"/>
      <c r="O67" s="29"/>
      <c r="P67" s="29"/>
      <c r="Q67" s="29"/>
      <c r="R67" s="29" t="s">
        <v>565</v>
      </c>
      <c r="S67" s="29"/>
      <c r="T67" s="29"/>
      <c r="U67" s="29"/>
      <c r="V67" s="29"/>
      <c r="W67" s="29" t="s">
        <v>955</v>
      </c>
      <c r="X67" s="29"/>
      <c r="Y67" s="29"/>
      <c r="Z67" s="29"/>
      <c r="AA67" s="29"/>
      <c r="AB67" s="29"/>
      <c r="AC67" s="29"/>
      <c r="AD67" s="29"/>
      <c r="AE67" s="29"/>
    </row>
    <row r="68" customFormat="false" ht="53.25" hidden="false" customHeight="true" outlineLevel="0" collapsed="false">
      <c r="A68" s="29" t="str">
        <f aca="false">TAKVİM!$B$59</f>
        <v>19-23 Nisan</v>
      </c>
      <c r="B68" s="29"/>
      <c r="C68" s="29"/>
      <c r="D68" s="29" t="s">
        <v>994</v>
      </c>
      <c r="E68" s="29"/>
      <c r="F68" s="29"/>
      <c r="G68" s="29"/>
      <c r="H68" s="29"/>
      <c r="I68" s="29"/>
      <c r="J68" s="29"/>
      <c r="K68" s="29"/>
      <c r="L68" s="29" t="s">
        <v>995</v>
      </c>
      <c r="M68" s="29"/>
      <c r="N68" s="29"/>
      <c r="O68" s="29"/>
      <c r="P68" s="29"/>
      <c r="Q68" s="29"/>
      <c r="R68" s="29" t="s">
        <v>565</v>
      </c>
      <c r="S68" s="29"/>
      <c r="T68" s="29"/>
      <c r="U68" s="29"/>
      <c r="V68" s="29"/>
      <c r="W68" s="29" t="s">
        <v>955</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996</v>
      </c>
      <c r="E69" s="29"/>
      <c r="F69" s="29"/>
      <c r="G69" s="29"/>
      <c r="H69" s="29"/>
      <c r="I69" s="29"/>
      <c r="J69" s="29"/>
      <c r="K69" s="29"/>
      <c r="L69" s="29" t="s">
        <v>997</v>
      </c>
      <c r="M69" s="29"/>
      <c r="N69" s="29"/>
      <c r="O69" s="29"/>
      <c r="P69" s="29"/>
      <c r="Q69" s="29"/>
      <c r="R69" s="29" t="s">
        <v>565</v>
      </c>
      <c r="S69" s="29"/>
      <c r="T69" s="29"/>
      <c r="U69" s="29"/>
      <c r="V69" s="29"/>
      <c r="W69" s="29" t="s">
        <v>955</v>
      </c>
      <c r="X69" s="29"/>
      <c r="Y69" s="29"/>
      <c r="Z69" s="29"/>
      <c r="AA69" s="29"/>
      <c r="AB69" s="29"/>
      <c r="AC69" s="29"/>
      <c r="AD69" s="29"/>
      <c r="AE69" s="29"/>
    </row>
    <row r="70" customFormat="false" ht="53.25" hidden="false" customHeight="true" outlineLevel="0" collapsed="false">
      <c r="A70" s="29" t="str">
        <f aca="false">TAKVİM!$B$61</f>
        <v>03-07 Mayıs</v>
      </c>
      <c r="B70" s="29"/>
      <c r="C70" s="29"/>
      <c r="D70" s="29" t="s">
        <v>998</v>
      </c>
      <c r="E70" s="29"/>
      <c r="F70" s="29"/>
      <c r="G70" s="29"/>
      <c r="H70" s="29"/>
      <c r="I70" s="29"/>
      <c r="J70" s="29"/>
      <c r="K70" s="29"/>
      <c r="L70" s="29" t="s">
        <v>997</v>
      </c>
      <c r="M70" s="29"/>
      <c r="N70" s="29"/>
      <c r="O70" s="29"/>
      <c r="P70" s="29"/>
      <c r="Q70" s="29"/>
      <c r="R70" s="29" t="s">
        <v>565</v>
      </c>
      <c r="S70" s="29"/>
      <c r="T70" s="29"/>
      <c r="U70" s="29"/>
      <c r="V70" s="29"/>
      <c r="W70" s="29" t="s">
        <v>955</v>
      </c>
      <c r="X70" s="29"/>
      <c r="Y70" s="29"/>
      <c r="Z70" s="29"/>
      <c r="AA70" s="29"/>
      <c r="AB70" s="29"/>
      <c r="AC70" s="29"/>
      <c r="AD70" s="29"/>
      <c r="AE70" s="29"/>
    </row>
    <row r="71" customFormat="false" ht="53.25" hidden="false" customHeight="true" outlineLevel="0" collapsed="false">
      <c r="A71" s="29" t="str">
        <f aca="false">TAKVİM!$B$62</f>
        <v>10-14 Mayıs</v>
      </c>
      <c r="B71" s="29"/>
      <c r="C71" s="29"/>
      <c r="D71" s="29" t="s">
        <v>999</v>
      </c>
      <c r="E71" s="29"/>
      <c r="F71" s="29"/>
      <c r="G71" s="29"/>
      <c r="H71" s="29"/>
      <c r="I71" s="29"/>
      <c r="J71" s="29"/>
      <c r="K71" s="29"/>
      <c r="L71" s="29" t="s">
        <v>1000</v>
      </c>
      <c r="M71" s="29"/>
      <c r="N71" s="29"/>
      <c r="O71" s="29"/>
      <c r="P71" s="29"/>
      <c r="Q71" s="29"/>
      <c r="R71" s="29" t="s">
        <v>565</v>
      </c>
      <c r="S71" s="29"/>
      <c r="T71" s="29"/>
      <c r="U71" s="29"/>
      <c r="V71" s="29"/>
      <c r="W71" s="29" t="s">
        <v>955</v>
      </c>
      <c r="X71" s="29"/>
      <c r="Y71" s="29"/>
      <c r="Z71" s="29"/>
      <c r="AA71" s="29"/>
      <c r="AB71" s="29"/>
      <c r="AC71" s="29"/>
      <c r="AD71" s="29"/>
      <c r="AE71" s="29"/>
    </row>
    <row r="72" customFormat="false" ht="53.25" hidden="false" customHeight="true" outlineLevel="0" collapsed="false">
      <c r="A72" s="29" t="str">
        <f aca="false">TAKVİM!$B$63</f>
        <v>17-21 Mayıs</v>
      </c>
      <c r="B72" s="29"/>
      <c r="C72" s="29"/>
      <c r="D72" s="29" t="s">
        <v>1001</v>
      </c>
      <c r="E72" s="29"/>
      <c r="F72" s="29"/>
      <c r="G72" s="29"/>
      <c r="H72" s="29"/>
      <c r="I72" s="29"/>
      <c r="J72" s="29"/>
      <c r="K72" s="29"/>
      <c r="L72" s="29" t="s">
        <v>1000</v>
      </c>
      <c r="M72" s="29"/>
      <c r="N72" s="29"/>
      <c r="O72" s="29"/>
      <c r="P72" s="29"/>
      <c r="Q72" s="29"/>
      <c r="R72" s="29" t="s">
        <v>565</v>
      </c>
      <c r="S72" s="29"/>
      <c r="T72" s="29"/>
      <c r="U72" s="29"/>
      <c r="V72" s="29"/>
      <c r="W72" s="29" t="s">
        <v>955</v>
      </c>
      <c r="X72" s="29"/>
      <c r="Y72" s="29"/>
      <c r="Z72" s="29"/>
      <c r="AA72" s="29"/>
      <c r="AB72" s="29"/>
      <c r="AC72" s="29"/>
      <c r="AD72" s="29"/>
      <c r="AE72" s="29"/>
    </row>
    <row r="73" customFormat="false" ht="53.25" hidden="false" customHeight="true" outlineLevel="0" collapsed="false">
      <c r="A73" s="29" t="str">
        <f aca="false">TAKVİM!$B$64</f>
        <v>24-28 Mayıs</v>
      </c>
      <c r="B73" s="29"/>
      <c r="C73" s="29"/>
      <c r="D73" s="29" t="s">
        <v>1002</v>
      </c>
      <c r="E73" s="29"/>
      <c r="F73" s="29"/>
      <c r="G73" s="29"/>
      <c r="H73" s="29"/>
      <c r="I73" s="29"/>
      <c r="J73" s="29"/>
      <c r="K73" s="29"/>
      <c r="L73" s="29" t="s">
        <v>1003</v>
      </c>
      <c r="M73" s="29"/>
      <c r="N73" s="29"/>
      <c r="O73" s="29"/>
      <c r="P73" s="29"/>
      <c r="Q73" s="29"/>
      <c r="R73" s="29" t="s">
        <v>565</v>
      </c>
      <c r="S73" s="29"/>
      <c r="T73" s="29"/>
      <c r="U73" s="29"/>
      <c r="V73" s="29"/>
      <c r="W73" s="29" t="s">
        <v>955</v>
      </c>
      <c r="X73" s="29"/>
      <c r="Y73" s="29"/>
      <c r="Z73" s="29"/>
      <c r="AA73" s="29"/>
      <c r="AB73" s="29"/>
      <c r="AC73" s="29"/>
      <c r="AD73" s="29"/>
      <c r="AE73" s="29"/>
    </row>
    <row r="74" customFormat="false" ht="53.25" hidden="false" customHeight="true" outlineLevel="0" collapsed="false">
      <c r="A74" s="29" t="str">
        <f aca="false">TAKVİM!$B$65</f>
        <v>31 Mayıs - 04 Haziran</v>
      </c>
      <c r="B74" s="29"/>
      <c r="C74" s="29"/>
      <c r="D74" s="29" t="s">
        <v>1004</v>
      </c>
      <c r="E74" s="29"/>
      <c r="F74" s="29"/>
      <c r="G74" s="29"/>
      <c r="H74" s="29"/>
      <c r="I74" s="29"/>
      <c r="J74" s="29"/>
      <c r="K74" s="29"/>
      <c r="L74" s="29" t="s">
        <v>1003</v>
      </c>
      <c r="M74" s="29"/>
      <c r="N74" s="29"/>
      <c r="O74" s="29"/>
      <c r="P74" s="29"/>
      <c r="Q74" s="29"/>
      <c r="R74" s="29" t="s">
        <v>565</v>
      </c>
      <c r="S74" s="29"/>
      <c r="T74" s="29"/>
      <c r="U74" s="29"/>
      <c r="V74" s="29"/>
      <c r="W74" s="29" t="s">
        <v>955</v>
      </c>
      <c r="X74" s="29"/>
      <c r="Y74" s="29"/>
      <c r="Z74" s="29"/>
      <c r="AA74" s="29"/>
      <c r="AB74" s="29"/>
      <c r="AC74" s="29"/>
      <c r="AD74" s="29"/>
      <c r="AE74" s="29"/>
    </row>
    <row r="75" customFormat="false" ht="53.25" hidden="false" customHeight="true" outlineLevel="0" collapsed="false">
      <c r="A75" s="29" t="str">
        <f aca="false">TAKVİM!$B$66</f>
        <v>07-11 Haziran</v>
      </c>
      <c r="B75" s="29"/>
      <c r="C75" s="29"/>
      <c r="D75" s="29" t="s">
        <v>1005</v>
      </c>
      <c r="E75" s="29"/>
      <c r="F75" s="29"/>
      <c r="G75" s="29"/>
      <c r="H75" s="29"/>
      <c r="I75" s="29"/>
      <c r="J75" s="29"/>
      <c r="K75" s="29"/>
      <c r="L75" s="29" t="s">
        <v>1006</v>
      </c>
      <c r="M75" s="29"/>
      <c r="N75" s="29"/>
      <c r="O75" s="29"/>
      <c r="P75" s="29"/>
      <c r="Q75" s="29"/>
      <c r="R75" s="29" t="s">
        <v>565</v>
      </c>
      <c r="S75" s="29"/>
      <c r="T75" s="29"/>
      <c r="U75" s="29"/>
      <c r="V75" s="29"/>
      <c r="W75" s="29" t="s">
        <v>955</v>
      </c>
      <c r="X75" s="29"/>
      <c r="Y75" s="29"/>
      <c r="Z75" s="29"/>
      <c r="AA75" s="29"/>
      <c r="AB75" s="29"/>
      <c r="AC75" s="29"/>
      <c r="AD75" s="29"/>
      <c r="AE75" s="29"/>
    </row>
    <row r="76" customFormat="false" ht="53.25" hidden="false" customHeight="true" outlineLevel="0" collapsed="false">
      <c r="A76" s="29" t="str">
        <f aca="false">TAKVİM!$B$67</f>
        <v>14-18 Haziran</v>
      </c>
      <c r="B76" s="29"/>
      <c r="C76" s="29"/>
      <c r="D76" s="29" t="s">
        <v>1007</v>
      </c>
      <c r="E76" s="29"/>
      <c r="F76" s="29"/>
      <c r="G76" s="29"/>
      <c r="H76" s="29"/>
      <c r="I76" s="29"/>
      <c r="J76" s="29"/>
      <c r="K76" s="29"/>
      <c r="L76" s="29" t="s">
        <v>1006</v>
      </c>
      <c r="M76" s="29"/>
      <c r="N76" s="29"/>
      <c r="O76" s="29"/>
      <c r="P76" s="29"/>
      <c r="Q76" s="29"/>
      <c r="R76" s="29" t="s">
        <v>565</v>
      </c>
      <c r="S76" s="29"/>
      <c r="T76" s="29"/>
      <c r="U76" s="29"/>
      <c r="V76" s="29"/>
      <c r="W76" s="29" t="s">
        <v>955</v>
      </c>
      <c r="X76" s="29"/>
      <c r="Y76" s="29"/>
      <c r="Z76" s="29"/>
      <c r="AA76" s="29"/>
      <c r="AB76" s="29"/>
      <c r="AC76" s="29"/>
      <c r="AD76" s="29"/>
      <c r="AE76" s="29"/>
    </row>
    <row r="77" customFormat="false" ht="53.25" hidden="false" customHeight="true" outlineLevel="0" collapsed="false">
      <c r="A77" s="29" t="str">
        <f aca="false">TAKVİM!$B$68</f>
        <v>21-25 Haziran</v>
      </c>
      <c r="B77" s="29"/>
      <c r="C77" s="29"/>
      <c r="D77" s="29" t="s">
        <v>1008</v>
      </c>
      <c r="E77" s="29"/>
      <c r="F77" s="29"/>
      <c r="G77" s="29"/>
      <c r="H77" s="29"/>
      <c r="I77" s="29"/>
      <c r="J77" s="29"/>
      <c r="K77" s="29"/>
      <c r="L77" s="29" t="s">
        <v>1009</v>
      </c>
      <c r="M77" s="29"/>
      <c r="N77" s="29"/>
      <c r="O77" s="29"/>
      <c r="P77" s="29"/>
      <c r="Q77" s="29"/>
      <c r="R77" s="29" t="s">
        <v>565</v>
      </c>
      <c r="S77" s="29"/>
      <c r="T77" s="29"/>
      <c r="U77" s="29"/>
      <c r="V77" s="29"/>
      <c r="W77" s="29" t="s">
        <v>955</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1010</v>
      </c>
      <c r="H4" s="25"/>
      <c r="I4" s="25"/>
      <c r="J4" s="25"/>
      <c r="K4" s="25"/>
      <c r="L4" s="25"/>
      <c r="M4" s="25"/>
      <c r="N4" s="25"/>
      <c r="O4" s="25"/>
      <c r="P4" s="24" t="s">
        <v>102</v>
      </c>
      <c r="Q4" s="24"/>
      <c r="R4" s="24"/>
      <c r="S4" s="24"/>
      <c r="T4" s="24"/>
      <c r="U4" s="25" t="s">
        <v>561</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882</v>
      </c>
      <c r="H5" s="25"/>
      <c r="I5" s="25"/>
      <c r="J5" s="25"/>
      <c r="K5" s="25"/>
      <c r="L5" s="25"/>
      <c r="M5" s="25"/>
      <c r="N5" s="25"/>
      <c r="O5" s="25"/>
      <c r="P5" s="24" t="s">
        <v>106</v>
      </c>
      <c r="Q5" s="24"/>
      <c r="R5" s="24"/>
      <c r="S5" s="24"/>
      <c r="T5" s="24"/>
      <c r="U5" s="25" t="s">
        <v>562</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63.75" hidden="false" customHeight="true" outlineLevel="0" collapsed="false">
      <c r="A38" s="29" t="str">
        <f aca="false">TAKVİM!$B$29</f>
        <v>14-18 Eylül</v>
      </c>
      <c r="B38" s="29"/>
      <c r="C38" s="29"/>
      <c r="D38" s="29" t="s">
        <v>1011</v>
      </c>
      <c r="E38" s="29"/>
      <c r="F38" s="29"/>
      <c r="G38" s="29"/>
      <c r="H38" s="29"/>
      <c r="I38" s="29"/>
      <c r="J38" s="29"/>
      <c r="K38" s="29"/>
      <c r="L38" s="29" t="s">
        <v>1012</v>
      </c>
      <c r="M38" s="29"/>
      <c r="N38" s="29"/>
      <c r="O38" s="29"/>
      <c r="P38" s="29"/>
      <c r="Q38" s="29"/>
      <c r="R38" s="29" t="s">
        <v>565</v>
      </c>
      <c r="S38" s="29"/>
      <c r="T38" s="29"/>
      <c r="U38" s="29"/>
      <c r="V38" s="29"/>
      <c r="W38" s="29" t="s">
        <v>1013</v>
      </c>
      <c r="X38" s="29"/>
      <c r="Y38" s="29"/>
      <c r="Z38" s="29"/>
      <c r="AA38" s="29"/>
      <c r="AB38" s="29"/>
      <c r="AC38" s="29"/>
      <c r="AD38" s="29"/>
      <c r="AE38" s="29"/>
    </row>
    <row r="39" customFormat="false" ht="63.75" hidden="false" customHeight="true" outlineLevel="0" collapsed="false">
      <c r="A39" s="29" t="str">
        <f aca="false">TAKVİM!$B$30</f>
        <v>21-25 Eylül</v>
      </c>
      <c r="B39" s="29"/>
      <c r="C39" s="29"/>
      <c r="D39" s="29" t="s">
        <v>1011</v>
      </c>
      <c r="E39" s="29"/>
      <c r="F39" s="29"/>
      <c r="G39" s="29"/>
      <c r="H39" s="29"/>
      <c r="I39" s="29"/>
      <c r="J39" s="29"/>
      <c r="K39" s="29"/>
      <c r="L39" s="29" t="s">
        <v>1014</v>
      </c>
      <c r="M39" s="29"/>
      <c r="N39" s="29"/>
      <c r="O39" s="29"/>
      <c r="P39" s="29"/>
      <c r="Q39" s="29"/>
      <c r="R39" s="29" t="s">
        <v>565</v>
      </c>
      <c r="S39" s="29"/>
      <c r="T39" s="29"/>
      <c r="U39" s="29"/>
      <c r="V39" s="29"/>
      <c r="W39" s="29" t="s">
        <v>1013</v>
      </c>
      <c r="X39" s="29"/>
      <c r="Y39" s="29"/>
      <c r="Z39" s="29"/>
      <c r="AA39" s="29"/>
      <c r="AB39" s="29"/>
      <c r="AC39" s="29"/>
      <c r="AD39" s="29"/>
      <c r="AE39" s="29"/>
    </row>
    <row r="40" customFormat="false" ht="63.75" hidden="false" customHeight="true" outlineLevel="0" collapsed="false">
      <c r="A40" s="29" t="str">
        <f aca="false">TAKVİM!$B$31</f>
        <v>28 Eylül - 02 Ekim</v>
      </c>
      <c r="B40" s="29"/>
      <c r="C40" s="29"/>
      <c r="D40" s="29" t="s">
        <v>1015</v>
      </c>
      <c r="E40" s="29"/>
      <c r="F40" s="29"/>
      <c r="G40" s="29"/>
      <c r="H40" s="29"/>
      <c r="I40" s="29"/>
      <c r="J40" s="29"/>
      <c r="K40" s="29"/>
      <c r="L40" s="29" t="s">
        <v>1016</v>
      </c>
      <c r="M40" s="29"/>
      <c r="N40" s="29"/>
      <c r="O40" s="29"/>
      <c r="P40" s="29"/>
      <c r="Q40" s="29"/>
      <c r="R40" s="29" t="s">
        <v>565</v>
      </c>
      <c r="S40" s="29"/>
      <c r="T40" s="29"/>
      <c r="U40" s="29"/>
      <c r="V40" s="29"/>
      <c r="W40" s="29" t="s">
        <v>1013</v>
      </c>
      <c r="X40" s="29"/>
      <c r="Y40" s="29"/>
      <c r="Z40" s="29"/>
      <c r="AA40" s="29"/>
      <c r="AB40" s="29"/>
      <c r="AC40" s="29"/>
      <c r="AD40" s="29"/>
      <c r="AE40" s="29"/>
    </row>
    <row r="41" customFormat="false" ht="63.75" hidden="false" customHeight="true" outlineLevel="0" collapsed="false">
      <c r="A41" s="29" t="str">
        <f aca="false">TAKVİM!$B$32</f>
        <v>05-09 Ekim</v>
      </c>
      <c r="B41" s="29"/>
      <c r="C41" s="29"/>
      <c r="D41" s="29" t="s">
        <v>1015</v>
      </c>
      <c r="E41" s="29"/>
      <c r="F41" s="29"/>
      <c r="G41" s="29"/>
      <c r="H41" s="29"/>
      <c r="I41" s="29"/>
      <c r="J41" s="29"/>
      <c r="K41" s="29"/>
      <c r="L41" s="29" t="s">
        <v>1017</v>
      </c>
      <c r="M41" s="29"/>
      <c r="N41" s="29"/>
      <c r="O41" s="29"/>
      <c r="P41" s="29"/>
      <c r="Q41" s="29"/>
      <c r="R41" s="29" t="s">
        <v>565</v>
      </c>
      <c r="S41" s="29"/>
      <c r="T41" s="29"/>
      <c r="U41" s="29"/>
      <c r="V41" s="29"/>
      <c r="W41" s="29" t="s">
        <v>1013</v>
      </c>
      <c r="X41" s="29"/>
      <c r="Y41" s="29"/>
      <c r="Z41" s="29"/>
      <c r="AA41" s="29"/>
      <c r="AB41" s="29"/>
      <c r="AC41" s="29"/>
      <c r="AD41" s="29"/>
      <c r="AE41" s="29"/>
    </row>
    <row r="42" customFormat="false" ht="63.75" hidden="false" customHeight="true" outlineLevel="0" collapsed="false">
      <c r="A42" s="29" t="str">
        <f aca="false">TAKVİM!$B$33</f>
        <v>12-16 Ekim</v>
      </c>
      <c r="B42" s="29"/>
      <c r="C42" s="29"/>
      <c r="D42" s="29" t="s">
        <v>1015</v>
      </c>
      <c r="E42" s="29"/>
      <c r="F42" s="29"/>
      <c r="G42" s="29"/>
      <c r="H42" s="29"/>
      <c r="I42" s="29"/>
      <c r="J42" s="29"/>
      <c r="K42" s="29"/>
      <c r="L42" s="29" t="s">
        <v>1018</v>
      </c>
      <c r="M42" s="29"/>
      <c r="N42" s="29"/>
      <c r="O42" s="29"/>
      <c r="P42" s="29"/>
      <c r="Q42" s="29"/>
      <c r="R42" s="29" t="s">
        <v>565</v>
      </c>
      <c r="S42" s="29"/>
      <c r="T42" s="29"/>
      <c r="U42" s="29"/>
      <c r="V42" s="29"/>
      <c r="W42" s="29" t="s">
        <v>1013</v>
      </c>
      <c r="X42" s="29"/>
      <c r="Y42" s="29"/>
      <c r="Z42" s="29"/>
      <c r="AA42" s="29"/>
      <c r="AB42" s="29"/>
      <c r="AC42" s="29"/>
      <c r="AD42" s="29"/>
      <c r="AE42" s="29"/>
    </row>
    <row r="43" customFormat="false" ht="63.75" hidden="false" customHeight="true" outlineLevel="0" collapsed="false">
      <c r="A43" s="29" t="str">
        <f aca="false">TAKVİM!$B$34</f>
        <v>19-23 Ekim</v>
      </c>
      <c r="B43" s="29"/>
      <c r="C43" s="29"/>
      <c r="D43" s="29" t="s">
        <v>1015</v>
      </c>
      <c r="E43" s="29"/>
      <c r="F43" s="29"/>
      <c r="G43" s="29"/>
      <c r="H43" s="29"/>
      <c r="I43" s="29"/>
      <c r="J43" s="29"/>
      <c r="K43" s="29"/>
      <c r="L43" s="29" t="s">
        <v>1019</v>
      </c>
      <c r="M43" s="29"/>
      <c r="N43" s="29"/>
      <c r="O43" s="29"/>
      <c r="P43" s="29"/>
      <c r="Q43" s="29"/>
      <c r="R43" s="29" t="s">
        <v>565</v>
      </c>
      <c r="S43" s="29"/>
      <c r="T43" s="29"/>
      <c r="U43" s="29"/>
      <c r="V43" s="29"/>
      <c r="W43" s="29" t="s">
        <v>1013</v>
      </c>
      <c r="X43" s="29"/>
      <c r="Y43" s="29"/>
      <c r="Z43" s="29"/>
      <c r="AA43" s="29"/>
      <c r="AB43" s="29"/>
      <c r="AC43" s="29"/>
      <c r="AD43" s="29"/>
      <c r="AE43" s="29"/>
    </row>
    <row r="44" customFormat="false" ht="63.75" hidden="false" customHeight="true" outlineLevel="0" collapsed="false">
      <c r="A44" s="29" t="str">
        <f aca="false">TAKVİM!$B$35</f>
        <v>26-30 Ekim</v>
      </c>
      <c r="B44" s="29"/>
      <c r="C44" s="29"/>
      <c r="D44" s="29" t="s">
        <v>1020</v>
      </c>
      <c r="E44" s="29"/>
      <c r="F44" s="29"/>
      <c r="G44" s="29"/>
      <c r="H44" s="29"/>
      <c r="I44" s="29"/>
      <c r="J44" s="29"/>
      <c r="K44" s="29"/>
      <c r="L44" s="29" t="s">
        <v>1021</v>
      </c>
      <c r="M44" s="29"/>
      <c r="N44" s="29"/>
      <c r="O44" s="29"/>
      <c r="P44" s="29"/>
      <c r="Q44" s="29"/>
      <c r="R44" s="29" t="s">
        <v>565</v>
      </c>
      <c r="S44" s="29"/>
      <c r="T44" s="29"/>
      <c r="U44" s="29"/>
      <c r="V44" s="29"/>
      <c r="W44" s="29" t="s">
        <v>1013</v>
      </c>
      <c r="X44" s="29"/>
      <c r="Y44" s="29"/>
      <c r="Z44" s="29"/>
      <c r="AA44" s="29"/>
      <c r="AB44" s="29"/>
      <c r="AC44" s="29"/>
      <c r="AD44" s="29"/>
      <c r="AE44" s="29"/>
    </row>
    <row r="45" customFormat="false" ht="63.75" hidden="false" customHeight="true" outlineLevel="0" collapsed="false">
      <c r="A45" s="29" t="str">
        <f aca="false">TAKVİM!$B$36</f>
        <v>02-06 Kasım</v>
      </c>
      <c r="B45" s="29"/>
      <c r="C45" s="29"/>
      <c r="D45" s="29" t="s">
        <v>1020</v>
      </c>
      <c r="E45" s="29"/>
      <c r="F45" s="29"/>
      <c r="G45" s="29"/>
      <c r="H45" s="29"/>
      <c r="I45" s="29"/>
      <c r="J45" s="29"/>
      <c r="K45" s="29"/>
      <c r="L45" s="29" t="s">
        <v>1022</v>
      </c>
      <c r="M45" s="29"/>
      <c r="N45" s="29"/>
      <c r="O45" s="29"/>
      <c r="P45" s="29"/>
      <c r="Q45" s="29"/>
      <c r="R45" s="29" t="s">
        <v>565</v>
      </c>
      <c r="S45" s="29"/>
      <c r="T45" s="29"/>
      <c r="U45" s="29"/>
      <c r="V45" s="29"/>
      <c r="W45" s="29" t="s">
        <v>1013</v>
      </c>
      <c r="X45" s="29"/>
      <c r="Y45" s="29"/>
      <c r="Z45" s="29"/>
      <c r="AA45" s="29"/>
      <c r="AB45" s="29"/>
      <c r="AC45" s="29"/>
      <c r="AD45" s="29"/>
      <c r="AE45" s="29"/>
    </row>
    <row r="46" customFormat="false" ht="63.75" hidden="false" customHeight="true" outlineLevel="0" collapsed="false">
      <c r="A46" s="29" t="str">
        <f aca="false">TAKVİM!$B$37</f>
        <v>09-13 Kasım</v>
      </c>
      <c r="B46" s="29"/>
      <c r="C46" s="29"/>
      <c r="D46" s="29" t="s">
        <v>1020</v>
      </c>
      <c r="E46" s="29"/>
      <c r="F46" s="29"/>
      <c r="G46" s="29"/>
      <c r="H46" s="29"/>
      <c r="I46" s="29"/>
      <c r="J46" s="29"/>
      <c r="K46" s="29"/>
      <c r="L46" s="29" t="s">
        <v>1023</v>
      </c>
      <c r="M46" s="29"/>
      <c r="N46" s="29"/>
      <c r="O46" s="29"/>
      <c r="P46" s="29"/>
      <c r="Q46" s="29"/>
      <c r="R46" s="29" t="s">
        <v>565</v>
      </c>
      <c r="S46" s="29"/>
      <c r="T46" s="29"/>
      <c r="U46" s="29"/>
      <c r="V46" s="29"/>
      <c r="W46" s="29" t="s">
        <v>1013</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63.75" hidden="false" customHeight="true" outlineLevel="0" collapsed="false">
      <c r="A48" s="29" t="str">
        <f aca="false">TAKVİM!$B$39</f>
        <v>23-27 Kasım</v>
      </c>
      <c r="B48" s="29"/>
      <c r="C48" s="29"/>
      <c r="D48" s="29" t="s">
        <v>1020</v>
      </c>
      <c r="E48" s="29"/>
      <c r="F48" s="29"/>
      <c r="G48" s="29"/>
      <c r="H48" s="29"/>
      <c r="I48" s="29"/>
      <c r="J48" s="29"/>
      <c r="K48" s="29"/>
      <c r="L48" s="29" t="s">
        <v>1024</v>
      </c>
      <c r="M48" s="29"/>
      <c r="N48" s="29"/>
      <c r="O48" s="29"/>
      <c r="P48" s="29"/>
      <c r="Q48" s="29"/>
      <c r="R48" s="29" t="s">
        <v>565</v>
      </c>
      <c r="S48" s="29"/>
      <c r="T48" s="29"/>
      <c r="U48" s="29"/>
      <c r="V48" s="29"/>
      <c r="W48" s="29" t="s">
        <v>1013</v>
      </c>
      <c r="X48" s="29"/>
      <c r="Y48" s="29"/>
      <c r="Z48" s="29"/>
      <c r="AA48" s="29"/>
      <c r="AB48" s="29"/>
      <c r="AC48" s="29"/>
      <c r="AD48" s="29"/>
      <c r="AE48" s="29"/>
    </row>
    <row r="49" customFormat="false" ht="63.75" hidden="false" customHeight="true" outlineLevel="0" collapsed="false">
      <c r="A49" s="29" t="str">
        <f aca="false">TAKVİM!$B$40</f>
        <v>30 Kasım - 04 Aralık</v>
      </c>
      <c r="B49" s="29"/>
      <c r="C49" s="29"/>
      <c r="D49" s="29" t="s">
        <v>1020</v>
      </c>
      <c r="E49" s="29"/>
      <c r="F49" s="29"/>
      <c r="G49" s="29"/>
      <c r="H49" s="29"/>
      <c r="I49" s="29"/>
      <c r="J49" s="29"/>
      <c r="K49" s="29"/>
      <c r="L49" s="29" t="s">
        <v>1025</v>
      </c>
      <c r="M49" s="29"/>
      <c r="N49" s="29"/>
      <c r="O49" s="29"/>
      <c r="P49" s="29"/>
      <c r="Q49" s="29"/>
      <c r="R49" s="29" t="s">
        <v>565</v>
      </c>
      <c r="S49" s="29"/>
      <c r="T49" s="29"/>
      <c r="U49" s="29"/>
      <c r="V49" s="29"/>
      <c r="W49" s="29" t="s">
        <v>1013</v>
      </c>
      <c r="X49" s="29"/>
      <c r="Y49" s="29"/>
      <c r="Z49" s="29"/>
      <c r="AA49" s="29"/>
      <c r="AB49" s="29"/>
      <c r="AC49" s="29"/>
      <c r="AD49" s="29"/>
      <c r="AE49" s="29"/>
    </row>
    <row r="50" customFormat="false" ht="63.75" hidden="false" customHeight="true" outlineLevel="0" collapsed="false">
      <c r="A50" s="29" t="str">
        <f aca="false">TAKVİM!$B$41</f>
        <v>07-11 Aralık</v>
      </c>
      <c r="B50" s="29"/>
      <c r="C50" s="29"/>
      <c r="D50" s="29" t="s">
        <v>1020</v>
      </c>
      <c r="E50" s="29"/>
      <c r="F50" s="29"/>
      <c r="G50" s="29"/>
      <c r="H50" s="29"/>
      <c r="I50" s="29"/>
      <c r="J50" s="29"/>
      <c r="K50" s="29"/>
      <c r="L50" s="29" t="s">
        <v>1026</v>
      </c>
      <c r="M50" s="29"/>
      <c r="N50" s="29"/>
      <c r="O50" s="29"/>
      <c r="P50" s="29"/>
      <c r="Q50" s="29"/>
      <c r="R50" s="29" t="s">
        <v>565</v>
      </c>
      <c r="S50" s="29"/>
      <c r="T50" s="29"/>
      <c r="U50" s="29"/>
      <c r="V50" s="29"/>
      <c r="W50" s="29" t="s">
        <v>1013</v>
      </c>
      <c r="X50" s="29"/>
      <c r="Y50" s="29"/>
      <c r="Z50" s="29"/>
      <c r="AA50" s="29"/>
      <c r="AB50" s="29"/>
      <c r="AC50" s="29"/>
      <c r="AD50" s="29"/>
      <c r="AE50" s="29"/>
    </row>
    <row r="51" customFormat="false" ht="63.75" hidden="false" customHeight="true" outlineLevel="0" collapsed="false">
      <c r="A51" s="29" t="str">
        <f aca="false">TAKVİM!$B$42</f>
        <v>14-18 Aralık</v>
      </c>
      <c r="B51" s="29"/>
      <c r="C51" s="29"/>
      <c r="D51" s="29" t="s">
        <v>1020</v>
      </c>
      <c r="E51" s="29"/>
      <c r="F51" s="29"/>
      <c r="G51" s="29"/>
      <c r="H51" s="29"/>
      <c r="I51" s="29"/>
      <c r="J51" s="29"/>
      <c r="K51" s="29"/>
      <c r="L51" s="29" t="s">
        <v>1027</v>
      </c>
      <c r="M51" s="29"/>
      <c r="N51" s="29"/>
      <c r="O51" s="29"/>
      <c r="P51" s="29"/>
      <c r="Q51" s="29"/>
      <c r="R51" s="29" t="s">
        <v>565</v>
      </c>
      <c r="S51" s="29"/>
      <c r="T51" s="29"/>
      <c r="U51" s="29"/>
      <c r="V51" s="29"/>
      <c r="W51" s="29" t="s">
        <v>1013</v>
      </c>
      <c r="X51" s="29"/>
      <c r="Y51" s="29"/>
      <c r="Z51" s="29"/>
      <c r="AA51" s="29"/>
      <c r="AB51" s="29"/>
      <c r="AC51" s="29"/>
      <c r="AD51" s="29"/>
      <c r="AE51" s="29"/>
    </row>
    <row r="52" customFormat="false" ht="63.75" hidden="false" customHeight="true" outlineLevel="0" collapsed="false">
      <c r="A52" s="29" t="str">
        <f aca="false">TAKVİM!$B$43</f>
        <v>21-25 Aralık</v>
      </c>
      <c r="B52" s="29"/>
      <c r="C52" s="29"/>
      <c r="D52" s="29" t="s">
        <v>1028</v>
      </c>
      <c r="E52" s="29"/>
      <c r="F52" s="29"/>
      <c r="G52" s="29"/>
      <c r="H52" s="29"/>
      <c r="I52" s="29"/>
      <c r="J52" s="29"/>
      <c r="K52" s="29"/>
      <c r="L52" s="29" t="s">
        <v>1029</v>
      </c>
      <c r="M52" s="29"/>
      <c r="N52" s="29"/>
      <c r="O52" s="29"/>
      <c r="P52" s="29"/>
      <c r="Q52" s="29"/>
      <c r="R52" s="29" t="s">
        <v>565</v>
      </c>
      <c r="S52" s="29"/>
      <c r="T52" s="29"/>
      <c r="U52" s="29"/>
      <c r="V52" s="29"/>
      <c r="W52" s="29" t="s">
        <v>1030</v>
      </c>
      <c r="X52" s="29"/>
      <c r="Y52" s="29"/>
      <c r="Z52" s="29"/>
      <c r="AA52" s="29"/>
      <c r="AB52" s="29"/>
      <c r="AC52" s="29"/>
      <c r="AD52" s="29"/>
      <c r="AE52" s="29"/>
    </row>
    <row r="53" customFormat="false" ht="63.75" hidden="false" customHeight="true" outlineLevel="0" collapsed="false">
      <c r="A53" s="29" t="str">
        <f aca="false">TAKVİM!$B$44</f>
        <v>28 Aralık - 01 Ocak</v>
      </c>
      <c r="B53" s="29"/>
      <c r="C53" s="29"/>
      <c r="D53" s="29" t="s">
        <v>1028</v>
      </c>
      <c r="E53" s="29"/>
      <c r="F53" s="29"/>
      <c r="G53" s="29"/>
      <c r="H53" s="29"/>
      <c r="I53" s="29"/>
      <c r="J53" s="29"/>
      <c r="K53" s="29"/>
      <c r="L53" s="29" t="s">
        <v>1031</v>
      </c>
      <c r="M53" s="29"/>
      <c r="N53" s="29"/>
      <c r="O53" s="29"/>
      <c r="P53" s="29"/>
      <c r="Q53" s="29"/>
      <c r="R53" s="29" t="s">
        <v>565</v>
      </c>
      <c r="S53" s="29"/>
      <c r="T53" s="29"/>
      <c r="U53" s="29"/>
      <c r="V53" s="29"/>
      <c r="W53" s="29" t="s">
        <v>1030</v>
      </c>
      <c r="X53" s="29"/>
      <c r="Y53" s="29"/>
      <c r="Z53" s="29"/>
      <c r="AA53" s="29"/>
      <c r="AB53" s="29"/>
      <c r="AC53" s="29"/>
      <c r="AD53" s="29"/>
      <c r="AE53" s="29"/>
    </row>
    <row r="54" customFormat="false" ht="63.75" hidden="false" customHeight="true" outlineLevel="0" collapsed="false">
      <c r="A54" s="29" t="str">
        <f aca="false">TAKVİM!$B$45</f>
        <v>04-08 Ocak</v>
      </c>
      <c r="B54" s="29"/>
      <c r="C54" s="29"/>
      <c r="D54" s="29" t="s">
        <v>1028</v>
      </c>
      <c r="E54" s="29"/>
      <c r="F54" s="29"/>
      <c r="G54" s="29"/>
      <c r="H54" s="29"/>
      <c r="I54" s="29"/>
      <c r="J54" s="29"/>
      <c r="K54" s="29"/>
      <c r="L54" s="29" t="s">
        <v>1032</v>
      </c>
      <c r="M54" s="29"/>
      <c r="N54" s="29"/>
      <c r="O54" s="29"/>
      <c r="P54" s="29"/>
      <c r="Q54" s="29"/>
      <c r="R54" s="29" t="s">
        <v>565</v>
      </c>
      <c r="S54" s="29"/>
      <c r="T54" s="29"/>
      <c r="U54" s="29"/>
      <c r="V54" s="29"/>
      <c r="W54" s="29" t="s">
        <v>1030</v>
      </c>
      <c r="X54" s="29"/>
      <c r="Y54" s="29"/>
      <c r="Z54" s="29"/>
      <c r="AA54" s="29"/>
      <c r="AB54" s="29"/>
      <c r="AC54" s="29"/>
      <c r="AD54" s="29"/>
      <c r="AE54" s="29"/>
    </row>
    <row r="55" customFormat="false" ht="63.75" hidden="false" customHeight="true" outlineLevel="0" collapsed="false">
      <c r="A55" s="29" t="str">
        <f aca="false">TAKVİM!$B$46</f>
        <v>11-15 Ocak</v>
      </c>
      <c r="B55" s="29"/>
      <c r="C55" s="29"/>
      <c r="D55" s="29" t="s">
        <v>1033</v>
      </c>
      <c r="E55" s="29"/>
      <c r="F55" s="29"/>
      <c r="G55" s="29"/>
      <c r="H55" s="29"/>
      <c r="I55" s="29"/>
      <c r="J55" s="29"/>
      <c r="K55" s="29"/>
      <c r="L55" s="29" t="s">
        <v>1034</v>
      </c>
      <c r="M55" s="29"/>
      <c r="N55" s="29"/>
      <c r="O55" s="29"/>
      <c r="P55" s="29"/>
      <c r="Q55" s="29"/>
      <c r="R55" s="29" t="s">
        <v>565</v>
      </c>
      <c r="S55" s="29"/>
      <c r="T55" s="29"/>
      <c r="U55" s="29"/>
      <c r="V55" s="29"/>
      <c r="W55" s="29" t="s">
        <v>1030</v>
      </c>
      <c r="X55" s="29"/>
      <c r="Y55" s="29"/>
      <c r="Z55" s="29"/>
      <c r="AA55" s="29"/>
      <c r="AB55" s="29"/>
      <c r="AC55" s="29"/>
      <c r="AD55" s="29"/>
      <c r="AE55" s="29"/>
    </row>
    <row r="56" customFormat="false" ht="63.75" hidden="false" customHeight="true" outlineLevel="0" collapsed="false">
      <c r="A56" s="29" t="str">
        <f aca="false">TAKVİM!$B$47</f>
        <v>18-22 Ocak</v>
      </c>
      <c r="B56" s="29"/>
      <c r="C56" s="29"/>
      <c r="D56" s="29" t="s">
        <v>1033</v>
      </c>
      <c r="E56" s="29"/>
      <c r="F56" s="29"/>
      <c r="G56" s="29"/>
      <c r="H56" s="29"/>
      <c r="I56" s="29"/>
      <c r="J56" s="29"/>
      <c r="K56" s="29"/>
      <c r="L56" s="29" t="s">
        <v>1035</v>
      </c>
      <c r="M56" s="29"/>
      <c r="N56" s="29"/>
      <c r="O56" s="29"/>
      <c r="P56" s="29"/>
      <c r="Q56" s="29"/>
      <c r="R56" s="29" t="s">
        <v>565</v>
      </c>
      <c r="S56" s="29"/>
      <c r="T56" s="29"/>
      <c r="U56" s="29"/>
      <c r="V56" s="29"/>
      <c r="W56" s="29" t="s">
        <v>1030</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63.75" hidden="false" customHeight="true" outlineLevel="0" collapsed="false">
      <c r="A58" s="29" t="str">
        <f aca="false">TAKVİM!$B$49</f>
        <v>08-12 Şubat</v>
      </c>
      <c r="B58" s="29"/>
      <c r="C58" s="29"/>
      <c r="D58" s="29" t="s">
        <v>1033</v>
      </c>
      <c r="E58" s="29"/>
      <c r="F58" s="29"/>
      <c r="G58" s="29"/>
      <c r="H58" s="29"/>
      <c r="I58" s="29"/>
      <c r="J58" s="29"/>
      <c r="K58" s="29"/>
      <c r="L58" s="29" t="s">
        <v>1036</v>
      </c>
      <c r="M58" s="29"/>
      <c r="N58" s="29"/>
      <c r="O58" s="29"/>
      <c r="P58" s="29"/>
      <c r="Q58" s="29"/>
      <c r="R58" s="29" t="s">
        <v>565</v>
      </c>
      <c r="S58" s="29"/>
      <c r="T58" s="29"/>
      <c r="U58" s="29"/>
      <c r="V58" s="29"/>
      <c r="W58" s="29" t="s">
        <v>1030</v>
      </c>
      <c r="X58" s="29"/>
      <c r="Y58" s="29"/>
      <c r="Z58" s="29"/>
      <c r="AA58" s="29"/>
      <c r="AB58" s="29"/>
      <c r="AC58" s="29"/>
      <c r="AD58" s="29"/>
      <c r="AE58" s="29"/>
    </row>
    <row r="59" customFormat="false" ht="63.75" hidden="false" customHeight="true" outlineLevel="0" collapsed="false">
      <c r="A59" s="29" t="str">
        <f aca="false">TAKVİM!$B$50</f>
        <v>15-19 Şubat</v>
      </c>
      <c r="B59" s="29"/>
      <c r="C59" s="29"/>
      <c r="D59" s="29" t="s">
        <v>1037</v>
      </c>
      <c r="E59" s="29"/>
      <c r="F59" s="29"/>
      <c r="G59" s="29"/>
      <c r="H59" s="29"/>
      <c r="I59" s="29"/>
      <c r="J59" s="29"/>
      <c r="K59" s="29"/>
      <c r="L59" s="29" t="s">
        <v>1038</v>
      </c>
      <c r="M59" s="29"/>
      <c r="N59" s="29"/>
      <c r="O59" s="29"/>
      <c r="P59" s="29"/>
      <c r="Q59" s="29"/>
      <c r="R59" s="29" t="s">
        <v>565</v>
      </c>
      <c r="S59" s="29"/>
      <c r="T59" s="29"/>
      <c r="U59" s="29"/>
      <c r="V59" s="29"/>
      <c r="W59" s="29" t="s">
        <v>1030</v>
      </c>
      <c r="X59" s="29"/>
      <c r="Y59" s="29"/>
      <c r="Z59" s="29"/>
      <c r="AA59" s="29"/>
      <c r="AB59" s="29"/>
      <c r="AC59" s="29"/>
      <c r="AD59" s="29"/>
      <c r="AE59" s="29"/>
    </row>
    <row r="60" customFormat="false" ht="63.75" hidden="false" customHeight="true" outlineLevel="0" collapsed="false">
      <c r="A60" s="29" t="str">
        <f aca="false">TAKVİM!$B$51</f>
        <v>22-26 Şubat</v>
      </c>
      <c r="B60" s="29"/>
      <c r="C60" s="29"/>
      <c r="D60" s="29" t="s">
        <v>1037</v>
      </c>
      <c r="E60" s="29"/>
      <c r="F60" s="29"/>
      <c r="G60" s="29"/>
      <c r="H60" s="29"/>
      <c r="I60" s="29"/>
      <c r="J60" s="29"/>
      <c r="K60" s="29"/>
      <c r="L60" s="29" t="s">
        <v>1039</v>
      </c>
      <c r="M60" s="29"/>
      <c r="N60" s="29"/>
      <c r="O60" s="29"/>
      <c r="P60" s="29"/>
      <c r="Q60" s="29"/>
      <c r="R60" s="29" t="s">
        <v>565</v>
      </c>
      <c r="S60" s="29"/>
      <c r="T60" s="29"/>
      <c r="U60" s="29"/>
      <c r="V60" s="29"/>
      <c r="W60" s="29" t="s">
        <v>1030</v>
      </c>
      <c r="X60" s="29"/>
      <c r="Y60" s="29"/>
      <c r="Z60" s="29"/>
      <c r="AA60" s="29"/>
      <c r="AB60" s="29"/>
      <c r="AC60" s="29"/>
      <c r="AD60" s="29"/>
      <c r="AE60" s="29"/>
    </row>
    <row r="61" customFormat="false" ht="63.75" hidden="false" customHeight="true" outlineLevel="0" collapsed="false">
      <c r="A61" s="29" t="str">
        <f aca="false">TAKVİM!$B$52</f>
        <v>01-05 Mart</v>
      </c>
      <c r="B61" s="29"/>
      <c r="C61" s="29"/>
      <c r="D61" s="29" t="s">
        <v>1037</v>
      </c>
      <c r="E61" s="29"/>
      <c r="F61" s="29"/>
      <c r="G61" s="29"/>
      <c r="H61" s="29"/>
      <c r="I61" s="29"/>
      <c r="J61" s="29"/>
      <c r="K61" s="29"/>
      <c r="L61" s="29" t="s">
        <v>1040</v>
      </c>
      <c r="M61" s="29"/>
      <c r="N61" s="29"/>
      <c r="O61" s="29"/>
      <c r="P61" s="29"/>
      <c r="Q61" s="29"/>
      <c r="R61" s="29" t="s">
        <v>565</v>
      </c>
      <c r="S61" s="29"/>
      <c r="T61" s="29"/>
      <c r="U61" s="29"/>
      <c r="V61" s="29"/>
      <c r="W61" s="29" t="s">
        <v>1030</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63.75" hidden="false" customHeight="true" outlineLevel="0" collapsed="false">
      <c r="A63" s="29" t="str">
        <f aca="false">TAKVİM!$B$54</f>
        <v>15-19 Mart</v>
      </c>
      <c r="B63" s="29"/>
      <c r="C63" s="29"/>
      <c r="D63" s="29" t="s">
        <v>1037</v>
      </c>
      <c r="E63" s="29"/>
      <c r="F63" s="29"/>
      <c r="G63" s="29"/>
      <c r="H63" s="29"/>
      <c r="I63" s="29"/>
      <c r="J63" s="29"/>
      <c r="K63" s="29"/>
      <c r="L63" s="29" t="s">
        <v>1041</v>
      </c>
      <c r="M63" s="29"/>
      <c r="N63" s="29"/>
      <c r="O63" s="29"/>
      <c r="P63" s="29"/>
      <c r="Q63" s="29"/>
      <c r="R63" s="29" t="s">
        <v>565</v>
      </c>
      <c r="S63" s="29"/>
      <c r="T63" s="29"/>
      <c r="U63" s="29"/>
      <c r="V63" s="29"/>
      <c r="W63" s="29" t="s">
        <v>1030</v>
      </c>
      <c r="X63" s="29"/>
      <c r="Y63" s="29"/>
      <c r="Z63" s="29"/>
      <c r="AA63" s="29"/>
      <c r="AB63" s="29"/>
      <c r="AC63" s="29"/>
      <c r="AD63" s="29"/>
      <c r="AE63" s="29"/>
    </row>
    <row r="64" customFormat="false" ht="63.75" hidden="false" customHeight="true" outlineLevel="0" collapsed="false">
      <c r="A64" s="29" t="str">
        <f aca="false">TAKVİM!$B$55</f>
        <v>22-26 Mart</v>
      </c>
      <c r="B64" s="29"/>
      <c r="C64" s="29"/>
      <c r="D64" s="29" t="s">
        <v>1037</v>
      </c>
      <c r="E64" s="29"/>
      <c r="F64" s="29"/>
      <c r="G64" s="29"/>
      <c r="H64" s="29"/>
      <c r="I64" s="29"/>
      <c r="J64" s="29"/>
      <c r="K64" s="29"/>
      <c r="L64" s="29" t="s">
        <v>1042</v>
      </c>
      <c r="M64" s="29"/>
      <c r="N64" s="29"/>
      <c r="O64" s="29"/>
      <c r="P64" s="29"/>
      <c r="Q64" s="29"/>
      <c r="R64" s="29" t="s">
        <v>565</v>
      </c>
      <c r="S64" s="29"/>
      <c r="T64" s="29"/>
      <c r="U64" s="29"/>
      <c r="V64" s="29"/>
      <c r="W64" s="29" t="s">
        <v>1030</v>
      </c>
      <c r="X64" s="29"/>
      <c r="Y64" s="29"/>
      <c r="Z64" s="29"/>
      <c r="AA64" s="29"/>
      <c r="AB64" s="29"/>
      <c r="AC64" s="29"/>
      <c r="AD64" s="29"/>
      <c r="AE64" s="29"/>
    </row>
    <row r="65" customFormat="false" ht="63.75" hidden="false" customHeight="true" outlineLevel="0" collapsed="false">
      <c r="A65" s="29" t="str">
        <f aca="false">TAKVİM!$B$56</f>
        <v>29 Mart - 02 Nisan</v>
      </c>
      <c r="B65" s="29"/>
      <c r="C65" s="29"/>
      <c r="D65" s="29" t="s">
        <v>1037</v>
      </c>
      <c r="E65" s="29"/>
      <c r="F65" s="29"/>
      <c r="G65" s="29"/>
      <c r="H65" s="29"/>
      <c r="I65" s="29"/>
      <c r="J65" s="29"/>
      <c r="K65" s="29"/>
      <c r="L65" s="29" t="s">
        <v>1043</v>
      </c>
      <c r="M65" s="29"/>
      <c r="N65" s="29"/>
      <c r="O65" s="29"/>
      <c r="P65" s="29"/>
      <c r="Q65" s="29"/>
      <c r="R65" s="29" t="s">
        <v>565</v>
      </c>
      <c r="S65" s="29"/>
      <c r="T65" s="29"/>
      <c r="U65" s="29"/>
      <c r="V65" s="29"/>
      <c r="W65" s="29" t="s">
        <v>1030</v>
      </c>
      <c r="X65" s="29"/>
      <c r="Y65" s="29"/>
      <c r="Z65" s="29"/>
      <c r="AA65" s="29"/>
      <c r="AB65" s="29"/>
      <c r="AC65" s="29"/>
      <c r="AD65" s="29"/>
      <c r="AE65" s="29"/>
    </row>
    <row r="66" customFormat="false" ht="74.25" hidden="false" customHeight="true" outlineLevel="0" collapsed="false">
      <c r="A66" s="29" t="str">
        <f aca="false">TAKVİM!$B$57</f>
        <v>05-09 Nisan</v>
      </c>
      <c r="B66" s="29"/>
      <c r="C66" s="29"/>
      <c r="D66" s="29" t="s">
        <v>1044</v>
      </c>
      <c r="E66" s="29"/>
      <c r="F66" s="29"/>
      <c r="G66" s="29"/>
      <c r="H66" s="29"/>
      <c r="I66" s="29"/>
      <c r="J66" s="29"/>
      <c r="K66" s="29"/>
      <c r="L66" s="29" t="s">
        <v>1045</v>
      </c>
      <c r="M66" s="29"/>
      <c r="N66" s="29"/>
      <c r="O66" s="29"/>
      <c r="P66" s="29"/>
      <c r="Q66" s="29"/>
      <c r="R66" s="29" t="s">
        <v>565</v>
      </c>
      <c r="S66" s="29"/>
      <c r="T66" s="29"/>
      <c r="U66" s="29"/>
      <c r="V66" s="29"/>
      <c r="W66" s="29" t="s">
        <v>1046</v>
      </c>
      <c r="X66" s="29"/>
      <c r="Y66" s="29"/>
      <c r="Z66" s="29"/>
      <c r="AA66" s="29"/>
      <c r="AB66" s="29"/>
      <c r="AC66" s="29"/>
      <c r="AD66" s="29"/>
      <c r="AE66" s="29"/>
    </row>
    <row r="67" customFormat="false" ht="74.25" hidden="false" customHeight="true" outlineLevel="0" collapsed="false">
      <c r="A67" s="29" t="str">
        <f aca="false">TAKVİM!$B$58</f>
        <v>12-16 Nisan</v>
      </c>
      <c r="B67" s="29"/>
      <c r="C67" s="29"/>
      <c r="D67" s="29" t="s">
        <v>1044</v>
      </c>
      <c r="E67" s="29"/>
      <c r="F67" s="29"/>
      <c r="G67" s="29"/>
      <c r="H67" s="29"/>
      <c r="I67" s="29"/>
      <c r="J67" s="29"/>
      <c r="K67" s="29"/>
      <c r="L67" s="29" t="s">
        <v>1047</v>
      </c>
      <c r="M67" s="29"/>
      <c r="N67" s="29"/>
      <c r="O67" s="29"/>
      <c r="P67" s="29"/>
      <c r="Q67" s="29"/>
      <c r="R67" s="29" t="s">
        <v>565</v>
      </c>
      <c r="S67" s="29"/>
      <c r="T67" s="29"/>
      <c r="U67" s="29"/>
      <c r="V67" s="29"/>
      <c r="W67" s="29" t="s">
        <v>1046</v>
      </c>
      <c r="X67" s="29"/>
      <c r="Y67" s="29"/>
      <c r="Z67" s="29"/>
      <c r="AA67" s="29"/>
      <c r="AB67" s="29"/>
      <c r="AC67" s="29"/>
      <c r="AD67" s="29"/>
      <c r="AE67" s="29"/>
    </row>
    <row r="68" customFormat="false" ht="74.25" hidden="false" customHeight="true" outlineLevel="0" collapsed="false">
      <c r="A68" s="29" t="str">
        <f aca="false">TAKVİM!$B$59</f>
        <v>19-23 Nisan</v>
      </c>
      <c r="B68" s="29"/>
      <c r="C68" s="29"/>
      <c r="D68" s="29" t="s">
        <v>1044</v>
      </c>
      <c r="E68" s="29"/>
      <c r="F68" s="29"/>
      <c r="G68" s="29"/>
      <c r="H68" s="29"/>
      <c r="I68" s="29"/>
      <c r="J68" s="29"/>
      <c r="K68" s="29"/>
      <c r="L68" s="29" t="s">
        <v>1048</v>
      </c>
      <c r="M68" s="29"/>
      <c r="N68" s="29"/>
      <c r="O68" s="29"/>
      <c r="P68" s="29"/>
      <c r="Q68" s="29"/>
      <c r="R68" s="29" t="s">
        <v>565</v>
      </c>
      <c r="S68" s="29"/>
      <c r="T68" s="29"/>
      <c r="U68" s="29"/>
      <c r="V68" s="29"/>
      <c r="W68" s="29" t="s">
        <v>1046</v>
      </c>
      <c r="X68" s="29"/>
      <c r="Y68" s="29"/>
      <c r="Z68" s="29"/>
      <c r="AA68" s="29"/>
      <c r="AB68" s="29"/>
      <c r="AC68" s="29"/>
      <c r="AD68" s="29"/>
      <c r="AE68" s="29"/>
    </row>
    <row r="69" customFormat="false" ht="74.25" hidden="false" customHeight="true" outlineLevel="0" collapsed="false">
      <c r="A69" s="29" t="str">
        <f aca="false">TAKVİM!$B$60</f>
        <v>26-30 Nisan</v>
      </c>
      <c r="B69" s="29"/>
      <c r="C69" s="29"/>
      <c r="D69" s="29" t="s">
        <v>1044</v>
      </c>
      <c r="E69" s="29"/>
      <c r="F69" s="29"/>
      <c r="G69" s="29"/>
      <c r="H69" s="29"/>
      <c r="I69" s="29"/>
      <c r="J69" s="29"/>
      <c r="K69" s="29"/>
      <c r="L69" s="29" t="s">
        <v>1049</v>
      </c>
      <c r="M69" s="29"/>
      <c r="N69" s="29"/>
      <c r="O69" s="29"/>
      <c r="P69" s="29"/>
      <c r="Q69" s="29"/>
      <c r="R69" s="29" t="s">
        <v>565</v>
      </c>
      <c r="S69" s="29"/>
      <c r="T69" s="29"/>
      <c r="U69" s="29"/>
      <c r="V69" s="29"/>
      <c r="W69" s="29" t="s">
        <v>1046</v>
      </c>
      <c r="X69" s="29"/>
      <c r="Y69" s="29"/>
      <c r="Z69" s="29"/>
      <c r="AA69" s="29"/>
      <c r="AB69" s="29"/>
      <c r="AC69" s="29"/>
      <c r="AD69" s="29"/>
      <c r="AE69" s="29"/>
    </row>
    <row r="70" customFormat="false" ht="74.25" hidden="false" customHeight="true" outlineLevel="0" collapsed="false">
      <c r="A70" s="29" t="str">
        <f aca="false">TAKVİM!$B$61</f>
        <v>03-07 Mayıs</v>
      </c>
      <c r="B70" s="29"/>
      <c r="C70" s="29"/>
      <c r="D70" s="29" t="s">
        <v>1044</v>
      </c>
      <c r="E70" s="29"/>
      <c r="F70" s="29"/>
      <c r="G70" s="29"/>
      <c r="H70" s="29"/>
      <c r="I70" s="29"/>
      <c r="J70" s="29"/>
      <c r="K70" s="29"/>
      <c r="L70" s="29" t="s">
        <v>1050</v>
      </c>
      <c r="M70" s="29"/>
      <c r="N70" s="29"/>
      <c r="O70" s="29"/>
      <c r="P70" s="29"/>
      <c r="Q70" s="29"/>
      <c r="R70" s="29" t="s">
        <v>565</v>
      </c>
      <c r="S70" s="29"/>
      <c r="T70" s="29"/>
      <c r="U70" s="29"/>
      <c r="V70" s="29"/>
      <c r="W70" s="29" t="s">
        <v>1046</v>
      </c>
      <c r="X70" s="29"/>
      <c r="Y70" s="29"/>
      <c r="Z70" s="29"/>
      <c r="AA70" s="29"/>
      <c r="AB70" s="29"/>
      <c r="AC70" s="29"/>
      <c r="AD70" s="29"/>
      <c r="AE70" s="29"/>
    </row>
    <row r="71" customFormat="false" ht="74.25" hidden="false" customHeight="true" outlineLevel="0" collapsed="false">
      <c r="A71" s="29" t="str">
        <f aca="false">TAKVİM!$B$62</f>
        <v>10-14 Mayıs</v>
      </c>
      <c r="B71" s="29"/>
      <c r="C71" s="29"/>
      <c r="D71" s="29" t="s">
        <v>1044</v>
      </c>
      <c r="E71" s="29"/>
      <c r="F71" s="29"/>
      <c r="G71" s="29"/>
      <c r="H71" s="29"/>
      <c r="I71" s="29"/>
      <c r="J71" s="29"/>
      <c r="K71" s="29"/>
      <c r="L71" s="29" t="s">
        <v>1051</v>
      </c>
      <c r="M71" s="29"/>
      <c r="N71" s="29"/>
      <c r="O71" s="29"/>
      <c r="P71" s="29"/>
      <c r="Q71" s="29"/>
      <c r="R71" s="29" t="s">
        <v>565</v>
      </c>
      <c r="S71" s="29"/>
      <c r="T71" s="29"/>
      <c r="U71" s="29"/>
      <c r="V71" s="29"/>
      <c r="W71" s="29" t="s">
        <v>1046</v>
      </c>
      <c r="X71" s="29"/>
      <c r="Y71" s="29"/>
      <c r="Z71" s="29"/>
      <c r="AA71" s="29"/>
      <c r="AB71" s="29"/>
      <c r="AC71" s="29"/>
      <c r="AD71" s="29"/>
      <c r="AE71" s="29"/>
    </row>
    <row r="72" customFormat="false" ht="74.25" hidden="false" customHeight="true" outlineLevel="0" collapsed="false">
      <c r="A72" s="29" t="str">
        <f aca="false">TAKVİM!$B$63</f>
        <v>17-21 Mayıs</v>
      </c>
      <c r="B72" s="29"/>
      <c r="C72" s="29"/>
      <c r="D72" s="29" t="s">
        <v>1044</v>
      </c>
      <c r="E72" s="29"/>
      <c r="F72" s="29"/>
      <c r="G72" s="29"/>
      <c r="H72" s="29"/>
      <c r="I72" s="29"/>
      <c r="J72" s="29"/>
      <c r="K72" s="29"/>
      <c r="L72" s="29" t="s">
        <v>1052</v>
      </c>
      <c r="M72" s="29"/>
      <c r="N72" s="29"/>
      <c r="O72" s="29"/>
      <c r="P72" s="29"/>
      <c r="Q72" s="29"/>
      <c r="R72" s="29" t="s">
        <v>565</v>
      </c>
      <c r="S72" s="29"/>
      <c r="T72" s="29"/>
      <c r="U72" s="29"/>
      <c r="V72" s="29"/>
      <c r="W72" s="29" t="s">
        <v>1046</v>
      </c>
      <c r="X72" s="29"/>
      <c r="Y72" s="29"/>
      <c r="Z72" s="29"/>
      <c r="AA72" s="29"/>
      <c r="AB72" s="29"/>
      <c r="AC72" s="29"/>
      <c r="AD72" s="29"/>
      <c r="AE72" s="29"/>
    </row>
    <row r="73" customFormat="false" ht="74.25" hidden="false" customHeight="true" outlineLevel="0" collapsed="false">
      <c r="A73" s="29" t="str">
        <f aca="false">TAKVİM!$B$64</f>
        <v>24-28 Mayıs</v>
      </c>
      <c r="B73" s="29"/>
      <c r="C73" s="29"/>
      <c r="D73" s="29" t="s">
        <v>1044</v>
      </c>
      <c r="E73" s="29"/>
      <c r="F73" s="29"/>
      <c r="G73" s="29"/>
      <c r="H73" s="29"/>
      <c r="I73" s="29"/>
      <c r="J73" s="29"/>
      <c r="K73" s="29"/>
      <c r="L73" s="29" t="s">
        <v>1053</v>
      </c>
      <c r="M73" s="29"/>
      <c r="N73" s="29"/>
      <c r="O73" s="29"/>
      <c r="P73" s="29"/>
      <c r="Q73" s="29"/>
      <c r="R73" s="29" t="s">
        <v>565</v>
      </c>
      <c r="S73" s="29"/>
      <c r="T73" s="29"/>
      <c r="U73" s="29"/>
      <c r="V73" s="29"/>
      <c r="W73" s="29" t="s">
        <v>1046</v>
      </c>
      <c r="X73" s="29"/>
      <c r="Y73" s="29"/>
      <c r="Z73" s="29"/>
      <c r="AA73" s="29"/>
      <c r="AB73" s="29"/>
      <c r="AC73" s="29"/>
      <c r="AD73" s="29"/>
      <c r="AE73" s="29"/>
    </row>
    <row r="74" customFormat="false" ht="74.25" hidden="false" customHeight="true" outlineLevel="0" collapsed="false">
      <c r="A74" s="29" t="str">
        <f aca="false">TAKVİM!$B$65</f>
        <v>31 Mayıs - 04 Haziran</v>
      </c>
      <c r="B74" s="29"/>
      <c r="C74" s="29"/>
      <c r="D74" s="29" t="s">
        <v>1044</v>
      </c>
      <c r="E74" s="29"/>
      <c r="F74" s="29"/>
      <c r="G74" s="29"/>
      <c r="H74" s="29"/>
      <c r="I74" s="29"/>
      <c r="J74" s="29"/>
      <c r="K74" s="29"/>
      <c r="L74" s="29" t="s">
        <v>1054</v>
      </c>
      <c r="M74" s="29"/>
      <c r="N74" s="29"/>
      <c r="O74" s="29"/>
      <c r="P74" s="29"/>
      <c r="Q74" s="29"/>
      <c r="R74" s="29" t="s">
        <v>565</v>
      </c>
      <c r="S74" s="29"/>
      <c r="T74" s="29"/>
      <c r="U74" s="29"/>
      <c r="V74" s="29"/>
      <c r="W74" s="29" t="s">
        <v>1046</v>
      </c>
      <c r="X74" s="29"/>
      <c r="Y74" s="29"/>
      <c r="Z74" s="29"/>
      <c r="AA74" s="29"/>
      <c r="AB74" s="29"/>
      <c r="AC74" s="29"/>
      <c r="AD74" s="29"/>
      <c r="AE74" s="29"/>
    </row>
    <row r="75" customFormat="false" ht="74.25" hidden="false" customHeight="true" outlineLevel="0" collapsed="false">
      <c r="A75" s="29" t="str">
        <f aca="false">TAKVİM!$B$66</f>
        <v>07-11 Haziran</v>
      </c>
      <c r="B75" s="29"/>
      <c r="C75" s="29"/>
      <c r="D75" s="29" t="s">
        <v>1055</v>
      </c>
      <c r="E75" s="29"/>
      <c r="F75" s="29"/>
      <c r="G75" s="29"/>
      <c r="H75" s="29"/>
      <c r="I75" s="29"/>
      <c r="J75" s="29"/>
      <c r="K75" s="29"/>
      <c r="L75" s="29" t="s">
        <v>1056</v>
      </c>
      <c r="M75" s="29"/>
      <c r="N75" s="29"/>
      <c r="O75" s="29"/>
      <c r="P75" s="29"/>
      <c r="Q75" s="29"/>
      <c r="R75" s="29" t="s">
        <v>565</v>
      </c>
      <c r="S75" s="29"/>
      <c r="T75" s="29"/>
      <c r="U75" s="29"/>
      <c r="V75" s="29"/>
      <c r="W75" s="29" t="s">
        <v>1046</v>
      </c>
      <c r="X75" s="29"/>
      <c r="Y75" s="29"/>
      <c r="Z75" s="29"/>
      <c r="AA75" s="29"/>
      <c r="AB75" s="29"/>
      <c r="AC75" s="29"/>
      <c r="AD75" s="29"/>
      <c r="AE75" s="29"/>
    </row>
    <row r="76" customFormat="false" ht="74.25" hidden="false" customHeight="true" outlineLevel="0" collapsed="false">
      <c r="A76" s="29" t="str">
        <f aca="false">TAKVİM!$B$67</f>
        <v>14-18 Haziran</v>
      </c>
      <c r="B76" s="29"/>
      <c r="C76" s="29"/>
      <c r="D76" s="29" t="s">
        <v>1055</v>
      </c>
      <c r="E76" s="29"/>
      <c r="F76" s="29"/>
      <c r="G76" s="29"/>
      <c r="H76" s="29"/>
      <c r="I76" s="29"/>
      <c r="J76" s="29"/>
      <c r="K76" s="29"/>
      <c r="L76" s="29" t="s">
        <v>1057</v>
      </c>
      <c r="M76" s="29"/>
      <c r="N76" s="29"/>
      <c r="O76" s="29"/>
      <c r="P76" s="29"/>
      <c r="Q76" s="29"/>
      <c r="R76" s="29" t="s">
        <v>565</v>
      </c>
      <c r="S76" s="29"/>
      <c r="T76" s="29"/>
      <c r="U76" s="29"/>
      <c r="V76" s="29"/>
      <c r="W76" s="29" t="s">
        <v>1046</v>
      </c>
      <c r="X76" s="29"/>
      <c r="Y76" s="29"/>
      <c r="Z76" s="29"/>
      <c r="AA76" s="29"/>
      <c r="AB76" s="29"/>
      <c r="AC76" s="29"/>
      <c r="AD76" s="29"/>
      <c r="AE76" s="29"/>
    </row>
    <row r="77" customFormat="false" ht="74.25" hidden="false" customHeight="true" outlineLevel="0" collapsed="false">
      <c r="A77" s="29" t="str">
        <f aca="false">TAKVİM!$B$68</f>
        <v>21-25 Haziran</v>
      </c>
      <c r="B77" s="29"/>
      <c r="C77" s="29"/>
      <c r="D77" s="29" t="s">
        <v>1055</v>
      </c>
      <c r="E77" s="29"/>
      <c r="F77" s="29"/>
      <c r="G77" s="29"/>
      <c r="H77" s="29"/>
      <c r="I77" s="29"/>
      <c r="J77" s="29"/>
      <c r="K77" s="29"/>
      <c r="L77" s="29" t="s">
        <v>1058</v>
      </c>
      <c r="M77" s="29"/>
      <c r="N77" s="29"/>
      <c r="O77" s="29"/>
      <c r="P77" s="29"/>
      <c r="Q77" s="29"/>
      <c r="R77" s="29" t="s">
        <v>565</v>
      </c>
      <c r="S77" s="29"/>
      <c r="T77" s="29"/>
      <c r="U77" s="29"/>
      <c r="V77" s="29"/>
      <c r="W77" s="29" t="s">
        <v>1046</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1059</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274</v>
      </c>
      <c r="H5" s="25"/>
      <c r="I5" s="25"/>
      <c r="J5" s="25"/>
      <c r="K5" s="25"/>
      <c r="L5" s="25"/>
      <c r="M5" s="25"/>
      <c r="N5" s="25"/>
      <c r="O5" s="25"/>
      <c r="P5" s="24" t="s">
        <v>106</v>
      </c>
      <c r="Q5" s="24"/>
      <c r="R5" s="24"/>
      <c r="S5" s="24"/>
      <c r="T5" s="24"/>
      <c r="U5" s="25" t="s">
        <v>1060</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74.25" hidden="false" customHeight="true" outlineLevel="0" collapsed="false">
      <c r="A38" s="29" t="str">
        <f aca="false">TAKVİM!$B$29</f>
        <v>14-18 Eylül</v>
      </c>
      <c r="B38" s="29"/>
      <c r="C38" s="29"/>
      <c r="D38" s="29" t="s">
        <v>1061</v>
      </c>
      <c r="E38" s="29"/>
      <c r="F38" s="29"/>
      <c r="G38" s="29"/>
      <c r="H38" s="29"/>
      <c r="I38" s="29"/>
      <c r="J38" s="29"/>
      <c r="K38" s="29"/>
      <c r="L38" s="29" t="s">
        <v>1062</v>
      </c>
      <c r="M38" s="29"/>
      <c r="N38" s="29"/>
      <c r="O38" s="29"/>
      <c r="P38" s="29"/>
      <c r="Q38" s="29"/>
      <c r="R38" s="29" t="s">
        <v>565</v>
      </c>
      <c r="S38" s="29"/>
      <c r="T38" s="29"/>
      <c r="U38" s="29"/>
      <c r="V38" s="29"/>
      <c r="W38" s="29" t="s">
        <v>1063</v>
      </c>
      <c r="X38" s="29"/>
      <c r="Y38" s="29"/>
      <c r="Z38" s="29"/>
      <c r="AA38" s="29"/>
      <c r="AB38" s="29"/>
      <c r="AC38" s="29"/>
      <c r="AD38" s="29"/>
      <c r="AE38" s="29"/>
    </row>
    <row r="39" customFormat="false" ht="53.25" hidden="false" customHeight="true" outlineLevel="0" collapsed="false">
      <c r="A39" s="29" t="str">
        <f aca="false">TAKVİM!$B$30</f>
        <v>21-25 Eylül</v>
      </c>
      <c r="B39" s="29"/>
      <c r="C39" s="29"/>
      <c r="D39" s="29" t="s">
        <v>1064</v>
      </c>
      <c r="E39" s="29"/>
      <c r="F39" s="29"/>
      <c r="G39" s="29"/>
      <c r="H39" s="29"/>
      <c r="I39" s="29"/>
      <c r="J39" s="29"/>
      <c r="K39" s="29"/>
      <c r="L39" s="29" t="s">
        <v>1065</v>
      </c>
      <c r="M39" s="29"/>
      <c r="N39" s="29"/>
      <c r="O39" s="29"/>
      <c r="P39" s="29"/>
      <c r="Q39" s="29"/>
      <c r="R39" s="29" t="s">
        <v>565</v>
      </c>
      <c r="S39" s="29"/>
      <c r="T39" s="29"/>
      <c r="U39" s="29"/>
      <c r="V39" s="29"/>
      <c r="W39" s="29" t="s">
        <v>1063</v>
      </c>
      <c r="X39" s="29"/>
      <c r="Y39" s="29"/>
      <c r="Z39" s="29"/>
      <c r="AA39" s="29"/>
      <c r="AB39" s="29"/>
      <c r="AC39" s="29"/>
      <c r="AD39" s="29"/>
      <c r="AE39" s="29"/>
    </row>
    <row r="40" customFormat="false" ht="53.25" hidden="false" customHeight="true" outlineLevel="0" collapsed="false">
      <c r="A40" s="29" t="str">
        <f aca="false">TAKVİM!$B$31</f>
        <v>28 Eylül - 02 Ekim</v>
      </c>
      <c r="B40" s="29"/>
      <c r="C40" s="29"/>
      <c r="D40" s="29" t="s">
        <v>1066</v>
      </c>
      <c r="E40" s="29"/>
      <c r="F40" s="29"/>
      <c r="G40" s="29"/>
      <c r="H40" s="29"/>
      <c r="I40" s="29"/>
      <c r="J40" s="29"/>
      <c r="K40" s="29"/>
      <c r="L40" s="29" t="s">
        <v>1067</v>
      </c>
      <c r="M40" s="29"/>
      <c r="N40" s="29"/>
      <c r="O40" s="29"/>
      <c r="P40" s="29"/>
      <c r="Q40" s="29"/>
      <c r="R40" s="29" t="s">
        <v>565</v>
      </c>
      <c r="S40" s="29"/>
      <c r="T40" s="29"/>
      <c r="U40" s="29"/>
      <c r="V40" s="29"/>
      <c r="W40" s="29" t="s">
        <v>1063</v>
      </c>
      <c r="X40" s="29"/>
      <c r="Y40" s="29"/>
      <c r="Z40" s="29"/>
      <c r="AA40" s="29"/>
      <c r="AB40" s="29"/>
      <c r="AC40" s="29"/>
      <c r="AD40" s="29"/>
      <c r="AE40" s="29"/>
    </row>
    <row r="41" customFormat="false" ht="53.25" hidden="false" customHeight="true" outlineLevel="0" collapsed="false">
      <c r="A41" s="29" t="str">
        <f aca="false">TAKVİM!$B$32</f>
        <v>05-09 Ekim</v>
      </c>
      <c r="B41" s="29"/>
      <c r="C41" s="29"/>
      <c r="D41" s="29" t="s">
        <v>1068</v>
      </c>
      <c r="E41" s="29"/>
      <c r="F41" s="29"/>
      <c r="G41" s="29"/>
      <c r="H41" s="29"/>
      <c r="I41" s="29"/>
      <c r="J41" s="29"/>
      <c r="K41" s="29"/>
      <c r="L41" s="29" t="s">
        <v>1067</v>
      </c>
      <c r="M41" s="29"/>
      <c r="N41" s="29"/>
      <c r="O41" s="29"/>
      <c r="P41" s="29"/>
      <c r="Q41" s="29"/>
      <c r="R41" s="29" t="s">
        <v>565</v>
      </c>
      <c r="S41" s="29"/>
      <c r="T41" s="29"/>
      <c r="U41" s="29"/>
      <c r="V41" s="29"/>
      <c r="W41" s="29" t="s">
        <v>1063</v>
      </c>
      <c r="X41" s="29"/>
      <c r="Y41" s="29"/>
      <c r="Z41" s="29"/>
      <c r="AA41" s="29"/>
      <c r="AB41" s="29"/>
      <c r="AC41" s="29"/>
      <c r="AD41" s="29"/>
      <c r="AE41" s="29"/>
    </row>
    <row r="42" customFormat="false" ht="53.25" hidden="false" customHeight="true" outlineLevel="0" collapsed="false">
      <c r="A42" s="29" t="str">
        <f aca="false">TAKVİM!$B$33</f>
        <v>12-16 Ekim</v>
      </c>
      <c r="B42" s="29"/>
      <c r="C42" s="29"/>
      <c r="D42" s="29" t="s">
        <v>1069</v>
      </c>
      <c r="E42" s="29"/>
      <c r="F42" s="29"/>
      <c r="G42" s="29"/>
      <c r="H42" s="29"/>
      <c r="I42" s="29"/>
      <c r="J42" s="29"/>
      <c r="K42" s="29"/>
      <c r="L42" s="29" t="s">
        <v>1070</v>
      </c>
      <c r="M42" s="29"/>
      <c r="N42" s="29"/>
      <c r="O42" s="29"/>
      <c r="P42" s="29"/>
      <c r="Q42" s="29"/>
      <c r="R42" s="29" t="s">
        <v>565</v>
      </c>
      <c r="S42" s="29"/>
      <c r="T42" s="29"/>
      <c r="U42" s="29"/>
      <c r="V42" s="29"/>
      <c r="W42" s="29" t="s">
        <v>1063</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1071</v>
      </c>
      <c r="E43" s="29"/>
      <c r="F43" s="29"/>
      <c r="G43" s="29"/>
      <c r="H43" s="29"/>
      <c r="I43" s="29"/>
      <c r="J43" s="29"/>
      <c r="K43" s="29"/>
      <c r="L43" s="29" t="s">
        <v>1072</v>
      </c>
      <c r="M43" s="29"/>
      <c r="N43" s="29"/>
      <c r="O43" s="29"/>
      <c r="P43" s="29"/>
      <c r="Q43" s="29"/>
      <c r="R43" s="29" t="s">
        <v>565</v>
      </c>
      <c r="S43" s="29"/>
      <c r="T43" s="29"/>
      <c r="U43" s="29"/>
      <c r="V43" s="29"/>
      <c r="W43" s="29" t="s">
        <v>1063</v>
      </c>
      <c r="X43" s="29"/>
      <c r="Y43" s="29"/>
      <c r="Z43" s="29"/>
      <c r="AA43" s="29"/>
      <c r="AB43" s="29"/>
      <c r="AC43" s="29"/>
      <c r="AD43" s="29"/>
      <c r="AE43" s="29"/>
    </row>
    <row r="44" customFormat="false" ht="53.25" hidden="false" customHeight="true" outlineLevel="0" collapsed="false">
      <c r="A44" s="29" t="str">
        <f aca="false">TAKVİM!$B$35</f>
        <v>26-30 Ekim</v>
      </c>
      <c r="B44" s="29"/>
      <c r="C44" s="29"/>
      <c r="D44" s="29" t="s">
        <v>1073</v>
      </c>
      <c r="E44" s="29"/>
      <c r="F44" s="29"/>
      <c r="G44" s="29"/>
      <c r="H44" s="29"/>
      <c r="I44" s="29"/>
      <c r="J44" s="29"/>
      <c r="K44" s="29"/>
      <c r="L44" s="29" t="s">
        <v>1074</v>
      </c>
      <c r="M44" s="29"/>
      <c r="N44" s="29"/>
      <c r="O44" s="29"/>
      <c r="P44" s="29"/>
      <c r="Q44" s="29"/>
      <c r="R44" s="29" t="s">
        <v>565</v>
      </c>
      <c r="S44" s="29"/>
      <c r="T44" s="29"/>
      <c r="U44" s="29"/>
      <c r="V44" s="29"/>
      <c r="W44" s="29" t="s">
        <v>1063</v>
      </c>
      <c r="X44" s="29"/>
      <c r="Y44" s="29"/>
      <c r="Z44" s="29"/>
      <c r="AA44" s="29"/>
      <c r="AB44" s="29"/>
      <c r="AC44" s="29"/>
      <c r="AD44" s="29"/>
      <c r="AE44" s="29"/>
    </row>
    <row r="45" customFormat="false" ht="53.25" hidden="false" customHeight="true" outlineLevel="0" collapsed="false">
      <c r="A45" s="29" t="str">
        <f aca="false">TAKVİM!$B$36</f>
        <v>02-06 Kasım</v>
      </c>
      <c r="B45" s="29"/>
      <c r="C45" s="29"/>
      <c r="D45" s="29" t="s">
        <v>1075</v>
      </c>
      <c r="E45" s="29"/>
      <c r="F45" s="29"/>
      <c r="G45" s="29"/>
      <c r="H45" s="29"/>
      <c r="I45" s="29"/>
      <c r="J45" s="29"/>
      <c r="K45" s="29"/>
      <c r="L45" s="29" t="s">
        <v>1076</v>
      </c>
      <c r="M45" s="29"/>
      <c r="N45" s="29"/>
      <c r="O45" s="29"/>
      <c r="P45" s="29"/>
      <c r="Q45" s="29"/>
      <c r="R45" s="29" t="s">
        <v>565</v>
      </c>
      <c r="S45" s="29"/>
      <c r="T45" s="29"/>
      <c r="U45" s="29"/>
      <c r="V45" s="29"/>
      <c r="W45" s="29" t="s">
        <v>1063</v>
      </c>
      <c r="X45" s="29"/>
      <c r="Y45" s="29"/>
      <c r="Z45" s="29"/>
      <c r="AA45" s="29"/>
      <c r="AB45" s="29"/>
      <c r="AC45" s="29"/>
      <c r="AD45" s="29"/>
      <c r="AE45" s="29"/>
    </row>
    <row r="46" customFormat="false" ht="53.25" hidden="false" customHeight="true" outlineLevel="0" collapsed="false">
      <c r="A46" s="29" t="str">
        <f aca="false">TAKVİM!$B$37</f>
        <v>09-13 Kasım</v>
      </c>
      <c r="B46" s="29"/>
      <c r="C46" s="29"/>
      <c r="D46" s="29" t="s">
        <v>1077</v>
      </c>
      <c r="E46" s="29"/>
      <c r="F46" s="29"/>
      <c r="G46" s="29"/>
      <c r="H46" s="29"/>
      <c r="I46" s="29"/>
      <c r="J46" s="29"/>
      <c r="K46" s="29"/>
      <c r="L46" s="29" t="s">
        <v>1076</v>
      </c>
      <c r="M46" s="29"/>
      <c r="N46" s="29"/>
      <c r="O46" s="29"/>
      <c r="P46" s="29"/>
      <c r="Q46" s="29"/>
      <c r="R46" s="29" t="s">
        <v>565</v>
      </c>
      <c r="S46" s="29"/>
      <c r="T46" s="29"/>
      <c r="U46" s="29"/>
      <c r="V46" s="29"/>
      <c r="W46" s="29" t="s">
        <v>1063</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53.25" hidden="false" customHeight="true" outlineLevel="0" collapsed="false">
      <c r="A48" s="29" t="str">
        <f aca="false">TAKVİM!$B$39</f>
        <v>23-27 Kasım</v>
      </c>
      <c r="B48" s="29"/>
      <c r="C48" s="29"/>
      <c r="D48" s="29" t="s">
        <v>1078</v>
      </c>
      <c r="E48" s="29"/>
      <c r="F48" s="29"/>
      <c r="G48" s="29"/>
      <c r="H48" s="29"/>
      <c r="I48" s="29"/>
      <c r="J48" s="29"/>
      <c r="K48" s="29"/>
      <c r="L48" s="29" t="s">
        <v>1076</v>
      </c>
      <c r="M48" s="29"/>
      <c r="N48" s="29"/>
      <c r="O48" s="29"/>
      <c r="P48" s="29"/>
      <c r="Q48" s="29"/>
      <c r="R48" s="29" t="s">
        <v>565</v>
      </c>
      <c r="S48" s="29"/>
      <c r="T48" s="29"/>
      <c r="U48" s="29"/>
      <c r="V48" s="29"/>
      <c r="W48" s="29" t="s">
        <v>1063</v>
      </c>
      <c r="X48" s="29"/>
      <c r="Y48" s="29"/>
      <c r="Z48" s="29"/>
      <c r="AA48" s="29"/>
      <c r="AB48" s="29"/>
      <c r="AC48" s="29"/>
      <c r="AD48" s="29"/>
      <c r="AE48" s="29"/>
    </row>
    <row r="49" customFormat="false" ht="63.75" hidden="false" customHeight="true" outlineLevel="0" collapsed="false">
      <c r="A49" s="29" t="str">
        <f aca="false">TAKVİM!$B$40</f>
        <v>30 Kasım - 04 Aralık</v>
      </c>
      <c r="B49" s="29"/>
      <c r="C49" s="29"/>
      <c r="D49" s="29" t="s">
        <v>1079</v>
      </c>
      <c r="E49" s="29"/>
      <c r="F49" s="29"/>
      <c r="G49" s="29"/>
      <c r="H49" s="29"/>
      <c r="I49" s="29"/>
      <c r="J49" s="29"/>
      <c r="K49" s="29"/>
      <c r="L49" s="29" t="s">
        <v>1076</v>
      </c>
      <c r="M49" s="29"/>
      <c r="N49" s="29"/>
      <c r="O49" s="29"/>
      <c r="P49" s="29"/>
      <c r="Q49" s="29"/>
      <c r="R49" s="29" t="s">
        <v>565</v>
      </c>
      <c r="S49" s="29"/>
      <c r="T49" s="29"/>
      <c r="U49" s="29"/>
      <c r="V49" s="29"/>
      <c r="W49" s="29" t="s">
        <v>1063</v>
      </c>
      <c r="X49" s="29"/>
      <c r="Y49" s="29"/>
      <c r="Z49" s="29"/>
      <c r="AA49" s="29"/>
      <c r="AB49" s="29"/>
      <c r="AC49" s="29"/>
      <c r="AD49" s="29"/>
      <c r="AE49" s="29"/>
    </row>
    <row r="50" customFormat="false" ht="74.25" hidden="false" customHeight="true" outlineLevel="0" collapsed="false">
      <c r="A50" s="29" t="str">
        <f aca="false">TAKVİM!$B$41</f>
        <v>07-11 Aralık</v>
      </c>
      <c r="B50" s="29"/>
      <c r="C50" s="29"/>
      <c r="D50" s="29" t="s">
        <v>1080</v>
      </c>
      <c r="E50" s="29"/>
      <c r="F50" s="29"/>
      <c r="G50" s="29"/>
      <c r="H50" s="29"/>
      <c r="I50" s="29"/>
      <c r="J50" s="29"/>
      <c r="K50" s="29"/>
      <c r="L50" s="29" t="s">
        <v>1081</v>
      </c>
      <c r="M50" s="29"/>
      <c r="N50" s="29"/>
      <c r="O50" s="29"/>
      <c r="P50" s="29"/>
      <c r="Q50" s="29"/>
      <c r="R50" s="29" t="s">
        <v>565</v>
      </c>
      <c r="S50" s="29"/>
      <c r="T50" s="29"/>
      <c r="U50" s="29"/>
      <c r="V50" s="29"/>
      <c r="W50" s="29" t="s">
        <v>1063</v>
      </c>
      <c r="X50" s="29"/>
      <c r="Y50" s="29"/>
      <c r="Z50" s="29"/>
      <c r="AA50" s="29"/>
      <c r="AB50" s="29"/>
      <c r="AC50" s="29"/>
      <c r="AD50" s="29"/>
      <c r="AE50" s="29"/>
    </row>
    <row r="51" customFormat="false" ht="53.25" hidden="false" customHeight="true" outlineLevel="0" collapsed="false">
      <c r="A51" s="29" t="str">
        <f aca="false">TAKVİM!$B$42</f>
        <v>14-18 Aralık</v>
      </c>
      <c r="B51" s="29"/>
      <c r="C51" s="29"/>
      <c r="D51" s="29" t="s">
        <v>1082</v>
      </c>
      <c r="E51" s="29"/>
      <c r="F51" s="29"/>
      <c r="G51" s="29"/>
      <c r="H51" s="29"/>
      <c r="I51" s="29"/>
      <c r="J51" s="29"/>
      <c r="K51" s="29"/>
      <c r="L51" s="29" t="s">
        <v>1083</v>
      </c>
      <c r="M51" s="29"/>
      <c r="N51" s="29"/>
      <c r="O51" s="29"/>
      <c r="P51" s="29"/>
      <c r="Q51" s="29"/>
      <c r="R51" s="29" t="s">
        <v>565</v>
      </c>
      <c r="S51" s="29"/>
      <c r="T51" s="29"/>
      <c r="U51" s="29"/>
      <c r="V51" s="29"/>
      <c r="W51" s="29" t="s">
        <v>1063</v>
      </c>
      <c r="X51" s="29"/>
      <c r="Y51" s="29"/>
      <c r="Z51" s="29"/>
      <c r="AA51" s="29"/>
      <c r="AB51" s="29"/>
      <c r="AC51" s="29"/>
      <c r="AD51" s="29"/>
      <c r="AE51" s="29"/>
    </row>
    <row r="52" customFormat="false" ht="53.25" hidden="false" customHeight="true" outlineLevel="0" collapsed="false">
      <c r="A52" s="29" t="str">
        <f aca="false">TAKVİM!$B$43</f>
        <v>21-25 Aralık</v>
      </c>
      <c r="B52" s="29"/>
      <c r="C52" s="29"/>
      <c r="D52" s="29" t="s">
        <v>1084</v>
      </c>
      <c r="E52" s="29"/>
      <c r="F52" s="29"/>
      <c r="G52" s="29"/>
      <c r="H52" s="29"/>
      <c r="I52" s="29"/>
      <c r="J52" s="29"/>
      <c r="K52" s="29"/>
      <c r="L52" s="29" t="s">
        <v>1083</v>
      </c>
      <c r="M52" s="29"/>
      <c r="N52" s="29"/>
      <c r="O52" s="29"/>
      <c r="P52" s="29"/>
      <c r="Q52" s="29"/>
      <c r="R52" s="29" t="s">
        <v>565</v>
      </c>
      <c r="S52" s="29"/>
      <c r="T52" s="29"/>
      <c r="U52" s="29"/>
      <c r="V52" s="29"/>
      <c r="W52" s="29" t="s">
        <v>1063</v>
      </c>
      <c r="X52" s="29"/>
      <c r="Y52" s="29"/>
      <c r="Z52" s="29"/>
      <c r="AA52" s="29"/>
      <c r="AB52" s="29"/>
      <c r="AC52" s="29"/>
      <c r="AD52" s="29"/>
      <c r="AE52" s="29"/>
    </row>
    <row r="53" customFormat="false" ht="53.25" hidden="false" customHeight="true" outlineLevel="0" collapsed="false">
      <c r="A53" s="29" t="str">
        <f aca="false">TAKVİM!$B$44</f>
        <v>28 Aralık - 01 Ocak</v>
      </c>
      <c r="B53" s="29"/>
      <c r="C53" s="29"/>
      <c r="D53" s="29" t="s">
        <v>1085</v>
      </c>
      <c r="E53" s="29"/>
      <c r="F53" s="29"/>
      <c r="G53" s="29"/>
      <c r="H53" s="29"/>
      <c r="I53" s="29"/>
      <c r="J53" s="29"/>
      <c r="K53" s="29"/>
      <c r="L53" s="29" t="s">
        <v>1086</v>
      </c>
      <c r="M53" s="29"/>
      <c r="N53" s="29"/>
      <c r="O53" s="29"/>
      <c r="P53" s="29"/>
      <c r="Q53" s="29"/>
      <c r="R53" s="29" t="s">
        <v>565</v>
      </c>
      <c r="S53" s="29"/>
      <c r="T53" s="29"/>
      <c r="U53" s="29"/>
      <c r="V53" s="29"/>
      <c r="W53" s="29" t="s">
        <v>1063</v>
      </c>
      <c r="X53" s="29"/>
      <c r="Y53" s="29"/>
      <c r="Z53" s="29"/>
      <c r="AA53" s="29"/>
      <c r="AB53" s="29"/>
      <c r="AC53" s="29"/>
      <c r="AD53" s="29"/>
      <c r="AE53" s="29"/>
    </row>
    <row r="54" customFormat="false" ht="53.25" hidden="false" customHeight="true" outlineLevel="0" collapsed="false">
      <c r="A54" s="29" t="str">
        <f aca="false">TAKVİM!$B$45</f>
        <v>04-08 Ocak</v>
      </c>
      <c r="B54" s="29"/>
      <c r="C54" s="29"/>
      <c r="D54" s="29" t="s">
        <v>1085</v>
      </c>
      <c r="E54" s="29"/>
      <c r="F54" s="29"/>
      <c r="G54" s="29"/>
      <c r="H54" s="29"/>
      <c r="I54" s="29"/>
      <c r="J54" s="29"/>
      <c r="K54" s="29"/>
      <c r="L54" s="29" t="s">
        <v>1086</v>
      </c>
      <c r="M54" s="29"/>
      <c r="N54" s="29"/>
      <c r="O54" s="29"/>
      <c r="P54" s="29"/>
      <c r="Q54" s="29"/>
      <c r="R54" s="29" t="s">
        <v>565</v>
      </c>
      <c r="S54" s="29"/>
      <c r="T54" s="29"/>
      <c r="U54" s="29"/>
      <c r="V54" s="29"/>
      <c r="W54" s="29" t="s">
        <v>1063</v>
      </c>
      <c r="X54" s="29"/>
      <c r="Y54" s="29"/>
      <c r="Z54" s="29"/>
      <c r="AA54" s="29"/>
      <c r="AB54" s="29"/>
      <c r="AC54" s="29"/>
      <c r="AD54" s="29"/>
      <c r="AE54" s="29"/>
    </row>
    <row r="55" customFormat="false" ht="53.25" hidden="false" customHeight="true" outlineLevel="0" collapsed="false">
      <c r="A55" s="29" t="str">
        <f aca="false">TAKVİM!$B$46</f>
        <v>11-15 Ocak</v>
      </c>
      <c r="B55" s="29"/>
      <c r="C55" s="29"/>
      <c r="D55" s="29" t="s">
        <v>1087</v>
      </c>
      <c r="E55" s="29"/>
      <c r="F55" s="29"/>
      <c r="G55" s="29"/>
      <c r="H55" s="29"/>
      <c r="I55" s="29"/>
      <c r="J55" s="29"/>
      <c r="K55" s="29"/>
      <c r="L55" s="29" t="s">
        <v>1088</v>
      </c>
      <c r="M55" s="29"/>
      <c r="N55" s="29"/>
      <c r="O55" s="29"/>
      <c r="P55" s="29"/>
      <c r="Q55" s="29"/>
      <c r="R55" s="29" t="s">
        <v>565</v>
      </c>
      <c r="S55" s="29"/>
      <c r="T55" s="29"/>
      <c r="U55" s="29"/>
      <c r="V55" s="29"/>
      <c r="W55" s="29" t="s">
        <v>1063</v>
      </c>
      <c r="X55" s="29"/>
      <c r="Y55" s="29"/>
      <c r="Z55" s="29"/>
      <c r="AA55" s="29"/>
      <c r="AB55" s="29"/>
      <c r="AC55" s="29"/>
      <c r="AD55" s="29"/>
      <c r="AE55" s="29"/>
    </row>
    <row r="56" customFormat="false" ht="53.25" hidden="false" customHeight="true" outlineLevel="0" collapsed="false">
      <c r="A56" s="29" t="str">
        <f aca="false">TAKVİM!$B$47</f>
        <v>18-22 Ocak</v>
      </c>
      <c r="B56" s="29"/>
      <c r="C56" s="29"/>
      <c r="D56" s="29" t="s">
        <v>1089</v>
      </c>
      <c r="E56" s="29"/>
      <c r="F56" s="29"/>
      <c r="G56" s="29"/>
      <c r="H56" s="29"/>
      <c r="I56" s="29"/>
      <c r="J56" s="29"/>
      <c r="K56" s="29"/>
      <c r="L56" s="29" t="s">
        <v>1088</v>
      </c>
      <c r="M56" s="29"/>
      <c r="N56" s="29"/>
      <c r="O56" s="29"/>
      <c r="P56" s="29"/>
      <c r="Q56" s="29"/>
      <c r="R56" s="29" t="s">
        <v>565</v>
      </c>
      <c r="S56" s="29"/>
      <c r="T56" s="29"/>
      <c r="U56" s="29"/>
      <c r="V56" s="29"/>
      <c r="W56" s="29" t="s">
        <v>1063</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74.25" hidden="false" customHeight="true" outlineLevel="0" collapsed="false">
      <c r="A58" s="29" t="str">
        <f aca="false">TAKVİM!$B$49</f>
        <v>08-12 Şubat</v>
      </c>
      <c r="B58" s="29"/>
      <c r="C58" s="29"/>
      <c r="D58" s="29" t="s">
        <v>1090</v>
      </c>
      <c r="E58" s="29"/>
      <c r="F58" s="29"/>
      <c r="G58" s="29"/>
      <c r="H58" s="29"/>
      <c r="I58" s="29"/>
      <c r="J58" s="29"/>
      <c r="K58" s="29"/>
      <c r="L58" s="29" t="s">
        <v>1091</v>
      </c>
      <c r="M58" s="29"/>
      <c r="N58" s="29"/>
      <c r="O58" s="29"/>
      <c r="P58" s="29"/>
      <c r="Q58" s="29"/>
      <c r="R58" s="29" t="s">
        <v>565</v>
      </c>
      <c r="S58" s="29"/>
      <c r="T58" s="29"/>
      <c r="U58" s="29"/>
      <c r="V58" s="29"/>
      <c r="W58" s="29" t="s">
        <v>1063</v>
      </c>
      <c r="X58" s="29"/>
      <c r="Y58" s="29"/>
      <c r="Z58" s="29"/>
      <c r="AA58" s="29"/>
      <c r="AB58" s="29"/>
      <c r="AC58" s="29"/>
      <c r="AD58" s="29"/>
      <c r="AE58" s="29"/>
    </row>
    <row r="59" customFormat="false" ht="53.25" hidden="false" customHeight="true" outlineLevel="0" collapsed="false">
      <c r="A59" s="29" t="str">
        <f aca="false">TAKVİM!$B$50</f>
        <v>15-19 Şubat</v>
      </c>
      <c r="B59" s="29"/>
      <c r="C59" s="29"/>
      <c r="D59" s="29" t="s">
        <v>1092</v>
      </c>
      <c r="E59" s="29"/>
      <c r="F59" s="29"/>
      <c r="G59" s="29"/>
      <c r="H59" s="29"/>
      <c r="I59" s="29"/>
      <c r="J59" s="29"/>
      <c r="K59" s="29"/>
      <c r="L59" s="29" t="s">
        <v>1093</v>
      </c>
      <c r="M59" s="29"/>
      <c r="N59" s="29"/>
      <c r="O59" s="29"/>
      <c r="P59" s="29"/>
      <c r="Q59" s="29"/>
      <c r="R59" s="29" t="s">
        <v>565</v>
      </c>
      <c r="S59" s="29"/>
      <c r="T59" s="29"/>
      <c r="U59" s="29"/>
      <c r="V59" s="29"/>
      <c r="W59" s="29" t="s">
        <v>1063</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1094</v>
      </c>
      <c r="E60" s="29"/>
      <c r="F60" s="29"/>
      <c r="G60" s="29"/>
      <c r="H60" s="29"/>
      <c r="I60" s="29"/>
      <c r="J60" s="29"/>
      <c r="K60" s="29"/>
      <c r="L60" s="29" t="s">
        <v>1095</v>
      </c>
      <c r="M60" s="29"/>
      <c r="N60" s="29"/>
      <c r="O60" s="29"/>
      <c r="P60" s="29"/>
      <c r="Q60" s="29"/>
      <c r="R60" s="29" t="s">
        <v>565</v>
      </c>
      <c r="S60" s="29"/>
      <c r="T60" s="29"/>
      <c r="U60" s="29"/>
      <c r="V60" s="29"/>
      <c r="W60" s="29" t="s">
        <v>1063</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1094</v>
      </c>
      <c r="E61" s="29"/>
      <c r="F61" s="29"/>
      <c r="G61" s="29"/>
      <c r="H61" s="29"/>
      <c r="I61" s="29"/>
      <c r="J61" s="29"/>
      <c r="K61" s="29"/>
      <c r="L61" s="29" t="s">
        <v>1096</v>
      </c>
      <c r="M61" s="29"/>
      <c r="N61" s="29"/>
      <c r="O61" s="29"/>
      <c r="P61" s="29"/>
      <c r="Q61" s="29"/>
      <c r="R61" s="29" t="s">
        <v>565</v>
      </c>
      <c r="S61" s="29"/>
      <c r="T61" s="29"/>
      <c r="U61" s="29"/>
      <c r="V61" s="29"/>
      <c r="W61" s="29" t="s">
        <v>1063</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53.25" hidden="false" customHeight="true" outlineLevel="0" collapsed="false">
      <c r="A63" s="29" t="str">
        <f aca="false">TAKVİM!$B$54</f>
        <v>15-19 Mart</v>
      </c>
      <c r="B63" s="29"/>
      <c r="C63" s="29"/>
      <c r="D63" s="29" t="s">
        <v>1097</v>
      </c>
      <c r="E63" s="29"/>
      <c r="F63" s="29"/>
      <c r="G63" s="29"/>
      <c r="H63" s="29"/>
      <c r="I63" s="29"/>
      <c r="J63" s="29"/>
      <c r="K63" s="29"/>
      <c r="L63" s="29" t="s">
        <v>1098</v>
      </c>
      <c r="M63" s="29"/>
      <c r="N63" s="29"/>
      <c r="O63" s="29"/>
      <c r="P63" s="29"/>
      <c r="Q63" s="29"/>
      <c r="R63" s="29" t="s">
        <v>565</v>
      </c>
      <c r="S63" s="29"/>
      <c r="T63" s="29"/>
      <c r="U63" s="29"/>
      <c r="V63" s="29"/>
      <c r="W63" s="29" t="s">
        <v>1063</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1097</v>
      </c>
      <c r="E64" s="29"/>
      <c r="F64" s="29"/>
      <c r="G64" s="29"/>
      <c r="H64" s="29"/>
      <c r="I64" s="29"/>
      <c r="J64" s="29"/>
      <c r="K64" s="29"/>
      <c r="L64" s="29" t="s">
        <v>1098</v>
      </c>
      <c r="M64" s="29"/>
      <c r="N64" s="29"/>
      <c r="O64" s="29"/>
      <c r="P64" s="29"/>
      <c r="Q64" s="29"/>
      <c r="R64" s="29" t="s">
        <v>565</v>
      </c>
      <c r="S64" s="29"/>
      <c r="T64" s="29"/>
      <c r="U64" s="29"/>
      <c r="V64" s="29"/>
      <c r="W64" s="29" t="s">
        <v>1063</v>
      </c>
      <c r="X64" s="29"/>
      <c r="Y64" s="29"/>
      <c r="Z64" s="29"/>
      <c r="AA64" s="29"/>
      <c r="AB64" s="29"/>
      <c r="AC64" s="29"/>
      <c r="AD64" s="29"/>
      <c r="AE64" s="29"/>
    </row>
    <row r="65" customFormat="false" ht="63.75" hidden="false" customHeight="true" outlineLevel="0" collapsed="false">
      <c r="A65" s="29" t="str">
        <f aca="false">TAKVİM!$B$56</f>
        <v>29 Mart - 02 Nisan</v>
      </c>
      <c r="B65" s="29"/>
      <c r="C65" s="29"/>
      <c r="D65" s="29" t="s">
        <v>1099</v>
      </c>
      <c r="E65" s="29"/>
      <c r="F65" s="29"/>
      <c r="G65" s="29"/>
      <c r="H65" s="29"/>
      <c r="I65" s="29"/>
      <c r="J65" s="29"/>
      <c r="K65" s="29"/>
      <c r="L65" s="29" t="s">
        <v>1100</v>
      </c>
      <c r="M65" s="29"/>
      <c r="N65" s="29"/>
      <c r="O65" s="29"/>
      <c r="P65" s="29"/>
      <c r="Q65" s="29"/>
      <c r="R65" s="29" t="s">
        <v>565</v>
      </c>
      <c r="S65" s="29"/>
      <c r="T65" s="29"/>
      <c r="U65" s="29"/>
      <c r="V65" s="29"/>
      <c r="W65" s="29" t="s">
        <v>1063</v>
      </c>
      <c r="X65" s="29"/>
      <c r="Y65" s="29"/>
      <c r="Z65" s="29"/>
      <c r="AA65" s="29"/>
      <c r="AB65" s="29"/>
      <c r="AC65" s="29"/>
      <c r="AD65" s="29"/>
      <c r="AE65" s="29"/>
    </row>
    <row r="66" customFormat="false" ht="53.25" hidden="false" customHeight="true" outlineLevel="0" collapsed="false">
      <c r="A66" s="29" t="str">
        <f aca="false">TAKVİM!$B$57</f>
        <v>05-09 Nisan</v>
      </c>
      <c r="B66" s="29"/>
      <c r="C66" s="29"/>
      <c r="D66" s="29" t="s">
        <v>1101</v>
      </c>
      <c r="E66" s="29"/>
      <c r="F66" s="29"/>
      <c r="G66" s="29"/>
      <c r="H66" s="29"/>
      <c r="I66" s="29"/>
      <c r="J66" s="29"/>
      <c r="K66" s="29"/>
      <c r="L66" s="29" t="s">
        <v>1102</v>
      </c>
      <c r="M66" s="29"/>
      <c r="N66" s="29"/>
      <c r="O66" s="29"/>
      <c r="P66" s="29"/>
      <c r="Q66" s="29"/>
      <c r="R66" s="29" t="s">
        <v>565</v>
      </c>
      <c r="S66" s="29"/>
      <c r="T66" s="29"/>
      <c r="U66" s="29"/>
      <c r="V66" s="29"/>
      <c r="W66" s="29" t="s">
        <v>1063</v>
      </c>
      <c r="X66" s="29"/>
      <c r="Y66" s="29"/>
      <c r="Z66" s="29"/>
      <c r="AA66" s="29"/>
      <c r="AB66" s="29"/>
      <c r="AC66" s="29"/>
      <c r="AD66" s="29"/>
      <c r="AE66" s="29"/>
    </row>
    <row r="67" customFormat="false" ht="53.25" hidden="false" customHeight="true" outlineLevel="0" collapsed="false">
      <c r="A67" s="29" t="str">
        <f aca="false">TAKVİM!$B$58</f>
        <v>12-16 Nisan</v>
      </c>
      <c r="B67" s="29"/>
      <c r="C67" s="29"/>
      <c r="D67" s="29" t="s">
        <v>1103</v>
      </c>
      <c r="E67" s="29"/>
      <c r="F67" s="29"/>
      <c r="G67" s="29"/>
      <c r="H67" s="29"/>
      <c r="I67" s="29"/>
      <c r="J67" s="29"/>
      <c r="K67" s="29"/>
      <c r="L67" s="29" t="s">
        <v>1102</v>
      </c>
      <c r="M67" s="29"/>
      <c r="N67" s="29"/>
      <c r="O67" s="29"/>
      <c r="P67" s="29"/>
      <c r="Q67" s="29"/>
      <c r="R67" s="29" t="s">
        <v>565</v>
      </c>
      <c r="S67" s="29"/>
      <c r="T67" s="29"/>
      <c r="U67" s="29"/>
      <c r="V67" s="29"/>
      <c r="W67" s="29" t="s">
        <v>1063</v>
      </c>
      <c r="X67" s="29"/>
      <c r="Y67" s="29"/>
      <c r="Z67" s="29"/>
      <c r="AA67" s="29"/>
      <c r="AB67" s="29"/>
      <c r="AC67" s="29"/>
      <c r="AD67" s="29"/>
      <c r="AE67" s="29"/>
    </row>
    <row r="68" customFormat="false" ht="53.25" hidden="false" customHeight="true" outlineLevel="0" collapsed="false">
      <c r="A68" s="29" t="str">
        <f aca="false">TAKVİM!$B$59</f>
        <v>19-23 Nisan</v>
      </c>
      <c r="B68" s="29"/>
      <c r="C68" s="29"/>
      <c r="D68" s="29" t="s">
        <v>1104</v>
      </c>
      <c r="E68" s="29"/>
      <c r="F68" s="29"/>
      <c r="G68" s="29"/>
      <c r="H68" s="29"/>
      <c r="I68" s="29"/>
      <c r="J68" s="29"/>
      <c r="K68" s="29"/>
      <c r="L68" s="29" t="s">
        <v>1105</v>
      </c>
      <c r="M68" s="29"/>
      <c r="N68" s="29"/>
      <c r="O68" s="29"/>
      <c r="P68" s="29"/>
      <c r="Q68" s="29"/>
      <c r="R68" s="29" t="s">
        <v>565</v>
      </c>
      <c r="S68" s="29"/>
      <c r="T68" s="29"/>
      <c r="U68" s="29"/>
      <c r="V68" s="29"/>
      <c r="W68" s="29" t="s">
        <v>1063</v>
      </c>
      <c r="X68" s="29"/>
      <c r="Y68" s="29"/>
      <c r="Z68" s="29"/>
      <c r="AA68" s="29"/>
      <c r="AB68" s="29"/>
      <c r="AC68" s="29"/>
      <c r="AD68" s="29"/>
      <c r="AE68" s="29"/>
    </row>
    <row r="69" customFormat="false" ht="53.25" hidden="false" customHeight="true" outlineLevel="0" collapsed="false">
      <c r="A69" s="29" t="str">
        <f aca="false">TAKVİM!$B$60</f>
        <v>26-30 Nisan</v>
      </c>
      <c r="B69" s="29"/>
      <c r="C69" s="29"/>
      <c r="D69" s="29" t="s">
        <v>1106</v>
      </c>
      <c r="E69" s="29"/>
      <c r="F69" s="29"/>
      <c r="G69" s="29"/>
      <c r="H69" s="29"/>
      <c r="I69" s="29"/>
      <c r="J69" s="29"/>
      <c r="K69" s="29"/>
      <c r="L69" s="29" t="s">
        <v>1105</v>
      </c>
      <c r="M69" s="29"/>
      <c r="N69" s="29"/>
      <c r="O69" s="29"/>
      <c r="P69" s="29"/>
      <c r="Q69" s="29"/>
      <c r="R69" s="29" t="s">
        <v>565</v>
      </c>
      <c r="S69" s="29"/>
      <c r="T69" s="29"/>
      <c r="U69" s="29"/>
      <c r="V69" s="29"/>
      <c r="W69" s="29" t="s">
        <v>1063</v>
      </c>
      <c r="X69" s="29"/>
      <c r="Y69" s="29"/>
      <c r="Z69" s="29"/>
      <c r="AA69" s="29"/>
      <c r="AB69" s="29"/>
      <c r="AC69" s="29"/>
      <c r="AD69" s="29"/>
      <c r="AE69" s="29"/>
    </row>
    <row r="70" customFormat="false" ht="53.25" hidden="false" customHeight="true" outlineLevel="0" collapsed="false">
      <c r="A70" s="29" t="str">
        <f aca="false">TAKVİM!$B$61</f>
        <v>03-07 Mayıs</v>
      </c>
      <c r="B70" s="29"/>
      <c r="C70" s="29"/>
      <c r="D70" s="29" t="s">
        <v>1106</v>
      </c>
      <c r="E70" s="29"/>
      <c r="F70" s="29"/>
      <c r="G70" s="29"/>
      <c r="H70" s="29"/>
      <c r="I70" s="29"/>
      <c r="J70" s="29"/>
      <c r="K70" s="29"/>
      <c r="L70" s="29" t="s">
        <v>1105</v>
      </c>
      <c r="M70" s="29"/>
      <c r="N70" s="29"/>
      <c r="O70" s="29"/>
      <c r="P70" s="29"/>
      <c r="Q70" s="29"/>
      <c r="R70" s="29" t="s">
        <v>565</v>
      </c>
      <c r="S70" s="29"/>
      <c r="T70" s="29"/>
      <c r="U70" s="29"/>
      <c r="V70" s="29"/>
      <c r="W70" s="29" t="s">
        <v>1063</v>
      </c>
      <c r="X70" s="29"/>
      <c r="Y70" s="29"/>
      <c r="Z70" s="29"/>
      <c r="AA70" s="29"/>
      <c r="AB70" s="29"/>
      <c r="AC70" s="29"/>
      <c r="AD70" s="29"/>
      <c r="AE70" s="29"/>
    </row>
    <row r="71" customFormat="false" ht="63.75" hidden="false" customHeight="true" outlineLevel="0" collapsed="false">
      <c r="A71" s="29" t="str">
        <f aca="false">TAKVİM!$B$62</f>
        <v>10-14 Mayıs</v>
      </c>
      <c r="B71" s="29"/>
      <c r="C71" s="29"/>
      <c r="D71" s="29" t="s">
        <v>1107</v>
      </c>
      <c r="E71" s="29"/>
      <c r="F71" s="29"/>
      <c r="G71" s="29"/>
      <c r="H71" s="29"/>
      <c r="I71" s="29"/>
      <c r="J71" s="29"/>
      <c r="K71" s="29"/>
      <c r="L71" s="29" t="s">
        <v>1108</v>
      </c>
      <c r="M71" s="29"/>
      <c r="N71" s="29"/>
      <c r="O71" s="29"/>
      <c r="P71" s="29"/>
      <c r="Q71" s="29"/>
      <c r="R71" s="29" t="s">
        <v>565</v>
      </c>
      <c r="S71" s="29"/>
      <c r="T71" s="29"/>
      <c r="U71" s="29"/>
      <c r="V71" s="29"/>
      <c r="W71" s="29" t="s">
        <v>1063</v>
      </c>
      <c r="X71" s="29"/>
      <c r="Y71" s="29"/>
      <c r="Z71" s="29"/>
      <c r="AA71" s="29"/>
      <c r="AB71" s="29"/>
      <c r="AC71" s="29"/>
      <c r="AD71" s="29"/>
      <c r="AE71" s="29"/>
    </row>
    <row r="72" customFormat="false" ht="53.25" hidden="false" customHeight="true" outlineLevel="0" collapsed="false">
      <c r="A72" s="29" t="str">
        <f aca="false">TAKVİM!$B$63</f>
        <v>17-21 Mayıs</v>
      </c>
      <c r="B72" s="29"/>
      <c r="C72" s="29"/>
      <c r="D72" s="29" t="s">
        <v>1109</v>
      </c>
      <c r="E72" s="29"/>
      <c r="F72" s="29"/>
      <c r="G72" s="29"/>
      <c r="H72" s="29"/>
      <c r="I72" s="29"/>
      <c r="J72" s="29"/>
      <c r="K72" s="29"/>
      <c r="L72" s="29" t="s">
        <v>1108</v>
      </c>
      <c r="M72" s="29"/>
      <c r="N72" s="29"/>
      <c r="O72" s="29"/>
      <c r="P72" s="29"/>
      <c r="Q72" s="29"/>
      <c r="R72" s="29" t="s">
        <v>565</v>
      </c>
      <c r="S72" s="29"/>
      <c r="T72" s="29"/>
      <c r="U72" s="29"/>
      <c r="V72" s="29"/>
      <c r="W72" s="29" t="s">
        <v>1063</v>
      </c>
      <c r="X72" s="29"/>
      <c r="Y72" s="29"/>
      <c r="Z72" s="29"/>
      <c r="AA72" s="29"/>
      <c r="AB72" s="29"/>
      <c r="AC72" s="29"/>
      <c r="AD72" s="29"/>
      <c r="AE72" s="29"/>
    </row>
    <row r="73" customFormat="false" ht="53.25" hidden="false" customHeight="true" outlineLevel="0" collapsed="false">
      <c r="A73" s="29" t="str">
        <f aca="false">TAKVİM!$B$64</f>
        <v>24-28 Mayıs</v>
      </c>
      <c r="B73" s="29"/>
      <c r="C73" s="29"/>
      <c r="D73" s="29" t="s">
        <v>1109</v>
      </c>
      <c r="E73" s="29"/>
      <c r="F73" s="29"/>
      <c r="G73" s="29"/>
      <c r="H73" s="29"/>
      <c r="I73" s="29"/>
      <c r="J73" s="29"/>
      <c r="K73" s="29"/>
      <c r="L73" s="29" t="s">
        <v>1108</v>
      </c>
      <c r="M73" s="29"/>
      <c r="N73" s="29"/>
      <c r="O73" s="29"/>
      <c r="P73" s="29"/>
      <c r="Q73" s="29"/>
      <c r="R73" s="29" t="s">
        <v>565</v>
      </c>
      <c r="S73" s="29"/>
      <c r="T73" s="29"/>
      <c r="U73" s="29"/>
      <c r="V73" s="29"/>
      <c r="W73" s="29" t="s">
        <v>1063</v>
      </c>
      <c r="X73" s="29"/>
      <c r="Y73" s="29"/>
      <c r="Z73" s="29"/>
      <c r="AA73" s="29"/>
      <c r="AB73" s="29"/>
      <c r="AC73" s="29"/>
      <c r="AD73" s="29"/>
      <c r="AE73" s="29"/>
    </row>
    <row r="74" customFormat="false" ht="53.25" hidden="false" customHeight="true" outlineLevel="0" collapsed="false">
      <c r="A74" s="29" t="str">
        <f aca="false">TAKVİM!$B$65</f>
        <v>31 Mayıs - 04 Haziran</v>
      </c>
      <c r="B74" s="29"/>
      <c r="C74" s="29"/>
      <c r="D74" s="29" t="s">
        <v>1110</v>
      </c>
      <c r="E74" s="29"/>
      <c r="F74" s="29"/>
      <c r="G74" s="29"/>
      <c r="H74" s="29"/>
      <c r="I74" s="29"/>
      <c r="J74" s="29"/>
      <c r="K74" s="29"/>
      <c r="L74" s="29" t="s">
        <v>1111</v>
      </c>
      <c r="M74" s="29"/>
      <c r="N74" s="29"/>
      <c r="O74" s="29"/>
      <c r="P74" s="29"/>
      <c r="Q74" s="29"/>
      <c r="R74" s="29" t="s">
        <v>565</v>
      </c>
      <c r="S74" s="29"/>
      <c r="T74" s="29"/>
      <c r="U74" s="29"/>
      <c r="V74" s="29"/>
      <c r="W74" s="29" t="s">
        <v>1063</v>
      </c>
      <c r="X74" s="29"/>
      <c r="Y74" s="29"/>
      <c r="Z74" s="29"/>
      <c r="AA74" s="29"/>
      <c r="AB74" s="29"/>
      <c r="AC74" s="29"/>
      <c r="AD74" s="29"/>
      <c r="AE74" s="29"/>
    </row>
    <row r="75" customFormat="false" ht="53.25" hidden="false" customHeight="true" outlineLevel="0" collapsed="false">
      <c r="A75" s="29" t="str">
        <f aca="false">TAKVİM!$B$66</f>
        <v>07-11 Haziran</v>
      </c>
      <c r="B75" s="29"/>
      <c r="C75" s="29"/>
      <c r="D75" s="29" t="s">
        <v>1112</v>
      </c>
      <c r="E75" s="29"/>
      <c r="F75" s="29"/>
      <c r="G75" s="29"/>
      <c r="H75" s="29"/>
      <c r="I75" s="29"/>
      <c r="J75" s="29"/>
      <c r="K75" s="29"/>
      <c r="L75" s="29" t="s">
        <v>1111</v>
      </c>
      <c r="M75" s="29"/>
      <c r="N75" s="29"/>
      <c r="O75" s="29"/>
      <c r="P75" s="29"/>
      <c r="Q75" s="29"/>
      <c r="R75" s="29" t="s">
        <v>565</v>
      </c>
      <c r="S75" s="29"/>
      <c r="T75" s="29"/>
      <c r="U75" s="29"/>
      <c r="V75" s="29"/>
      <c r="W75" s="29" t="s">
        <v>1063</v>
      </c>
      <c r="X75" s="29"/>
      <c r="Y75" s="29"/>
      <c r="Z75" s="29"/>
      <c r="AA75" s="29"/>
      <c r="AB75" s="29"/>
      <c r="AC75" s="29"/>
      <c r="AD75" s="29"/>
      <c r="AE75" s="29"/>
    </row>
    <row r="76" customFormat="false" ht="53.25" hidden="false" customHeight="true" outlineLevel="0" collapsed="false">
      <c r="A76" s="29" t="str">
        <f aca="false">TAKVİM!$B$67</f>
        <v>14-18 Haziran</v>
      </c>
      <c r="B76" s="29"/>
      <c r="C76" s="29"/>
      <c r="D76" s="29" t="s">
        <v>1112</v>
      </c>
      <c r="E76" s="29"/>
      <c r="F76" s="29"/>
      <c r="G76" s="29"/>
      <c r="H76" s="29"/>
      <c r="I76" s="29"/>
      <c r="J76" s="29"/>
      <c r="K76" s="29"/>
      <c r="L76" s="29" t="s">
        <v>1111</v>
      </c>
      <c r="M76" s="29"/>
      <c r="N76" s="29"/>
      <c r="O76" s="29"/>
      <c r="P76" s="29"/>
      <c r="Q76" s="29"/>
      <c r="R76" s="29" t="s">
        <v>565</v>
      </c>
      <c r="S76" s="29"/>
      <c r="T76" s="29"/>
      <c r="U76" s="29"/>
      <c r="V76" s="29"/>
      <c r="W76" s="29" t="s">
        <v>1063</v>
      </c>
      <c r="X76" s="29"/>
      <c r="Y76" s="29"/>
      <c r="Z76" s="29"/>
      <c r="AA76" s="29"/>
      <c r="AB76" s="29"/>
      <c r="AC76" s="29"/>
      <c r="AD76" s="29"/>
      <c r="AE76" s="29"/>
    </row>
    <row r="77" customFormat="false" ht="53.25" hidden="false" customHeight="true" outlineLevel="0" collapsed="false">
      <c r="A77" s="29" t="str">
        <f aca="false">TAKVİM!$B$68</f>
        <v>21-25 Haziran</v>
      </c>
      <c r="B77" s="29"/>
      <c r="C77" s="29"/>
      <c r="D77" s="29" t="s">
        <v>1112</v>
      </c>
      <c r="E77" s="29"/>
      <c r="F77" s="29"/>
      <c r="G77" s="29"/>
      <c r="H77" s="29"/>
      <c r="I77" s="29"/>
      <c r="J77" s="29"/>
      <c r="K77" s="29"/>
      <c r="L77" s="29" t="s">
        <v>1111</v>
      </c>
      <c r="M77" s="29"/>
      <c r="N77" s="29"/>
      <c r="O77" s="29"/>
      <c r="P77" s="29"/>
      <c r="Q77" s="29"/>
      <c r="R77" s="29" t="s">
        <v>565</v>
      </c>
      <c r="S77" s="29"/>
      <c r="T77" s="29"/>
      <c r="U77" s="29"/>
      <c r="V77" s="29"/>
      <c r="W77" s="29" t="s">
        <v>1063</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1113</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1060</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74.25" hidden="false" customHeight="true" outlineLevel="0" collapsed="false">
      <c r="A38" s="29" t="str">
        <f aca="false">TAKVİM!$B$29</f>
        <v>14-18 Eylül</v>
      </c>
      <c r="B38" s="29"/>
      <c r="C38" s="29"/>
      <c r="D38" s="29" t="s">
        <v>1114</v>
      </c>
      <c r="E38" s="29"/>
      <c r="F38" s="29"/>
      <c r="G38" s="29"/>
      <c r="H38" s="29"/>
      <c r="I38" s="29"/>
      <c r="J38" s="29"/>
      <c r="K38" s="29"/>
      <c r="L38" s="29" t="s">
        <v>1115</v>
      </c>
      <c r="M38" s="29"/>
      <c r="N38" s="29"/>
      <c r="O38" s="29"/>
      <c r="P38" s="29"/>
      <c r="Q38" s="29"/>
      <c r="R38" s="29" t="s">
        <v>1116</v>
      </c>
      <c r="S38" s="29"/>
      <c r="T38" s="29"/>
      <c r="U38" s="29"/>
      <c r="V38" s="29"/>
      <c r="W38" s="29" t="s">
        <v>1117</v>
      </c>
      <c r="X38" s="29"/>
      <c r="Y38" s="29"/>
      <c r="Z38" s="29"/>
      <c r="AA38" s="29"/>
      <c r="AB38" s="29"/>
      <c r="AC38" s="29"/>
      <c r="AD38" s="29"/>
      <c r="AE38" s="29"/>
    </row>
    <row r="39" customFormat="false" ht="42.75" hidden="false" customHeight="true" outlineLevel="0" collapsed="false">
      <c r="A39" s="29" t="str">
        <f aca="false">TAKVİM!$B$30</f>
        <v>21-25 Eylül</v>
      </c>
      <c r="B39" s="29"/>
      <c r="C39" s="29"/>
      <c r="D39" s="29" t="s">
        <v>1118</v>
      </c>
      <c r="E39" s="29"/>
      <c r="F39" s="29"/>
      <c r="G39" s="29"/>
      <c r="H39" s="29"/>
      <c r="I39" s="29"/>
      <c r="J39" s="29"/>
      <c r="K39" s="29"/>
      <c r="L39" s="29" t="s">
        <v>1119</v>
      </c>
      <c r="M39" s="29"/>
      <c r="N39" s="29"/>
      <c r="O39" s="29"/>
      <c r="P39" s="29"/>
      <c r="Q39" s="29"/>
      <c r="R39" s="29" t="s">
        <v>1116</v>
      </c>
      <c r="S39" s="29"/>
      <c r="T39" s="29"/>
      <c r="U39" s="29"/>
      <c r="V39" s="29"/>
      <c r="W39" s="29" t="s">
        <v>1117</v>
      </c>
      <c r="X39" s="29"/>
      <c r="Y39" s="29"/>
      <c r="Z39" s="29"/>
      <c r="AA39" s="29"/>
      <c r="AB39" s="29"/>
      <c r="AC39" s="29"/>
      <c r="AD39" s="29"/>
      <c r="AE39" s="29"/>
    </row>
    <row r="40" customFormat="false" ht="42.75" hidden="false" customHeight="true" outlineLevel="0" collapsed="false">
      <c r="A40" s="29" t="str">
        <f aca="false">TAKVİM!$B$31</f>
        <v>28 Eylül - 02 Ekim</v>
      </c>
      <c r="B40" s="29"/>
      <c r="C40" s="29"/>
      <c r="D40" s="29" t="s">
        <v>1120</v>
      </c>
      <c r="E40" s="29"/>
      <c r="F40" s="29"/>
      <c r="G40" s="29"/>
      <c r="H40" s="29"/>
      <c r="I40" s="29"/>
      <c r="J40" s="29"/>
      <c r="K40" s="29"/>
      <c r="L40" s="29" t="s">
        <v>1121</v>
      </c>
      <c r="M40" s="29"/>
      <c r="N40" s="29"/>
      <c r="O40" s="29"/>
      <c r="P40" s="29"/>
      <c r="Q40" s="29"/>
      <c r="R40" s="29" t="s">
        <v>1116</v>
      </c>
      <c r="S40" s="29"/>
      <c r="T40" s="29"/>
      <c r="U40" s="29"/>
      <c r="V40" s="29"/>
      <c r="W40" s="29" t="s">
        <v>1117</v>
      </c>
      <c r="X40" s="29"/>
      <c r="Y40" s="29"/>
      <c r="Z40" s="29"/>
      <c r="AA40" s="29"/>
      <c r="AB40" s="29"/>
      <c r="AC40" s="29"/>
      <c r="AD40" s="29"/>
      <c r="AE40" s="29"/>
    </row>
    <row r="41" customFormat="false" ht="42.75" hidden="false" customHeight="true" outlineLevel="0" collapsed="false">
      <c r="A41" s="29" t="str">
        <f aca="false">TAKVİM!$B$32</f>
        <v>05-09 Ekim</v>
      </c>
      <c r="B41" s="29"/>
      <c r="C41" s="29"/>
      <c r="D41" s="29" t="s">
        <v>1122</v>
      </c>
      <c r="E41" s="29"/>
      <c r="F41" s="29"/>
      <c r="G41" s="29"/>
      <c r="H41" s="29"/>
      <c r="I41" s="29"/>
      <c r="J41" s="29"/>
      <c r="K41" s="29"/>
      <c r="L41" s="29" t="s">
        <v>1121</v>
      </c>
      <c r="M41" s="29"/>
      <c r="N41" s="29"/>
      <c r="O41" s="29"/>
      <c r="P41" s="29"/>
      <c r="Q41" s="29"/>
      <c r="R41" s="29" t="s">
        <v>1116</v>
      </c>
      <c r="S41" s="29"/>
      <c r="T41" s="29"/>
      <c r="U41" s="29"/>
      <c r="V41" s="29"/>
      <c r="W41" s="29" t="s">
        <v>1117</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1123</v>
      </c>
      <c r="E42" s="29"/>
      <c r="F42" s="29"/>
      <c r="G42" s="29"/>
      <c r="H42" s="29"/>
      <c r="I42" s="29"/>
      <c r="J42" s="29"/>
      <c r="K42" s="29"/>
      <c r="L42" s="29" t="s">
        <v>1124</v>
      </c>
      <c r="M42" s="29"/>
      <c r="N42" s="29"/>
      <c r="O42" s="29"/>
      <c r="P42" s="29"/>
      <c r="Q42" s="29"/>
      <c r="R42" s="29" t="s">
        <v>1116</v>
      </c>
      <c r="S42" s="29"/>
      <c r="T42" s="29"/>
      <c r="U42" s="29"/>
      <c r="V42" s="29"/>
      <c r="W42" s="29" t="s">
        <v>1117</v>
      </c>
      <c r="X42" s="29"/>
      <c r="Y42" s="29"/>
      <c r="Z42" s="29"/>
      <c r="AA42" s="29"/>
      <c r="AB42" s="29"/>
      <c r="AC42" s="29"/>
      <c r="AD42" s="29"/>
      <c r="AE42" s="29"/>
    </row>
    <row r="43" customFormat="false" ht="53.25" hidden="false" customHeight="true" outlineLevel="0" collapsed="false">
      <c r="A43" s="29" t="str">
        <f aca="false">TAKVİM!$B$34</f>
        <v>19-23 Ekim</v>
      </c>
      <c r="B43" s="29"/>
      <c r="C43" s="29"/>
      <c r="D43" s="29" t="s">
        <v>1125</v>
      </c>
      <c r="E43" s="29"/>
      <c r="F43" s="29"/>
      <c r="G43" s="29"/>
      <c r="H43" s="29"/>
      <c r="I43" s="29"/>
      <c r="J43" s="29"/>
      <c r="K43" s="29"/>
      <c r="L43" s="29" t="s">
        <v>1126</v>
      </c>
      <c r="M43" s="29"/>
      <c r="N43" s="29"/>
      <c r="O43" s="29"/>
      <c r="P43" s="29"/>
      <c r="Q43" s="29"/>
      <c r="R43" s="29" t="s">
        <v>1116</v>
      </c>
      <c r="S43" s="29"/>
      <c r="T43" s="29"/>
      <c r="U43" s="29"/>
      <c r="V43" s="29"/>
      <c r="W43" s="29" t="s">
        <v>1117</v>
      </c>
      <c r="X43" s="29"/>
      <c r="Y43" s="29"/>
      <c r="Z43" s="29"/>
      <c r="AA43" s="29"/>
      <c r="AB43" s="29"/>
      <c r="AC43" s="29"/>
      <c r="AD43" s="29"/>
      <c r="AE43" s="29"/>
    </row>
    <row r="44" customFormat="false" ht="42.75" hidden="false" customHeight="true" outlineLevel="0" collapsed="false">
      <c r="A44" s="29" t="str">
        <f aca="false">TAKVİM!$B$35</f>
        <v>26-30 Ekim</v>
      </c>
      <c r="B44" s="29"/>
      <c r="C44" s="29"/>
      <c r="D44" s="29" t="s">
        <v>1127</v>
      </c>
      <c r="E44" s="29"/>
      <c r="F44" s="29"/>
      <c r="G44" s="29"/>
      <c r="H44" s="29"/>
      <c r="I44" s="29"/>
      <c r="J44" s="29"/>
      <c r="K44" s="29"/>
      <c r="L44" s="29" t="s">
        <v>1128</v>
      </c>
      <c r="M44" s="29"/>
      <c r="N44" s="29"/>
      <c r="O44" s="29"/>
      <c r="P44" s="29"/>
      <c r="Q44" s="29"/>
      <c r="R44" s="29" t="s">
        <v>1116</v>
      </c>
      <c r="S44" s="29"/>
      <c r="T44" s="29"/>
      <c r="U44" s="29"/>
      <c r="V44" s="29"/>
      <c r="W44" s="29" t="s">
        <v>1117</v>
      </c>
      <c r="X44" s="29"/>
      <c r="Y44" s="29"/>
      <c r="Z44" s="29"/>
      <c r="AA44" s="29"/>
      <c r="AB44" s="29"/>
      <c r="AC44" s="29"/>
      <c r="AD44" s="29"/>
      <c r="AE44" s="29"/>
    </row>
    <row r="45" customFormat="false" ht="42.75" hidden="false" customHeight="true" outlineLevel="0" collapsed="false">
      <c r="A45" s="29" t="str">
        <f aca="false">TAKVİM!$B$36</f>
        <v>02-06 Kasım</v>
      </c>
      <c r="B45" s="29"/>
      <c r="C45" s="29"/>
      <c r="D45" s="29" t="s">
        <v>1129</v>
      </c>
      <c r="E45" s="29"/>
      <c r="F45" s="29"/>
      <c r="G45" s="29"/>
      <c r="H45" s="29"/>
      <c r="I45" s="29"/>
      <c r="J45" s="29"/>
      <c r="K45" s="29"/>
      <c r="L45" s="29" t="s">
        <v>1128</v>
      </c>
      <c r="M45" s="29"/>
      <c r="N45" s="29"/>
      <c r="O45" s="29"/>
      <c r="P45" s="29"/>
      <c r="Q45" s="29"/>
      <c r="R45" s="29" t="s">
        <v>1116</v>
      </c>
      <c r="S45" s="29"/>
      <c r="T45" s="29"/>
      <c r="U45" s="29"/>
      <c r="V45" s="29"/>
      <c r="W45" s="29" t="s">
        <v>1117</v>
      </c>
      <c r="X45" s="29"/>
      <c r="Y45" s="29"/>
      <c r="Z45" s="29"/>
      <c r="AA45" s="29"/>
      <c r="AB45" s="29"/>
      <c r="AC45" s="29"/>
      <c r="AD45" s="29"/>
      <c r="AE45" s="29"/>
    </row>
    <row r="46" customFormat="false" ht="105.75" hidden="false" customHeight="true" outlineLevel="0" collapsed="false">
      <c r="A46" s="29" t="str">
        <f aca="false">TAKVİM!$B$37</f>
        <v>09-13 Kasım</v>
      </c>
      <c r="B46" s="29"/>
      <c r="C46" s="29"/>
      <c r="D46" s="29" t="s">
        <v>1130</v>
      </c>
      <c r="E46" s="29"/>
      <c r="F46" s="29"/>
      <c r="G46" s="29"/>
      <c r="H46" s="29"/>
      <c r="I46" s="29"/>
      <c r="J46" s="29"/>
      <c r="K46" s="29"/>
      <c r="L46" s="29" t="s">
        <v>1131</v>
      </c>
      <c r="M46" s="29"/>
      <c r="N46" s="29"/>
      <c r="O46" s="29"/>
      <c r="P46" s="29"/>
      <c r="Q46" s="29"/>
      <c r="R46" s="29" t="s">
        <v>1116</v>
      </c>
      <c r="S46" s="29"/>
      <c r="T46" s="29"/>
      <c r="U46" s="29"/>
      <c r="V46" s="29"/>
      <c r="W46" s="29" t="s">
        <v>1117</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42.75" hidden="false" customHeight="true" outlineLevel="0" collapsed="false">
      <c r="A48" s="29" t="str">
        <f aca="false">TAKVİM!$B$39</f>
        <v>23-27 Kasım</v>
      </c>
      <c r="B48" s="29"/>
      <c r="C48" s="29"/>
      <c r="D48" s="29" t="s">
        <v>1132</v>
      </c>
      <c r="E48" s="29"/>
      <c r="F48" s="29"/>
      <c r="G48" s="29"/>
      <c r="H48" s="29"/>
      <c r="I48" s="29"/>
      <c r="J48" s="29"/>
      <c r="K48" s="29"/>
      <c r="L48" s="29" t="s">
        <v>1133</v>
      </c>
      <c r="M48" s="29"/>
      <c r="N48" s="29"/>
      <c r="O48" s="29"/>
      <c r="P48" s="29"/>
      <c r="Q48" s="29"/>
      <c r="R48" s="29" t="s">
        <v>1116</v>
      </c>
      <c r="S48" s="29"/>
      <c r="T48" s="29"/>
      <c r="U48" s="29"/>
      <c r="V48" s="29"/>
      <c r="W48" s="29" t="s">
        <v>1117</v>
      </c>
      <c r="X48" s="29"/>
      <c r="Y48" s="29"/>
      <c r="Z48" s="29"/>
      <c r="AA48" s="29"/>
      <c r="AB48" s="29"/>
      <c r="AC48" s="29"/>
      <c r="AD48" s="29"/>
      <c r="AE48" s="29"/>
    </row>
    <row r="49" customFormat="false" ht="63.75" hidden="false" customHeight="true" outlineLevel="0" collapsed="false">
      <c r="A49" s="29" t="str">
        <f aca="false">TAKVİM!$B$40</f>
        <v>30 Kasım - 04 Aralık</v>
      </c>
      <c r="B49" s="29"/>
      <c r="C49" s="29"/>
      <c r="D49" s="29" t="s">
        <v>1134</v>
      </c>
      <c r="E49" s="29"/>
      <c r="F49" s="29"/>
      <c r="G49" s="29"/>
      <c r="H49" s="29"/>
      <c r="I49" s="29"/>
      <c r="J49" s="29"/>
      <c r="K49" s="29"/>
      <c r="L49" s="29" t="s">
        <v>1135</v>
      </c>
      <c r="M49" s="29"/>
      <c r="N49" s="29"/>
      <c r="O49" s="29"/>
      <c r="P49" s="29"/>
      <c r="Q49" s="29"/>
      <c r="R49" s="29" t="s">
        <v>1116</v>
      </c>
      <c r="S49" s="29"/>
      <c r="T49" s="29"/>
      <c r="U49" s="29"/>
      <c r="V49" s="29"/>
      <c r="W49" s="29" t="s">
        <v>1117</v>
      </c>
      <c r="X49" s="29"/>
      <c r="Y49" s="29"/>
      <c r="Z49" s="29"/>
      <c r="AA49" s="29"/>
      <c r="AB49" s="29"/>
      <c r="AC49" s="29"/>
      <c r="AD49" s="29"/>
      <c r="AE49" s="29"/>
    </row>
    <row r="50" customFormat="false" ht="42.75" hidden="false" customHeight="true" outlineLevel="0" collapsed="false">
      <c r="A50" s="29" t="str">
        <f aca="false">TAKVİM!$B$41</f>
        <v>07-11 Aralık</v>
      </c>
      <c r="B50" s="29"/>
      <c r="C50" s="29"/>
      <c r="D50" s="29" t="s">
        <v>1136</v>
      </c>
      <c r="E50" s="29"/>
      <c r="F50" s="29"/>
      <c r="G50" s="29"/>
      <c r="H50" s="29"/>
      <c r="I50" s="29"/>
      <c r="J50" s="29"/>
      <c r="K50" s="29"/>
      <c r="L50" s="29" t="s">
        <v>1135</v>
      </c>
      <c r="M50" s="29"/>
      <c r="N50" s="29"/>
      <c r="O50" s="29"/>
      <c r="P50" s="29"/>
      <c r="Q50" s="29"/>
      <c r="R50" s="29" t="s">
        <v>1116</v>
      </c>
      <c r="S50" s="29"/>
      <c r="T50" s="29"/>
      <c r="U50" s="29"/>
      <c r="V50" s="29"/>
      <c r="W50" s="29" t="s">
        <v>1117</v>
      </c>
      <c r="X50" s="29"/>
      <c r="Y50" s="29"/>
      <c r="Z50" s="29"/>
      <c r="AA50" s="29"/>
      <c r="AB50" s="29"/>
      <c r="AC50" s="29"/>
      <c r="AD50" s="29"/>
      <c r="AE50" s="29"/>
    </row>
    <row r="51" customFormat="false" ht="42.75" hidden="false" customHeight="true" outlineLevel="0" collapsed="false">
      <c r="A51" s="29" t="str">
        <f aca="false">TAKVİM!$B$42</f>
        <v>14-18 Aralık</v>
      </c>
      <c r="B51" s="29"/>
      <c r="C51" s="29"/>
      <c r="D51" s="29" t="s">
        <v>1137</v>
      </c>
      <c r="E51" s="29"/>
      <c r="F51" s="29"/>
      <c r="G51" s="29"/>
      <c r="H51" s="29"/>
      <c r="I51" s="29"/>
      <c r="J51" s="29"/>
      <c r="K51" s="29"/>
      <c r="L51" s="29" t="s">
        <v>1135</v>
      </c>
      <c r="M51" s="29"/>
      <c r="N51" s="29"/>
      <c r="O51" s="29"/>
      <c r="P51" s="29"/>
      <c r="Q51" s="29"/>
      <c r="R51" s="29" t="s">
        <v>1116</v>
      </c>
      <c r="S51" s="29"/>
      <c r="T51" s="29"/>
      <c r="U51" s="29"/>
      <c r="V51" s="29"/>
      <c r="W51" s="29" t="s">
        <v>1117</v>
      </c>
      <c r="X51" s="29"/>
      <c r="Y51" s="29"/>
      <c r="Z51" s="29"/>
      <c r="AA51" s="29"/>
      <c r="AB51" s="29"/>
      <c r="AC51" s="29"/>
      <c r="AD51" s="29"/>
      <c r="AE51" s="29"/>
    </row>
    <row r="52" customFormat="false" ht="63.75" hidden="false" customHeight="true" outlineLevel="0" collapsed="false">
      <c r="A52" s="29" t="str">
        <f aca="false">TAKVİM!$B$43</f>
        <v>21-25 Aralık</v>
      </c>
      <c r="B52" s="29"/>
      <c r="C52" s="29"/>
      <c r="D52" s="29" t="s">
        <v>1138</v>
      </c>
      <c r="E52" s="29"/>
      <c r="F52" s="29"/>
      <c r="G52" s="29"/>
      <c r="H52" s="29"/>
      <c r="I52" s="29"/>
      <c r="J52" s="29"/>
      <c r="K52" s="29"/>
      <c r="L52" s="29" t="s">
        <v>1139</v>
      </c>
      <c r="M52" s="29"/>
      <c r="N52" s="29"/>
      <c r="O52" s="29"/>
      <c r="P52" s="29"/>
      <c r="Q52" s="29"/>
      <c r="R52" s="29" t="s">
        <v>1116</v>
      </c>
      <c r="S52" s="29"/>
      <c r="T52" s="29"/>
      <c r="U52" s="29"/>
      <c r="V52" s="29"/>
      <c r="W52" s="29" t="s">
        <v>1117</v>
      </c>
      <c r="X52" s="29"/>
      <c r="Y52" s="29"/>
      <c r="Z52" s="29"/>
      <c r="AA52" s="29"/>
      <c r="AB52" s="29"/>
      <c r="AC52" s="29"/>
      <c r="AD52" s="29"/>
      <c r="AE52" s="29"/>
    </row>
    <row r="53" customFormat="false" ht="42.75" hidden="false" customHeight="true" outlineLevel="0" collapsed="false">
      <c r="A53" s="29" t="str">
        <f aca="false">TAKVİM!$B$44</f>
        <v>28 Aralık - 01 Ocak</v>
      </c>
      <c r="B53" s="29"/>
      <c r="C53" s="29"/>
      <c r="D53" s="29" t="s">
        <v>1140</v>
      </c>
      <c r="E53" s="29"/>
      <c r="F53" s="29"/>
      <c r="G53" s="29"/>
      <c r="H53" s="29"/>
      <c r="I53" s="29"/>
      <c r="J53" s="29"/>
      <c r="K53" s="29"/>
      <c r="L53" s="29" t="s">
        <v>1139</v>
      </c>
      <c r="M53" s="29"/>
      <c r="N53" s="29"/>
      <c r="O53" s="29"/>
      <c r="P53" s="29"/>
      <c r="Q53" s="29"/>
      <c r="R53" s="29" t="s">
        <v>1116</v>
      </c>
      <c r="S53" s="29"/>
      <c r="T53" s="29"/>
      <c r="U53" s="29"/>
      <c r="V53" s="29"/>
      <c r="W53" s="29" t="s">
        <v>1117</v>
      </c>
      <c r="X53" s="29"/>
      <c r="Y53" s="29"/>
      <c r="Z53" s="29"/>
      <c r="AA53" s="29"/>
      <c r="AB53" s="29"/>
      <c r="AC53" s="29"/>
      <c r="AD53" s="29"/>
      <c r="AE53" s="29"/>
    </row>
    <row r="54" customFormat="false" ht="42.75" hidden="false" customHeight="true" outlineLevel="0" collapsed="false">
      <c r="A54" s="29" t="str">
        <f aca="false">TAKVİM!$B$45</f>
        <v>04-08 Ocak</v>
      </c>
      <c r="B54" s="29"/>
      <c r="C54" s="29"/>
      <c r="D54" s="29" t="s">
        <v>1141</v>
      </c>
      <c r="E54" s="29"/>
      <c r="F54" s="29"/>
      <c r="G54" s="29"/>
      <c r="H54" s="29"/>
      <c r="I54" s="29"/>
      <c r="J54" s="29"/>
      <c r="K54" s="29"/>
      <c r="L54" s="29" t="s">
        <v>1142</v>
      </c>
      <c r="M54" s="29"/>
      <c r="N54" s="29"/>
      <c r="O54" s="29"/>
      <c r="P54" s="29"/>
      <c r="Q54" s="29"/>
      <c r="R54" s="29" t="s">
        <v>1116</v>
      </c>
      <c r="S54" s="29"/>
      <c r="T54" s="29"/>
      <c r="U54" s="29"/>
      <c r="V54" s="29"/>
      <c r="W54" s="29" t="s">
        <v>1117</v>
      </c>
      <c r="X54" s="29"/>
      <c r="Y54" s="29"/>
      <c r="Z54" s="29"/>
      <c r="AA54" s="29"/>
      <c r="AB54" s="29"/>
      <c r="AC54" s="29"/>
      <c r="AD54" s="29"/>
      <c r="AE54" s="29"/>
    </row>
    <row r="55" customFormat="false" ht="42.75" hidden="false" customHeight="true" outlineLevel="0" collapsed="false">
      <c r="A55" s="29" t="str">
        <f aca="false">TAKVİM!$B$46</f>
        <v>11-15 Ocak</v>
      </c>
      <c r="B55" s="29"/>
      <c r="C55" s="29"/>
      <c r="D55" s="29" t="s">
        <v>1143</v>
      </c>
      <c r="E55" s="29"/>
      <c r="F55" s="29"/>
      <c r="G55" s="29"/>
      <c r="H55" s="29"/>
      <c r="I55" s="29"/>
      <c r="J55" s="29"/>
      <c r="K55" s="29"/>
      <c r="L55" s="29" t="s">
        <v>1142</v>
      </c>
      <c r="M55" s="29"/>
      <c r="N55" s="29"/>
      <c r="O55" s="29"/>
      <c r="P55" s="29"/>
      <c r="Q55" s="29"/>
      <c r="R55" s="29" t="s">
        <v>1116</v>
      </c>
      <c r="S55" s="29"/>
      <c r="T55" s="29"/>
      <c r="U55" s="29"/>
      <c r="V55" s="29"/>
      <c r="W55" s="29" t="s">
        <v>1117</v>
      </c>
      <c r="X55" s="29"/>
      <c r="Y55" s="29"/>
      <c r="Z55" s="29"/>
      <c r="AA55" s="29"/>
      <c r="AB55" s="29"/>
      <c r="AC55" s="29"/>
      <c r="AD55" s="29"/>
      <c r="AE55" s="29"/>
    </row>
    <row r="56" customFormat="false" ht="42.75" hidden="false" customHeight="true" outlineLevel="0" collapsed="false">
      <c r="A56" s="29" t="str">
        <f aca="false">TAKVİM!$B$47</f>
        <v>18-22 Ocak</v>
      </c>
      <c r="B56" s="29"/>
      <c r="C56" s="29"/>
      <c r="D56" s="29" t="s">
        <v>1144</v>
      </c>
      <c r="E56" s="29"/>
      <c r="F56" s="29"/>
      <c r="G56" s="29"/>
      <c r="H56" s="29"/>
      <c r="I56" s="29"/>
      <c r="J56" s="29"/>
      <c r="K56" s="29"/>
      <c r="L56" s="29" t="s">
        <v>1142</v>
      </c>
      <c r="M56" s="29"/>
      <c r="N56" s="29"/>
      <c r="O56" s="29"/>
      <c r="P56" s="29"/>
      <c r="Q56" s="29"/>
      <c r="R56" s="29" t="s">
        <v>1116</v>
      </c>
      <c r="S56" s="29"/>
      <c r="T56" s="29"/>
      <c r="U56" s="29"/>
      <c r="V56" s="29"/>
      <c r="W56" s="29" t="s">
        <v>1117</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63.75" hidden="false" customHeight="true" outlineLevel="0" collapsed="false">
      <c r="A58" s="29" t="str">
        <f aca="false">TAKVİM!$B$49</f>
        <v>08-12 Şubat</v>
      </c>
      <c r="B58" s="29"/>
      <c r="C58" s="29"/>
      <c r="D58" s="29" t="s">
        <v>1145</v>
      </c>
      <c r="E58" s="29"/>
      <c r="F58" s="29"/>
      <c r="G58" s="29"/>
      <c r="H58" s="29"/>
      <c r="I58" s="29"/>
      <c r="J58" s="29"/>
      <c r="K58" s="29"/>
      <c r="L58" s="29" t="s">
        <v>1146</v>
      </c>
      <c r="M58" s="29"/>
      <c r="N58" s="29"/>
      <c r="O58" s="29"/>
      <c r="P58" s="29"/>
      <c r="Q58" s="29"/>
      <c r="R58" s="29" t="s">
        <v>1116</v>
      </c>
      <c r="S58" s="29"/>
      <c r="T58" s="29"/>
      <c r="U58" s="29"/>
      <c r="V58" s="29"/>
      <c r="W58" s="29" t="s">
        <v>1117</v>
      </c>
      <c r="X58" s="29"/>
      <c r="Y58" s="29"/>
      <c r="Z58" s="29"/>
      <c r="AA58" s="29"/>
      <c r="AB58" s="29"/>
      <c r="AC58" s="29"/>
      <c r="AD58" s="29"/>
      <c r="AE58" s="29"/>
    </row>
    <row r="59" customFormat="false" ht="42.75" hidden="false" customHeight="true" outlineLevel="0" collapsed="false">
      <c r="A59" s="29" t="str">
        <f aca="false">TAKVİM!$B$50</f>
        <v>15-19 Şubat</v>
      </c>
      <c r="B59" s="29"/>
      <c r="C59" s="29"/>
      <c r="D59" s="29" t="s">
        <v>1147</v>
      </c>
      <c r="E59" s="29"/>
      <c r="F59" s="29"/>
      <c r="G59" s="29"/>
      <c r="H59" s="29"/>
      <c r="I59" s="29"/>
      <c r="J59" s="29"/>
      <c r="K59" s="29"/>
      <c r="L59" s="29" t="s">
        <v>1146</v>
      </c>
      <c r="M59" s="29"/>
      <c r="N59" s="29"/>
      <c r="O59" s="29"/>
      <c r="P59" s="29"/>
      <c r="Q59" s="29"/>
      <c r="R59" s="29" t="s">
        <v>1116</v>
      </c>
      <c r="S59" s="29"/>
      <c r="T59" s="29"/>
      <c r="U59" s="29"/>
      <c r="V59" s="29"/>
      <c r="W59" s="29" t="s">
        <v>1117</v>
      </c>
      <c r="X59" s="29"/>
      <c r="Y59" s="29"/>
      <c r="Z59" s="29"/>
      <c r="AA59" s="29"/>
      <c r="AB59" s="29"/>
      <c r="AC59" s="29"/>
      <c r="AD59" s="29"/>
      <c r="AE59" s="29"/>
    </row>
    <row r="60" customFormat="false" ht="53.25" hidden="false" customHeight="true" outlineLevel="0" collapsed="false">
      <c r="A60" s="29" t="str">
        <f aca="false">TAKVİM!$B$51</f>
        <v>22-26 Şubat</v>
      </c>
      <c r="B60" s="29"/>
      <c r="C60" s="29"/>
      <c r="D60" s="29" t="s">
        <v>1148</v>
      </c>
      <c r="E60" s="29"/>
      <c r="F60" s="29"/>
      <c r="G60" s="29"/>
      <c r="H60" s="29"/>
      <c r="I60" s="29"/>
      <c r="J60" s="29"/>
      <c r="K60" s="29"/>
      <c r="L60" s="29" t="s">
        <v>1149</v>
      </c>
      <c r="M60" s="29"/>
      <c r="N60" s="29"/>
      <c r="O60" s="29"/>
      <c r="P60" s="29"/>
      <c r="Q60" s="29"/>
      <c r="R60" s="29" t="s">
        <v>1116</v>
      </c>
      <c r="S60" s="29"/>
      <c r="T60" s="29"/>
      <c r="U60" s="29"/>
      <c r="V60" s="29"/>
      <c r="W60" s="29" t="s">
        <v>1117</v>
      </c>
      <c r="X60" s="29"/>
      <c r="Y60" s="29"/>
      <c r="Z60" s="29"/>
      <c r="AA60" s="29"/>
      <c r="AB60" s="29"/>
      <c r="AC60" s="29"/>
      <c r="AD60" s="29"/>
      <c r="AE60" s="29"/>
    </row>
    <row r="61" customFormat="false" ht="53.25" hidden="false" customHeight="true" outlineLevel="0" collapsed="false">
      <c r="A61" s="29" t="str">
        <f aca="false">TAKVİM!$B$52</f>
        <v>01-05 Mart</v>
      </c>
      <c r="B61" s="29"/>
      <c r="C61" s="29"/>
      <c r="D61" s="29" t="s">
        <v>1150</v>
      </c>
      <c r="E61" s="29"/>
      <c r="F61" s="29"/>
      <c r="G61" s="29"/>
      <c r="H61" s="29"/>
      <c r="I61" s="29"/>
      <c r="J61" s="29"/>
      <c r="K61" s="29"/>
      <c r="L61" s="29" t="s">
        <v>1149</v>
      </c>
      <c r="M61" s="29"/>
      <c r="N61" s="29"/>
      <c r="O61" s="29"/>
      <c r="P61" s="29"/>
      <c r="Q61" s="29"/>
      <c r="R61" s="29" t="s">
        <v>1116</v>
      </c>
      <c r="S61" s="29"/>
      <c r="T61" s="29"/>
      <c r="U61" s="29"/>
      <c r="V61" s="29"/>
      <c r="W61" s="29" t="s">
        <v>1117</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42.75" hidden="false" customHeight="true" outlineLevel="0" collapsed="false">
      <c r="A63" s="29" t="str">
        <f aca="false">TAKVİM!$B$54</f>
        <v>15-19 Mart</v>
      </c>
      <c r="B63" s="29"/>
      <c r="C63" s="29"/>
      <c r="D63" s="29" t="s">
        <v>1151</v>
      </c>
      <c r="E63" s="29"/>
      <c r="F63" s="29"/>
      <c r="G63" s="29"/>
      <c r="H63" s="29"/>
      <c r="I63" s="29"/>
      <c r="J63" s="29"/>
      <c r="K63" s="29"/>
      <c r="L63" s="29" t="s">
        <v>1149</v>
      </c>
      <c r="M63" s="29"/>
      <c r="N63" s="29"/>
      <c r="O63" s="29"/>
      <c r="P63" s="29"/>
      <c r="Q63" s="29"/>
      <c r="R63" s="29" t="s">
        <v>1116</v>
      </c>
      <c r="S63" s="29"/>
      <c r="T63" s="29"/>
      <c r="U63" s="29"/>
      <c r="V63" s="29"/>
      <c r="W63" s="29" t="s">
        <v>1117</v>
      </c>
      <c r="X63" s="29"/>
      <c r="Y63" s="29"/>
      <c r="Z63" s="29"/>
      <c r="AA63" s="29"/>
      <c r="AB63" s="29"/>
      <c r="AC63" s="29"/>
      <c r="AD63" s="29"/>
      <c r="AE63" s="29"/>
    </row>
    <row r="64" customFormat="false" ht="53.25" hidden="false" customHeight="true" outlineLevel="0" collapsed="false">
      <c r="A64" s="29" t="str">
        <f aca="false">TAKVİM!$B$55</f>
        <v>22-26 Mart</v>
      </c>
      <c r="B64" s="29"/>
      <c r="C64" s="29"/>
      <c r="D64" s="29" t="s">
        <v>1152</v>
      </c>
      <c r="E64" s="29"/>
      <c r="F64" s="29"/>
      <c r="G64" s="29"/>
      <c r="H64" s="29"/>
      <c r="I64" s="29"/>
      <c r="J64" s="29"/>
      <c r="K64" s="29"/>
      <c r="L64" s="29" t="s">
        <v>1153</v>
      </c>
      <c r="M64" s="29"/>
      <c r="N64" s="29"/>
      <c r="O64" s="29"/>
      <c r="P64" s="29"/>
      <c r="Q64" s="29"/>
      <c r="R64" s="29" t="s">
        <v>1116</v>
      </c>
      <c r="S64" s="29"/>
      <c r="T64" s="29"/>
      <c r="U64" s="29"/>
      <c r="V64" s="29"/>
      <c r="W64" s="29" t="s">
        <v>1117</v>
      </c>
      <c r="X64" s="29"/>
      <c r="Y64" s="29"/>
      <c r="Z64" s="29"/>
      <c r="AA64" s="29"/>
      <c r="AB64" s="29"/>
      <c r="AC64" s="29"/>
      <c r="AD64" s="29"/>
      <c r="AE64" s="29"/>
    </row>
    <row r="65" customFormat="false" ht="42.75" hidden="false" customHeight="true" outlineLevel="0" collapsed="false">
      <c r="A65" s="29" t="str">
        <f aca="false">TAKVİM!$B$56</f>
        <v>29 Mart - 02 Nisan</v>
      </c>
      <c r="B65" s="29"/>
      <c r="C65" s="29"/>
      <c r="D65" s="29" t="s">
        <v>1154</v>
      </c>
      <c r="E65" s="29"/>
      <c r="F65" s="29"/>
      <c r="G65" s="29"/>
      <c r="H65" s="29"/>
      <c r="I65" s="29"/>
      <c r="J65" s="29"/>
      <c r="K65" s="29"/>
      <c r="L65" s="29" t="s">
        <v>1153</v>
      </c>
      <c r="M65" s="29"/>
      <c r="N65" s="29"/>
      <c r="O65" s="29"/>
      <c r="P65" s="29"/>
      <c r="Q65" s="29"/>
      <c r="R65" s="29" t="s">
        <v>1116</v>
      </c>
      <c r="S65" s="29"/>
      <c r="T65" s="29"/>
      <c r="U65" s="29"/>
      <c r="V65" s="29"/>
      <c r="W65" s="29" t="s">
        <v>1117</v>
      </c>
      <c r="X65" s="29"/>
      <c r="Y65" s="29"/>
      <c r="Z65" s="29"/>
      <c r="AA65" s="29"/>
      <c r="AB65" s="29"/>
      <c r="AC65" s="29"/>
      <c r="AD65" s="29"/>
      <c r="AE65" s="29"/>
    </row>
    <row r="66" customFormat="false" ht="42.75" hidden="false" customHeight="true" outlineLevel="0" collapsed="false">
      <c r="A66" s="29" t="str">
        <f aca="false">TAKVİM!$B$57</f>
        <v>05-09 Nisan</v>
      </c>
      <c r="B66" s="29"/>
      <c r="C66" s="29"/>
      <c r="D66" s="29" t="s">
        <v>1155</v>
      </c>
      <c r="E66" s="29"/>
      <c r="F66" s="29"/>
      <c r="G66" s="29"/>
      <c r="H66" s="29"/>
      <c r="I66" s="29"/>
      <c r="J66" s="29"/>
      <c r="K66" s="29"/>
      <c r="L66" s="29" t="s">
        <v>1153</v>
      </c>
      <c r="M66" s="29"/>
      <c r="N66" s="29"/>
      <c r="O66" s="29"/>
      <c r="P66" s="29"/>
      <c r="Q66" s="29"/>
      <c r="R66" s="29" t="s">
        <v>1116</v>
      </c>
      <c r="S66" s="29"/>
      <c r="T66" s="29"/>
      <c r="U66" s="29"/>
      <c r="V66" s="29"/>
      <c r="W66" s="29" t="s">
        <v>1117</v>
      </c>
      <c r="X66" s="29"/>
      <c r="Y66" s="29"/>
      <c r="Z66" s="29"/>
      <c r="AA66" s="29"/>
      <c r="AB66" s="29"/>
      <c r="AC66" s="29"/>
      <c r="AD66" s="29"/>
      <c r="AE66" s="29"/>
    </row>
    <row r="67" customFormat="false" ht="84.75" hidden="false" customHeight="true" outlineLevel="0" collapsed="false">
      <c r="A67" s="29" t="str">
        <f aca="false">TAKVİM!$B$58</f>
        <v>12-16 Nisan</v>
      </c>
      <c r="B67" s="29"/>
      <c r="C67" s="29"/>
      <c r="D67" s="29" t="s">
        <v>1156</v>
      </c>
      <c r="E67" s="29"/>
      <c r="F67" s="29"/>
      <c r="G67" s="29"/>
      <c r="H67" s="29"/>
      <c r="I67" s="29"/>
      <c r="J67" s="29"/>
      <c r="K67" s="29"/>
      <c r="L67" s="29" t="s">
        <v>1157</v>
      </c>
      <c r="M67" s="29"/>
      <c r="N67" s="29"/>
      <c r="O67" s="29"/>
      <c r="P67" s="29"/>
      <c r="Q67" s="29"/>
      <c r="R67" s="29" t="s">
        <v>1116</v>
      </c>
      <c r="S67" s="29"/>
      <c r="T67" s="29"/>
      <c r="U67" s="29"/>
      <c r="V67" s="29"/>
      <c r="W67" s="29" t="s">
        <v>1117</v>
      </c>
      <c r="X67" s="29"/>
      <c r="Y67" s="29"/>
      <c r="Z67" s="29"/>
      <c r="AA67" s="29"/>
      <c r="AB67" s="29"/>
      <c r="AC67" s="29"/>
      <c r="AD67" s="29"/>
      <c r="AE67" s="29"/>
    </row>
    <row r="68" customFormat="false" ht="42.75" hidden="false" customHeight="true" outlineLevel="0" collapsed="false">
      <c r="A68" s="29" t="str">
        <f aca="false">TAKVİM!$B$59</f>
        <v>19-23 Nisan</v>
      </c>
      <c r="B68" s="29"/>
      <c r="C68" s="29"/>
      <c r="D68" s="29" t="s">
        <v>1158</v>
      </c>
      <c r="E68" s="29"/>
      <c r="F68" s="29"/>
      <c r="G68" s="29"/>
      <c r="H68" s="29"/>
      <c r="I68" s="29"/>
      <c r="J68" s="29"/>
      <c r="K68" s="29"/>
      <c r="L68" s="29" t="s">
        <v>1159</v>
      </c>
      <c r="M68" s="29"/>
      <c r="N68" s="29"/>
      <c r="O68" s="29"/>
      <c r="P68" s="29"/>
      <c r="Q68" s="29"/>
      <c r="R68" s="29" t="s">
        <v>1116</v>
      </c>
      <c r="S68" s="29"/>
      <c r="T68" s="29"/>
      <c r="U68" s="29"/>
      <c r="V68" s="29"/>
      <c r="W68" s="29" t="s">
        <v>1117</v>
      </c>
      <c r="X68" s="29"/>
      <c r="Y68" s="29"/>
      <c r="Z68" s="29"/>
      <c r="AA68" s="29"/>
      <c r="AB68" s="29"/>
      <c r="AC68" s="29"/>
      <c r="AD68" s="29"/>
      <c r="AE68" s="29"/>
    </row>
    <row r="69" customFormat="false" ht="42.75" hidden="false" customHeight="true" outlineLevel="0" collapsed="false">
      <c r="A69" s="29" t="str">
        <f aca="false">TAKVİM!$B$60</f>
        <v>26-30 Nisan</v>
      </c>
      <c r="B69" s="29"/>
      <c r="C69" s="29"/>
      <c r="D69" s="29" t="s">
        <v>1160</v>
      </c>
      <c r="E69" s="29"/>
      <c r="F69" s="29"/>
      <c r="G69" s="29"/>
      <c r="H69" s="29"/>
      <c r="I69" s="29"/>
      <c r="J69" s="29"/>
      <c r="K69" s="29"/>
      <c r="L69" s="29" t="s">
        <v>1161</v>
      </c>
      <c r="M69" s="29"/>
      <c r="N69" s="29"/>
      <c r="O69" s="29"/>
      <c r="P69" s="29"/>
      <c r="Q69" s="29"/>
      <c r="R69" s="29" t="s">
        <v>1116</v>
      </c>
      <c r="S69" s="29"/>
      <c r="T69" s="29"/>
      <c r="U69" s="29"/>
      <c r="V69" s="29"/>
      <c r="W69" s="29" t="s">
        <v>1117</v>
      </c>
      <c r="X69" s="29"/>
      <c r="Y69" s="29"/>
      <c r="Z69" s="29"/>
      <c r="AA69" s="29"/>
      <c r="AB69" s="29"/>
      <c r="AC69" s="29"/>
      <c r="AD69" s="29"/>
      <c r="AE69" s="29"/>
    </row>
    <row r="70" customFormat="false" ht="42.75" hidden="false" customHeight="true" outlineLevel="0" collapsed="false">
      <c r="A70" s="29" t="str">
        <f aca="false">TAKVİM!$B$61</f>
        <v>03-07 Mayıs</v>
      </c>
      <c r="B70" s="29"/>
      <c r="C70" s="29"/>
      <c r="D70" s="29" t="s">
        <v>1162</v>
      </c>
      <c r="E70" s="29"/>
      <c r="F70" s="29"/>
      <c r="G70" s="29"/>
      <c r="H70" s="29"/>
      <c r="I70" s="29"/>
      <c r="J70" s="29"/>
      <c r="K70" s="29"/>
      <c r="L70" s="29" t="s">
        <v>1161</v>
      </c>
      <c r="M70" s="29"/>
      <c r="N70" s="29"/>
      <c r="O70" s="29"/>
      <c r="P70" s="29"/>
      <c r="Q70" s="29"/>
      <c r="R70" s="29" t="s">
        <v>1116</v>
      </c>
      <c r="S70" s="29"/>
      <c r="T70" s="29"/>
      <c r="U70" s="29"/>
      <c r="V70" s="29"/>
      <c r="W70" s="29" t="s">
        <v>1117</v>
      </c>
      <c r="X70" s="29"/>
      <c r="Y70" s="29"/>
      <c r="Z70" s="29"/>
      <c r="AA70" s="29"/>
      <c r="AB70" s="29"/>
      <c r="AC70" s="29"/>
      <c r="AD70" s="29"/>
      <c r="AE70" s="29"/>
    </row>
    <row r="71" customFormat="false" ht="63.75" hidden="false" customHeight="true" outlineLevel="0" collapsed="false">
      <c r="A71" s="29" t="str">
        <f aca="false">TAKVİM!$B$62</f>
        <v>10-14 Mayıs</v>
      </c>
      <c r="B71" s="29"/>
      <c r="C71" s="29"/>
      <c r="D71" s="29" t="s">
        <v>1163</v>
      </c>
      <c r="E71" s="29"/>
      <c r="F71" s="29"/>
      <c r="G71" s="29"/>
      <c r="H71" s="29"/>
      <c r="I71" s="29"/>
      <c r="J71" s="29"/>
      <c r="K71" s="29"/>
      <c r="L71" s="29" t="s">
        <v>1164</v>
      </c>
      <c r="M71" s="29"/>
      <c r="N71" s="29"/>
      <c r="O71" s="29"/>
      <c r="P71" s="29"/>
      <c r="Q71" s="29"/>
      <c r="R71" s="29" t="s">
        <v>1116</v>
      </c>
      <c r="S71" s="29"/>
      <c r="T71" s="29"/>
      <c r="U71" s="29"/>
      <c r="V71" s="29"/>
      <c r="W71" s="29" t="s">
        <v>1117</v>
      </c>
      <c r="X71" s="29"/>
      <c r="Y71" s="29"/>
      <c r="Z71" s="29"/>
      <c r="AA71" s="29"/>
      <c r="AB71" s="29"/>
      <c r="AC71" s="29"/>
      <c r="AD71" s="29"/>
      <c r="AE71" s="29"/>
    </row>
    <row r="72" customFormat="false" ht="42.75" hidden="false" customHeight="true" outlineLevel="0" collapsed="false">
      <c r="A72" s="29" t="str">
        <f aca="false">TAKVİM!$B$63</f>
        <v>17-21 Mayıs</v>
      </c>
      <c r="B72" s="29"/>
      <c r="C72" s="29"/>
      <c r="D72" s="29" t="s">
        <v>1165</v>
      </c>
      <c r="E72" s="29"/>
      <c r="F72" s="29"/>
      <c r="G72" s="29"/>
      <c r="H72" s="29"/>
      <c r="I72" s="29"/>
      <c r="J72" s="29"/>
      <c r="K72" s="29"/>
      <c r="L72" s="29" t="s">
        <v>1164</v>
      </c>
      <c r="M72" s="29"/>
      <c r="N72" s="29"/>
      <c r="O72" s="29"/>
      <c r="P72" s="29"/>
      <c r="Q72" s="29"/>
      <c r="R72" s="29" t="s">
        <v>1116</v>
      </c>
      <c r="S72" s="29"/>
      <c r="T72" s="29"/>
      <c r="U72" s="29"/>
      <c r="V72" s="29"/>
      <c r="W72" s="29" t="s">
        <v>1117</v>
      </c>
      <c r="X72" s="29"/>
      <c r="Y72" s="29"/>
      <c r="Z72" s="29"/>
      <c r="AA72" s="29"/>
      <c r="AB72" s="29"/>
      <c r="AC72" s="29"/>
      <c r="AD72" s="29"/>
      <c r="AE72" s="29"/>
    </row>
    <row r="73" customFormat="false" ht="42.75" hidden="false" customHeight="true" outlineLevel="0" collapsed="false">
      <c r="A73" s="29" t="str">
        <f aca="false">TAKVİM!$B$64</f>
        <v>24-28 Mayıs</v>
      </c>
      <c r="B73" s="29"/>
      <c r="C73" s="29"/>
      <c r="D73" s="29" t="s">
        <v>1166</v>
      </c>
      <c r="E73" s="29"/>
      <c r="F73" s="29"/>
      <c r="G73" s="29"/>
      <c r="H73" s="29"/>
      <c r="I73" s="29"/>
      <c r="J73" s="29"/>
      <c r="K73" s="29"/>
      <c r="L73" s="29" t="s">
        <v>1167</v>
      </c>
      <c r="M73" s="29"/>
      <c r="N73" s="29"/>
      <c r="O73" s="29"/>
      <c r="P73" s="29"/>
      <c r="Q73" s="29"/>
      <c r="R73" s="29" t="s">
        <v>1116</v>
      </c>
      <c r="S73" s="29"/>
      <c r="T73" s="29"/>
      <c r="U73" s="29"/>
      <c r="V73" s="29"/>
      <c r="W73" s="29" t="s">
        <v>1117</v>
      </c>
      <c r="X73" s="29"/>
      <c r="Y73" s="29"/>
      <c r="Z73" s="29"/>
      <c r="AA73" s="29"/>
      <c r="AB73" s="29"/>
      <c r="AC73" s="29"/>
      <c r="AD73" s="29"/>
      <c r="AE73" s="29"/>
    </row>
    <row r="74" customFormat="false" ht="42.75" hidden="false" customHeight="true" outlineLevel="0" collapsed="false">
      <c r="A74" s="29" t="str">
        <f aca="false">TAKVİM!$B$65</f>
        <v>31 Mayıs - 04 Haziran</v>
      </c>
      <c r="B74" s="29"/>
      <c r="C74" s="29"/>
      <c r="D74" s="29" t="s">
        <v>1168</v>
      </c>
      <c r="E74" s="29"/>
      <c r="F74" s="29"/>
      <c r="G74" s="29"/>
      <c r="H74" s="29"/>
      <c r="I74" s="29"/>
      <c r="J74" s="29"/>
      <c r="K74" s="29"/>
      <c r="L74" s="29" t="s">
        <v>1167</v>
      </c>
      <c r="M74" s="29"/>
      <c r="N74" s="29"/>
      <c r="O74" s="29"/>
      <c r="P74" s="29"/>
      <c r="Q74" s="29"/>
      <c r="R74" s="29" t="s">
        <v>1116</v>
      </c>
      <c r="S74" s="29"/>
      <c r="T74" s="29"/>
      <c r="U74" s="29"/>
      <c r="V74" s="29"/>
      <c r="W74" s="29" t="s">
        <v>1117</v>
      </c>
      <c r="X74" s="29"/>
      <c r="Y74" s="29"/>
      <c r="Z74" s="29"/>
      <c r="AA74" s="29"/>
      <c r="AB74" s="29"/>
      <c r="AC74" s="29"/>
      <c r="AD74" s="29"/>
      <c r="AE74" s="29"/>
    </row>
    <row r="75" customFormat="false" ht="42.75" hidden="false" customHeight="true" outlineLevel="0" collapsed="false">
      <c r="A75" s="29" t="str">
        <f aca="false">TAKVİM!$B$66</f>
        <v>07-11 Haziran</v>
      </c>
      <c r="B75" s="29"/>
      <c r="C75" s="29"/>
      <c r="D75" s="29" t="s">
        <v>1169</v>
      </c>
      <c r="E75" s="29"/>
      <c r="F75" s="29"/>
      <c r="G75" s="29"/>
      <c r="H75" s="29"/>
      <c r="I75" s="29"/>
      <c r="J75" s="29"/>
      <c r="K75" s="29"/>
      <c r="L75" s="29" t="s">
        <v>1170</v>
      </c>
      <c r="M75" s="29"/>
      <c r="N75" s="29"/>
      <c r="O75" s="29"/>
      <c r="P75" s="29"/>
      <c r="Q75" s="29"/>
      <c r="R75" s="29" t="s">
        <v>1116</v>
      </c>
      <c r="S75" s="29"/>
      <c r="T75" s="29"/>
      <c r="U75" s="29"/>
      <c r="V75" s="29"/>
      <c r="W75" s="29" t="s">
        <v>1117</v>
      </c>
      <c r="X75" s="29"/>
      <c r="Y75" s="29"/>
      <c r="Z75" s="29"/>
      <c r="AA75" s="29"/>
      <c r="AB75" s="29"/>
      <c r="AC75" s="29"/>
      <c r="AD75" s="29"/>
      <c r="AE75" s="29"/>
    </row>
    <row r="76" customFormat="false" ht="42.75" hidden="false" customHeight="true" outlineLevel="0" collapsed="false">
      <c r="A76" s="29" t="str">
        <f aca="false">TAKVİM!$B$67</f>
        <v>14-18 Haziran</v>
      </c>
      <c r="B76" s="29"/>
      <c r="C76" s="29"/>
      <c r="D76" s="29" t="s">
        <v>1171</v>
      </c>
      <c r="E76" s="29"/>
      <c r="F76" s="29"/>
      <c r="G76" s="29"/>
      <c r="H76" s="29"/>
      <c r="I76" s="29"/>
      <c r="J76" s="29"/>
      <c r="K76" s="29"/>
      <c r="L76" s="29" t="s">
        <v>1170</v>
      </c>
      <c r="M76" s="29"/>
      <c r="N76" s="29"/>
      <c r="O76" s="29"/>
      <c r="P76" s="29"/>
      <c r="Q76" s="29"/>
      <c r="R76" s="29" t="s">
        <v>1116</v>
      </c>
      <c r="S76" s="29"/>
      <c r="T76" s="29"/>
      <c r="U76" s="29"/>
      <c r="V76" s="29"/>
      <c r="W76" s="29" t="s">
        <v>1117</v>
      </c>
      <c r="X76" s="29"/>
      <c r="Y76" s="29"/>
      <c r="Z76" s="29"/>
      <c r="AA76" s="29"/>
      <c r="AB76" s="29"/>
      <c r="AC76" s="29"/>
      <c r="AD76" s="29"/>
      <c r="AE76" s="29"/>
    </row>
    <row r="77" customFormat="false" ht="42.75" hidden="false" customHeight="true" outlineLevel="0" collapsed="false">
      <c r="A77" s="29" t="str">
        <f aca="false">TAKVİM!$B$68</f>
        <v>21-25 Haziran</v>
      </c>
      <c r="B77" s="29"/>
      <c r="C77" s="29"/>
      <c r="D77" s="29" t="s">
        <v>1172</v>
      </c>
      <c r="E77" s="29"/>
      <c r="F77" s="29"/>
      <c r="G77" s="29"/>
      <c r="H77" s="29"/>
      <c r="I77" s="29"/>
      <c r="J77" s="29"/>
      <c r="K77" s="29"/>
      <c r="L77" s="29" t="s">
        <v>1170</v>
      </c>
      <c r="M77" s="29"/>
      <c r="N77" s="29"/>
      <c r="O77" s="29"/>
      <c r="P77" s="29"/>
      <c r="Q77" s="29"/>
      <c r="R77" s="29" t="s">
        <v>1116</v>
      </c>
      <c r="S77" s="29"/>
      <c r="T77" s="29"/>
      <c r="U77" s="29"/>
      <c r="V77" s="29"/>
      <c r="W77" s="29" t="s">
        <v>1117</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1" min="2" style="1" width="4.3"/>
  </cols>
  <sheetData>
    <row r="1" customFormat="false" ht="75" hidden="false" customHeight="true" outlineLevel="0" collapsed="false">
      <c r="A1" s="3"/>
      <c r="B1" s="3"/>
      <c r="C1" s="3"/>
      <c r="D1" s="3"/>
      <c r="E1" s="3"/>
      <c r="F1" s="3"/>
      <c r="G1" s="3"/>
      <c r="H1" s="23" t="s">
        <v>99</v>
      </c>
      <c r="I1" s="23"/>
      <c r="J1" s="23"/>
      <c r="K1" s="23"/>
      <c r="L1" s="23"/>
      <c r="M1" s="23"/>
      <c r="N1" s="23"/>
      <c r="O1" s="23"/>
      <c r="P1" s="23"/>
      <c r="Q1" s="23"/>
      <c r="R1" s="23"/>
      <c r="S1" s="23"/>
      <c r="T1" s="23"/>
      <c r="U1" s="23"/>
      <c r="V1" s="23"/>
      <c r="W1" s="23"/>
      <c r="X1" s="23"/>
      <c r="Y1" s="3"/>
      <c r="Z1" s="3"/>
      <c r="AA1" s="3"/>
      <c r="AB1" s="3"/>
      <c r="AC1" s="3"/>
      <c r="AD1" s="3"/>
      <c r="AE1" s="3"/>
    </row>
    <row r="2" customFormat="false" ht="1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customFormat="false" ht="15" hidden="false" customHeight="true" outlineLevel="0" collapsed="false">
      <c r="A3" s="24" t="s">
        <v>5</v>
      </c>
      <c r="B3" s="24"/>
      <c r="C3" s="24"/>
      <c r="D3" s="24"/>
      <c r="E3" s="24"/>
      <c r="F3" s="24"/>
      <c r="G3" s="25" t="str">
        <f aca="false">TAKVİM!$B$4</f>
        <v>2026-2027  Eğitim-Öğretim Yılı</v>
      </c>
      <c r="H3" s="25"/>
      <c r="I3" s="25"/>
      <c r="J3" s="25"/>
      <c r="K3" s="25"/>
      <c r="L3" s="25"/>
      <c r="M3" s="25"/>
      <c r="N3" s="25"/>
      <c r="O3" s="25"/>
      <c r="P3" s="24" t="s">
        <v>1</v>
      </c>
      <c r="Q3" s="24"/>
      <c r="R3" s="24"/>
      <c r="S3" s="24"/>
      <c r="T3" s="24"/>
      <c r="U3" s="25" t="str">
        <f aca="false">TAKVİM!$B$3</f>
        <v>Soma Mesleki ve Teknik Anadolu Lisesi</v>
      </c>
      <c r="V3" s="25"/>
      <c r="W3" s="25"/>
      <c r="X3" s="25"/>
      <c r="Y3" s="25"/>
      <c r="Z3" s="25"/>
      <c r="AA3" s="25"/>
      <c r="AB3" s="25"/>
      <c r="AC3" s="25"/>
      <c r="AD3" s="25"/>
      <c r="AE3" s="25"/>
    </row>
    <row r="4" customFormat="false" ht="15" hidden="false" customHeight="true" outlineLevel="0" collapsed="false">
      <c r="A4" s="24" t="s">
        <v>100</v>
      </c>
      <c r="B4" s="24"/>
      <c r="C4" s="24"/>
      <c r="D4" s="24"/>
      <c r="E4" s="24"/>
      <c r="F4" s="24"/>
      <c r="G4" s="25" t="s">
        <v>1173</v>
      </c>
      <c r="H4" s="25"/>
      <c r="I4" s="25"/>
      <c r="J4" s="25"/>
      <c r="K4" s="25"/>
      <c r="L4" s="25"/>
      <c r="M4" s="25"/>
      <c r="N4" s="25"/>
      <c r="O4" s="25"/>
      <c r="P4" s="24" t="s">
        <v>102</v>
      </c>
      <c r="Q4" s="24"/>
      <c r="R4" s="24"/>
      <c r="S4" s="24"/>
      <c r="T4" s="24"/>
      <c r="U4" s="25" t="s">
        <v>103</v>
      </c>
      <c r="V4" s="25"/>
      <c r="W4" s="25"/>
      <c r="X4" s="25"/>
      <c r="Y4" s="25"/>
      <c r="Z4" s="25"/>
      <c r="AA4" s="25"/>
      <c r="AB4" s="25"/>
      <c r="AC4" s="25"/>
      <c r="AD4" s="25"/>
      <c r="AE4" s="25"/>
    </row>
    <row r="5" customFormat="false" ht="15" hidden="false" customHeight="true" outlineLevel="0" collapsed="false">
      <c r="A5" s="24" t="s">
        <v>104</v>
      </c>
      <c r="B5" s="24"/>
      <c r="C5" s="24"/>
      <c r="D5" s="24"/>
      <c r="E5" s="24"/>
      <c r="F5" s="24"/>
      <c r="G5" s="25" t="s">
        <v>196</v>
      </c>
      <c r="H5" s="25"/>
      <c r="I5" s="25"/>
      <c r="J5" s="25"/>
      <c r="K5" s="25"/>
      <c r="L5" s="25"/>
      <c r="M5" s="25"/>
      <c r="N5" s="25"/>
      <c r="O5" s="25"/>
      <c r="P5" s="24" t="s">
        <v>106</v>
      </c>
      <c r="Q5" s="24"/>
      <c r="R5" s="24"/>
      <c r="S5" s="24"/>
      <c r="T5" s="24"/>
      <c r="U5" s="25" t="s">
        <v>1060</v>
      </c>
      <c r="V5" s="25"/>
      <c r="W5" s="25"/>
      <c r="X5" s="25"/>
      <c r="Y5" s="25"/>
      <c r="Z5" s="25"/>
      <c r="AA5" s="25"/>
      <c r="AB5" s="25"/>
      <c r="AC5" s="25"/>
      <c r="AD5" s="25"/>
      <c r="AE5" s="25"/>
    </row>
    <row r="6" customFormat="false" ht="1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customFormat="false" ht="15" hidden="false" customHeight="true" outlineLevel="0" collapsed="false">
      <c r="A7" s="19" t="s">
        <v>108</v>
      </c>
      <c r="B7" s="19"/>
      <c r="C7" s="19"/>
      <c r="D7" s="19"/>
      <c r="E7" s="19"/>
      <c r="F7" s="19"/>
      <c r="G7" s="19"/>
      <c r="H7" s="19"/>
      <c r="I7" s="19"/>
      <c r="J7" s="19"/>
      <c r="K7" s="19"/>
      <c r="L7" s="19"/>
      <c r="M7" s="19"/>
      <c r="N7" s="19"/>
      <c r="O7" s="19"/>
      <c r="P7" s="19" t="s">
        <v>109</v>
      </c>
      <c r="Q7" s="19"/>
      <c r="R7" s="19"/>
      <c r="S7" s="19"/>
      <c r="T7" s="19"/>
      <c r="U7" s="19"/>
      <c r="V7" s="19"/>
      <c r="W7" s="19"/>
      <c r="X7" s="19"/>
      <c r="Y7" s="19"/>
      <c r="Z7" s="19"/>
      <c r="AA7" s="19"/>
      <c r="AB7" s="19"/>
      <c r="AC7" s="19"/>
      <c r="AD7" s="19"/>
      <c r="AE7" s="19"/>
    </row>
    <row r="8" customFormat="false" ht="15" hidden="false" customHeight="true" outlineLevel="0" collapsed="false">
      <c r="A8" s="24" t="s">
        <v>10</v>
      </c>
      <c r="B8" s="24"/>
      <c r="C8" s="24"/>
      <c r="D8" s="24"/>
      <c r="E8" s="24"/>
      <c r="F8" s="24"/>
      <c r="G8" s="25" t="str">
        <f aca="false">TAKVİM!$B$7</f>
        <v>13.11.2026</v>
      </c>
      <c r="H8" s="25"/>
      <c r="I8" s="25"/>
      <c r="J8" s="25"/>
      <c r="K8" s="25"/>
      <c r="L8" s="25"/>
      <c r="M8" s="25"/>
      <c r="N8" s="25"/>
      <c r="O8" s="25"/>
      <c r="P8" s="24" t="s">
        <v>14</v>
      </c>
      <c r="Q8" s="24"/>
      <c r="R8" s="24"/>
      <c r="S8" s="24"/>
      <c r="T8" s="24"/>
      <c r="U8" s="25" t="str">
        <f aca="false">TAKVİM!$B$9</f>
        <v>19.03.2027</v>
      </c>
      <c r="V8" s="25"/>
      <c r="W8" s="25"/>
      <c r="X8" s="25"/>
      <c r="Y8" s="25"/>
      <c r="Z8" s="25"/>
      <c r="AA8" s="25"/>
      <c r="AB8" s="25"/>
      <c r="AC8" s="25"/>
      <c r="AD8" s="25"/>
      <c r="AE8" s="25"/>
    </row>
    <row r="9" customFormat="false" ht="15" hidden="false" customHeight="true" outlineLevel="0" collapsed="false">
      <c r="A9" s="24" t="s">
        <v>12</v>
      </c>
      <c r="B9" s="24"/>
      <c r="C9" s="24"/>
      <c r="D9" s="24"/>
      <c r="E9" s="24"/>
      <c r="F9" s="24"/>
      <c r="G9" s="25" t="str">
        <f aca="false">TAKVİM!$B$8</f>
        <v>08.01.2027</v>
      </c>
      <c r="H9" s="25"/>
      <c r="I9" s="25"/>
      <c r="J9" s="25"/>
      <c r="K9" s="25"/>
      <c r="L9" s="25"/>
      <c r="M9" s="25"/>
      <c r="N9" s="25"/>
      <c r="O9" s="25"/>
      <c r="P9" s="24" t="s">
        <v>16</v>
      </c>
      <c r="Q9" s="24"/>
      <c r="R9" s="24"/>
      <c r="S9" s="24"/>
      <c r="T9" s="24"/>
      <c r="U9" s="25" t="str">
        <f aca="false">TAKVİM!$B$10</f>
        <v>14.05.2027</v>
      </c>
      <c r="V9" s="25"/>
      <c r="W9" s="25"/>
      <c r="X9" s="25"/>
      <c r="Y9" s="25"/>
      <c r="Z9" s="25"/>
      <c r="AA9" s="25"/>
      <c r="AB9" s="25"/>
      <c r="AC9" s="25"/>
      <c r="AD9" s="25"/>
      <c r="AE9" s="25"/>
    </row>
    <row r="10" customFormat="false" ht="1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customFormat="false" ht="15" hidden="false" customHeight="true" outlineLevel="0" collapsed="false">
      <c r="A11" s="19" t="s">
        <v>110</v>
      </c>
      <c r="B11" s="19"/>
      <c r="C11" s="19"/>
      <c r="D11" s="19"/>
      <c r="E11" s="19"/>
      <c r="F11" s="19"/>
      <c r="G11" s="19"/>
      <c r="H11" s="19"/>
      <c r="I11" s="19"/>
      <c r="J11" s="19"/>
      <c r="K11" s="19"/>
      <c r="L11" s="19"/>
      <c r="M11" s="19"/>
      <c r="N11" s="19"/>
      <c r="O11" s="19"/>
      <c r="P11" s="19" t="s">
        <v>111</v>
      </c>
      <c r="Q11" s="19"/>
      <c r="R11" s="19"/>
      <c r="S11" s="19"/>
      <c r="T11" s="19"/>
      <c r="U11" s="19"/>
      <c r="V11" s="19"/>
      <c r="W11" s="19"/>
      <c r="X11" s="19"/>
      <c r="Y11" s="19"/>
      <c r="Z11" s="19"/>
      <c r="AA11" s="19"/>
      <c r="AB11" s="19"/>
      <c r="AC11" s="19"/>
      <c r="AD11" s="19"/>
      <c r="AE11" s="19"/>
    </row>
    <row r="12" customFormat="false" ht="15" hidden="false" customHeight="true" outlineLevel="0" collapsed="false">
      <c r="A12" s="24" t="s">
        <v>19</v>
      </c>
      <c r="B12" s="24"/>
      <c r="C12" s="24"/>
      <c r="D12" s="24"/>
      <c r="E12" s="24"/>
      <c r="F12" s="24"/>
      <c r="G12" s="26" t="str">
        <f aca="false">TAKVİM!$B$13</f>
        <v>2026-09-14 00:00:00</v>
      </c>
      <c r="H12" s="26"/>
      <c r="I12" s="26"/>
      <c r="J12" s="26"/>
      <c r="K12" s="26"/>
      <c r="L12" s="26"/>
      <c r="M12" s="26"/>
      <c r="N12" s="26"/>
      <c r="O12" s="26"/>
      <c r="P12" s="24" t="s">
        <v>21</v>
      </c>
      <c r="Q12" s="24"/>
      <c r="R12" s="24"/>
      <c r="S12" s="24"/>
      <c r="T12" s="24"/>
      <c r="U12" s="26" t="str">
        <f aca="false">TAKVİM!$B$14</f>
        <v>2027-02-08 00:00:00</v>
      </c>
      <c r="V12" s="26"/>
      <c r="W12" s="26"/>
      <c r="X12" s="26"/>
      <c r="Y12" s="26"/>
      <c r="Z12" s="26"/>
      <c r="AA12" s="26"/>
      <c r="AB12" s="26"/>
      <c r="AC12" s="26"/>
      <c r="AD12" s="26"/>
      <c r="AE12" s="26"/>
    </row>
    <row r="13" customFormat="false" ht="15" hidden="false" customHeight="true" outlineLevel="0" collapsed="false">
      <c r="A13" s="24" t="s">
        <v>23</v>
      </c>
      <c r="B13" s="24"/>
      <c r="C13" s="24"/>
      <c r="D13" s="24"/>
      <c r="E13" s="24"/>
      <c r="F13" s="24"/>
      <c r="G13" s="25" t="str">
        <f aca="false">TAKVİM!$B$15</f>
        <v>29.10.2026</v>
      </c>
      <c r="H13" s="25"/>
      <c r="I13" s="25"/>
      <c r="J13" s="25"/>
      <c r="K13" s="25"/>
      <c r="L13" s="25"/>
      <c r="M13" s="25"/>
      <c r="N13" s="25"/>
      <c r="O13" s="25"/>
      <c r="P13" s="24" t="s">
        <v>31</v>
      </c>
      <c r="Q13" s="24"/>
      <c r="R13" s="24"/>
      <c r="S13" s="24"/>
      <c r="T13" s="24"/>
      <c r="U13" s="25" t="str">
        <f aca="false">TAKVİM!$B$19</f>
        <v>08-12 Mart</v>
      </c>
      <c r="V13" s="25"/>
      <c r="W13" s="25"/>
      <c r="X13" s="25"/>
      <c r="Y13" s="25"/>
      <c r="Z13" s="25"/>
      <c r="AA13" s="25"/>
      <c r="AB13" s="25"/>
      <c r="AC13" s="25"/>
      <c r="AD13" s="25"/>
      <c r="AE13" s="25"/>
    </row>
    <row r="14" customFormat="false" ht="15" hidden="false" customHeight="true" outlineLevel="0" collapsed="false">
      <c r="A14" s="24" t="s">
        <v>27</v>
      </c>
      <c r="B14" s="24"/>
      <c r="C14" s="24"/>
      <c r="D14" s="24"/>
      <c r="E14" s="24"/>
      <c r="F14" s="24"/>
      <c r="G14" s="25" t="str">
        <f aca="false">TAKVİM!$B$17</f>
        <v>10.11.2026</v>
      </c>
      <c r="H14" s="25"/>
      <c r="I14" s="25"/>
      <c r="J14" s="25"/>
      <c r="K14" s="25"/>
      <c r="L14" s="25"/>
      <c r="M14" s="25"/>
      <c r="N14" s="25"/>
      <c r="O14" s="25"/>
      <c r="P14" s="24" t="s">
        <v>29</v>
      </c>
      <c r="Q14" s="24"/>
      <c r="R14" s="24"/>
      <c r="S14" s="24"/>
      <c r="T14" s="24"/>
      <c r="U14" s="25" t="str">
        <f aca="false">TAKVİM!$B$18</f>
        <v>23.04.2027</v>
      </c>
      <c r="V14" s="25"/>
      <c r="W14" s="25"/>
      <c r="X14" s="25"/>
      <c r="Y14" s="25"/>
      <c r="Z14" s="25"/>
      <c r="AA14" s="25"/>
      <c r="AB14" s="25"/>
      <c r="AC14" s="25"/>
      <c r="AD14" s="25"/>
      <c r="AE14" s="25"/>
    </row>
    <row r="15" customFormat="false" ht="15" hidden="false" customHeight="true" outlineLevel="0" collapsed="false">
      <c r="A15" s="24" t="s">
        <v>25</v>
      </c>
      <c r="B15" s="24"/>
      <c r="C15" s="24"/>
      <c r="D15" s="24"/>
      <c r="E15" s="24"/>
      <c r="F15" s="24"/>
      <c r="G15" s="25" t="str">
        <f aca="false">TAKVİM!$B$16</f>
        <v>16-20 Kasım</v>
      </c>
      <c r="H15" s="25"/>
      <c r="I15" s="25"/>
      <c r="J15" s="25"/>
      <c r="K15" s="25"/>
      <c r="L15" s="25"/>
      <c r="M15" s="25"/>
      <c r="N15" s="25"/>
      <c r="O15" s="25"/>
      <c r="P15" s="24" t="s">
        <v>33</v>
      </c>
      <c r="Q15" s="24"/>
      <c r="R15" s="24"/>
      <c r="S15" s="24"/>
      <c r="T15" s="24"/>
      <c r="U15" s="25" t="str">
        <f aca="false">TAKVİM!$B$20</f>
        <v>19.05.2027</v>
      </c>
      <c r="V15" s="25"/>
      <c r="W15" s="25"/>
      <c r="X15" s="25"/>
      <c r="Y15" s="25"/>
      <c r="Z15" s="25"/>
      <c r="AA15" s="25"/>
      <c r="AB15" s="25"/>
      <c r="AC15" s="25"/>
      <c r="AD15" s="25"/>
      <c r="AE15" s="25"/>
    </row>
    <row r="16" customFormat="false" ht="15" hidden="false" customHeight="true" outlineLevel="0" collapsed="false">
      <c r="A16" s="24" t="s">
        <v>35</v>
      </c>
      <c r="B16" s="24"/>
      <c r="C16" s="24"/>
      <c r="D16" s="24"/>
      <c r="E16" s="24"/>
      <c r="F16" s="24"/>
      <c r="G16" s="25" t="str">
        <f aca="false">TAKVİM!$B$21</f>
        <v>01.01.2027</v>
      </c>
      <c r="H16" s="25"/>
      <c r="I16" s="25"/>
      <c r="J16" s="25"/>
      <c r="K16" s="25"/>
      <c r="L16" s="25"/>
      <c r="M16" s="25"/>
      <c r="N16" s="25"/>
      <c r="O16" s="25"/>
      <c r="P16" s="24" t="s">
        <v>37</v>
      </c>
      <c r="Q16" s="24"/>
      <c r="R16" s="24"/>
      <c r="S16" s="24"/>
      <c r="T16" s="24"/>
      <c r="U16" s="25" t="str">
        <f aca="false">TAKVİM!$B$22</f>
        <v>20.03.2027</v>
      </c>
      <c r="V16" s="25"/>
      <c r="W16" s="25"/>
      <c r="X16" s="25"/>
      <c r="Y16" s="25"/>
      <c r="Z16" s="25"/>
      <c r="AA16" s="25"/>
      <c r="AB16" s="25"/>
      <c r="AC16" s="25"/>
      <c r="AD16" s="25"/>
      <c r="AE16" s="25"/>
    </row>
    <row r="17" customFormat="false" ht="15" hidden="false" customHeight="true" outlineLevel="0" collapsed="false">
      <c r="A17" s="24" t="s">
        <v>39</v>
      </c>
      <c r="B17" s="24"/>
      <c r="C17" s="24"/>
      <c r="D17" s="24"/>
      <c r="E17" s="24"/>
      <c r="F17" s="24"/>
      <c r="G17" s="25" t="str">
        <f aca="false">TAKVİM!$B$23</f>
        <v>25 OCAK - 05 ŞUBAT 2027</v>
      </c>
      <c r="H17" s="25"/>
      <c r="I17" s="25"/>
      <c r="J17" s="25"/>
      <c r="K17" s="25"/>
      <c r="L17" s="25"/>
      <c r="M17" s="25"/>
      <c r="N17" s="25"/>
      <c r="O17" s="25"/>
      <c r="P17" s="24" t="s">
        <v>41</v>
      </c>
      <c r="Q17" s="24"/>
      <c r="R17" s="24"/>
      <c r="S17" s="24"/>
      <c r="T17" s="24"/>
      <c r="U17" s="25" t="str">
        <f aca="false">TAKVİM!$B$24</f>
        <v>25.06.2027</v>
      </c>
      <c r="V17" s="25"/>
      <c r="W17" s="25"/>
      <c r="X17" s="25"/>
      <c r="Y17" s="25"/>
      <c r="Z17" s="25"/>
      <c r="AA17" s="25"/>
      <c r="AB17" s="25"/>
      <c r="AC17" s="25"/>
      <c r="AD17" s="25"/>
      <c r="AE17" s="25"/>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 hidden="false" customHeight="true" outlineLevel="0" collapsed="false">
      <c r="A19" s="18" t="s">
        <v>112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ustomFormat="false" ht="15" hidden="false" customHeight="true" outlineLevel="0" collapsed="false">
      <c r="A20" s="19" t="str">
        <f aca="false">TAKVİM!$A$73</f>
        <v>Günler</v>
      </c>
      <c r="B20" s="19" t="str">
        <f aca="false">TAKVİM!$B$73</f>
        <v>Eylül 2026</v>
      </c>
      <c r="C20" s="19"/>
      <c r="D20" s="19"/>
      <c r="E20" s="19"/>
      <c r="F20" s="19"/>
      <c r="G20" s="19"/>
      <c r="H20" s="19" t="str">
        <f aca="false">TAKVİM!$H$73</f>
        <v>Ekim 2026</v>
      </c>
      <c r="I20" s="19"/>
      <c r="J20" s="19"/>
      <c r="K20" s="19"/>
      <c r="L20" s="19"/>
      <c r="M20" s="19"/>
      <c r="N20" s="19" t="str">
        <f aca="false">TAKVİM!$N$73</f>
        <v>Kasım 2026</v>
      </c>
      <c r="O20" s="19"/>
      <c r="P20" s="19"/>
      <c r="Q20" s="19"/>
      <c r="R20" s="19"/>
      <c r="S20" s="19"/>
      <c r="T20" s="19" t="str">
        <f aca="false">TAKVİM!$T$73</f>
        <v>Aralık 2026</v>
      </c>
      <c r="U20" s="19"/>
      <c r="V20" s="19"/>
      <c r="W20" s="19"/>
      <c r="X20" s="19"/>
      <c r="Y20" s="19"/>
      <c r="Z20" s="19" t="str">
        <f aca="false">TAKVİM!$Z$73</f>
        <v>Ocak 2027</v>
      </c>
      <c r="AA20" s="19"/>
      <c r="AB20" s="19"/>
      <c r="AC20" s="19"/>
      <c r="AD20" s="19"/>
      <c r="AE20" s="19"/>
    </row>
    <row r="21" customFormat="false" ht="15" hidden="false" customHeight="true" outlineLevel="0" collapsed="false">
      <c r="A21" s="27" t="str">
        <f aca="false">TAKVİM!$A$74</f>
        <v>Pazartesi</v>
      </c>
      <c r="B21" s="21" t="str">
        <f aca="false">TAKVİM!$B$74</f>
        <v/>
      </c>
      <c r="C21" s="21" t="n">
        <f aca="false">TAKVİM!$C$74</f>
        <v>7</v>
      </c>
      <c r="D21" s="21" t="n">
        <f aca="false">TAKVİM!$D$74</f>
        <v>14</v>
      </c>
      <c r="E21" s="21" t="n">
        <f aca="false">TAKVİM!$E$74</f>
        <v>21</v>
      </c>
      <c r="F21" s="21" t="n">
        <f aca="false">TAKVİM!$F$74</f>
        <v>28</v>
      </c>
      <c r="G21" s="21" t="str">
        <f aca="false">TAKVİM!$G$74</f>
        <v/>
      </c>
      <c r="H21" s="21" t="str">
        <f aca="false">TAKVİM!$H$74</f>
        <v/>
      </c>
      <c r="I21" s="21" t="n">
        <f aca="false">TAKVİM!$I$74</f>
        <v>5</v>
      </c>
      <c r="J21" s="21" t="n">
        <f aca="false">TAKVİM!$J$74</f>
        <v>12</v>
      </c>
      <c r="K21" s="21" t="n">
        <f aca="false">TAKVİM!$K$74</f>
        <v>19</v>
      </c>
      <c r="L21" s="21" t="n">
        <f aca="false">TAKVİM!$L$74</f>
        <v>26</v>
      </c>
      <c r="M21" s="21" t="str">
        <f aca="false">TAKVİM!$M$74</f>
        <v/>
      </c>
      <c r="N21" s="21" t="str">
        <f aca="false">TAKVİM!$N$74</f>
        <v/>
      </c>
      <c r="O21" s="21" t="n">
        <f aca="false">TAKVİM!$O$74</f>
        <v>2</v>
      </c>
      <c r="P21" s="21" t="n">
        <f aca="false">TAKVİM!$P$74</f>
        <v>9</v>
      </c>
      <c r="Q21" s="21" t="n">
        <f aca="false">TAKVİM!$Q$74</f>
        <v>16</v>
      </c>
      <c r="R21" s="21" t="n">
        <f aca="false">TAKVİM!$R$74</f>
        <v>23</v>
      </c>
      <c r="S21" s="21" t="n">
        <f aca="false">TAKVİM!$S$74</f>
        <v>30</v>
      </c>
      <c r="T21" s="21" t="str">
        <f aca="false">TAKVİM!$T$74</f>
        <v/>
      </c>
      <c r="U21" s="21" t="n">
        <f aca="false">TAKVİM!$U$74</f>
        <v>7</v>
      </c>
      <c r="V21" s="21" t="n">
        <f aca="false">TAKVİM!$V$74</f>
        <v>14</v>
      </c>
      <c r="W21" s="21" t="n">
        <f aca="false">TAKVİM!$W$74</f>
        <v>21</v>
      </c>
      <c r="X21" s="21" t="n">
        <f aca="false">TAKVİM!$X$74</f>
        <v>28</v>
      </c>
      <c r="Y21" s="21" t="str">
        <f aca="false">TAKVİM!$Y$74</f>
        <v/>
      </c>
      <c r="Z21" s="21" t="str">
        <f aca="false">TAKVİM!$Z$74</f>
        <v/>
      </c>
      <c r="AA21" s="21" t="n">
        <f aca="false">TAKVİM!$AA$74</f>
        <v>4</v>
      </c>
      <c r="AB21" s="21" t="n">
        <f aca="false">TAKVİM!$AB$74</f>
        <v>11</v>
      </c>
      <c r="AC21" s="21" t="n">
        <f aca="false">TAKVİM!$AC$74</f>
        <v>18</v>
      </c>
      <c r="AD21" s="21" t="n">
        <f aca="false">TAKVİM!$AD$74</f>
        <v>25</v>
      </c>
      <c r="AE21" s="21" t="str">
        <f aca="false">TAKVİM!$AE$74</f>
        <v/>
      </c>
    </row>
    <row r="22" customFormat="false" ht="15" hidden="false" customHeight="true" outlineLevel="0" collapsed="false">
      <c r="A22" s="27" t="str">
        <f aca="false">TAKVİM!$A$75</f>
        <v>Salı</v>
      </c>
      <c r="B22" s="21" t="n">
        <f aca="false">TAKVİM!$B$75</f>
        <v>1</v>
      </c>
      <c r="C22" s="21" t="n">
        <f aca="false">TAKVİM!$C$75</f>
        <v>8</v>
      </c>
      <c r="D22" s="21" t="n">
        <f aca="false">TAKVİM!$D$75</f>
        <v>15</v>
      </c>
      <c r="E22" s="21" t="n">
        <f aca="false">TAKVİM!$E$75</f>
        <v>22</v>
      </c>
      <c r="F22" s="21" t="n">
        <f aca="false">TAKVİM!$F$75</f>
        <v>29</v>
      </c>
      <c r="G22" s="21" t="str">
        <f aca="false">TAKVİM!$G$75</f>
        <v/>
      </c>
      <c r="H22" s="21" t="str">
        <f aca="false">TAKVİM!$H$75</f>
        <v/>
      </c>
      <c r="I22" s="21" t="n">
        <f aca="false">TAKVİM!$I$75</f>
        <v>6</v>
      </c>
      <c r="J22" s="21" t="n">
        <f aca="false">TAKVİM!$J$75</f>
        <v>13</v>
      </c>
      <c r="K22" s="21" t="n">
        <f aca="false">TAKVİM!$K$75</f>
        <v>20</v>
      </c>
      <c r="L22" s="21" t="n">
        <f aca="false">TAKVİM!$L$75</f>
        <v>27</v>
      </c>
      <c r="M22" s="21" t="str">
        <f aca="false">TAKVİM!$M$75</f>
        <v/>
      </c>
      <c r="N22" s="21" t="str">
        <f aca="false">TAKVİM!$N$75</f>
        <v/>
      </c>
      <c r="O22" s="21" t="n">
        <f aca="false">TAKVİM!$O$75</f>
        <v>3</v>
      </c>
      <c r="P22" s="21" t="n">
        <f aca="false">TAKVİM!$P$75</f>
        <v>10</v>
      </c>
      <c r="Q22" s="21" t="n">
        <f aca="false">TAKVİM!$Q$75</f>
        <v>17</v>
      </c>
      <c r="R22" s="21" t="n">
        <f aca="false">TAKVİM!$R$75</f>
        <v>24</v>
      </c>
      <c r="S22" s="21" t="str">
        <f aca="false">TAKVİM!$S$75</f>
        <v/>
      </c>
      <c r="T22" s="21" t="n">
        <f aca="false">TAKVİM!$T$75</f>
        <v>1</v>
      </c>
      <c r="U22" s="21" t="n">
        <f aca="false">TAKVİM!$U$75</f>
        <v>8</v>
      </c>
      <c r="V22" s="21" t="n">
        <f aca="false">TAKVİM!$V$75</f>
        <v>15</v>
      </c>
      <c r="W22" s="21" t="n">
        <f aca="false">TAKVİM!$W$75</f>
        <v>22</v>
      </c>
      <c r="X22" s="21" t="n">
        <f aca="false">TAKVİM!$X$75</f>
        <v>29</v>
      </c>
      <c r="Y22" s="21" t="str">
        <f aca="false">TAKVİM!$Y$75</f>
        <v/>
      </c>
      <c r="Z22" s="21" t="str">
        <f aca="false">TAKVİM!$Z$75</f>
        <v/>
      </c>
      <c r="AA22" s="21" t="n">
        <f aca="false">TAKVİM!$AA$75</f>
        <v>5</v>
      </c>
      <c r="AB22" s="21" t="n">
        <f aca="false">TAKVİM!$AB$75</f>
        <v>12</v>
      </c>
      <c r="AC22" s="21" t="n">
        <f aca="false">TAKVİM!$AC$75</f>
        <v>19</v>
      </c>
      <c r="AD22" s="21" t="n">
        <f aca="false">TAKVİM!$AD$75</f>
        <v>26</v>
      </c>
      <c r="AE22" s="21" t="str">
        <f aca="false">TAKVİM!$AE$75</f>
        <v/>
      </c>
    </row>
    <row r="23" customFormat="false" ht="15" hidden="false" customHeight="true" outlineLevel="0" collapsed="false">
      <c r="A23" s="27" t="str">
        <f aca="false">TAKVİM!$A$76</f>
        <v>Çarşamba</v>
      </c>
      <c r="B23" s="21" t="n">
        <f aca="false">TAKVİM!$B$76</f>
        <v>2</v>
      </c>
      <c r="C23" s="21" t="n">
        <f aca="false">TAKVİM!$C$76</f>
        <v>9</v>
      </c>
      <c r="D23" s="21" t="n">
        <f aca="false">TAKVİM!$D$76</f>
        <v>16</v>
      </c>
      <c r="E23" s="21" t="n">
        <f aca="false">TAKVİM!$E$76</f>
        <v>23</v>
      </c>
      <c r="F23" s="21" t="n">
        <f aca="false">TAKVİM!$F$76</f>
        <v>30</v>
      </c>
      <c r="G23" s="21" t="str">
        <f aca="false">TAKVİM!$G$76</f>
        <v/>
      </c>
      <c r="H23" s="21" t="str">
        <f aca="false">TAKVİM!$H$76</f>
        <v/>
      </c>
      <c r="I23" s="21" t="n">
        <f aca="false">TAKVİM!$I$76</f>
        <v>7</v>
      </c>
      <c r="J23" s="21" t="n">
        <f aca="false">TAKVİM!$J$76</f>
        <v>14</v>
      </c>
      <c r="K23" s="21" t="n">
        <f aca="false">TAKVİM!$K$76</f>
        <v>21</v>
      </c>
      <c r="L23" s="21" t="n">
        <f aca="false">TAKVİM!$L$76</f>
        <v>28</v>
      </c>
      <c r="M23" s="21" t="str">
        <f aca="false">TAKVİM!$M$76</f>
        <v/>
      </c>
      <c r="N23" s="21" t="str">
        <f aca="false">TAKVİM!$N$76</f>
        <v/>
      </c>
      <c r="O23" s="21" t="n">
        <f aca="false">TAKVİM!$O$76</f>
        <v>4</v>
      </c>
      <c r="P23" s="21" t="n">
        <f aca="false">TAKVİM!$P$76</f>
        <v>11</v>
      </c>
      <c r="Q23" s="21" t="n">
        <f aca="false">TAKVİM!$Q$76</f>
        <v>18</v>
      </c>
      <c r="R23" s="21" t="n">
        <f aca="false">TAKVİM!$R$76</f>
        <v>25</v>
      </c>
      <c r="S23" s="21" t="str">
        <f aca="false">TAKVİM!$S$76</f>
        <v/>
      </c>
      <c r="T23" s="21" t="n">
        <f aca="false">TAKVİM!$T$76</f>
        <v>2</v>
      </c>
      <c r="U23" s="21" t="n">
        <f aca="false">TAKVİM!$U$76</f>
        <v>9</v>
      </c>
      <c r="V23" s="21" t="n">
        <f aca="false">TAKVİM!$V$76</f>
        <v>16</v>
      </c>
      <c r="W23" s="21" t="n">
        <f aca="false">TAKVİM!$W$76</f>
        <v>23</v>
      </c>
      <c r="X23" s="21" t="n">
        <f aca="false">TAKVİM!$X$76</f>
        <v>30</v>
      </c>
      <c r="Y23" s="21" t="str">
        <f aca="false">TAKVİM!$Y$76</f>
        <v/>
      </c>
      <c r="Z23" s="21" t="str">
        <f aca="false">TAKVİM!$Z$76</f>
        <v/>
      </c>
      <c r="AA23" s="21" t="n">
        <f aca="false">TAKVİM!$AA$76</f>
        <v>6</v>
      </c>
      <c r="AB23" s="21" t="n">
        <f aca="false">TAKVİM!$AB$76</f>
        <v>13</v>
      </c>
      <c r="AC23" s="21" t="n">
        <f aca="false">TAKVİM!$AC$76</f>
        <v>20</v>
      </c>
      <c r="AD23" s="21" t="n">
        <f aca="false">TAKVİM!$AD$76</f>
        <v>27</v>
      </c>
      <c r="AE23" s="21" t="str">
        <f aca="false">TAKVİM!$AE$76</f>
        <v/>
      </c>
    </row>
    <row r="24" customFormat="false" ht="15" hidden="false" customHeight="true" outlineLevel="0" collapsed="false">
      <c r="A24" s="27" t="str">
        <f aca="false">TAKVİM!$A$77</f>
        <v>Perşembe</v>
      </c>
      <c r="B24" s="21" t="n">
        <f aca="false">TAKVİM!$B$77</f>
        <v>3</v>
      </c>
      <c r="C24" s="21" t="n">
        <f aca="false">TAKVİM!$C$77</f>
        <v>10</v>
      </c>
      <c r="D24" s="21" t="n">
        <f aca="false">TAKVİM!$D$77</f>
        <v>17</v>
      </c>
      <c r="E24" s="21" t="n">
        <f aca="false">TAKVİM!$E$77</f>
        <v>24</v>
      </c>
      <c r="F24" s="21" t="str">
        <f aca="false">TAKVİM!$F$77</f>
        <v/>
      </c>
      <c r="G24" s="21" t="str">
        <f aca="false">TAKVİM!$G$77</f>
        <v/>
      </c>
      <c r="H24" s="21" t="n">
        <f aca="false">TAKVİM!$H$77</f>
        <v>1</v>
      </c>
      <c r="I24" s="21" t="n">
        <f aca="false">TAKVİM!$I$77</f>
        <v>8</v>
      </c>
      <c r="J24" s="21" t="n">
        <f aca="false">TAKVİM!$J$77</f>
        <v>15</v>
      </c>
      <c r="K24" s="21" t="n">
        <f aca="false">TAKVİM!$K$77</f>
        <v>22</v>
      </c>
      <c r="L24" s="21" t="n">
        <f aca="false">TAKVİM!$L$77</f>
        <v>29</v>
      </c>
      <c r="M24" s="21" t="str">
        <f aca="false">TAKVİM!$M$77</f>
        <v/>
      </c>
      <c r="N24" s="21" t="str">
        <f aca="false">TAKVİM!$N$77</f>
        <v/>
      </c>
      <c r="O24" s="21" t="n">
        <f aca="false">TAKVİM!$O$77</f>
        <v>5</v>
      </c>
      <c r="P24" s="21" t="n">
        <f aca="false">TAKVİM!$P$77</f>
        <v>12</v>
      </c>
      <c r="Q24" s="21" t="n">
        <f aca="false">TAKVİM!$Q$77</f>
        <v>19</v>
      </c>
      <c r="R24" s="21" t="n">
        <f aca="false">TAKVİM!$R$77</f>
        <v>26</v>
      </c>
      <c r="S24" s="21" t="str">
        <f aca="false">TAKVİM!$S$77</f>
        <v/>
      </c>
      <c r="T24" s="21" t="n">
        <f aca="false">TAKVİM!$T$77</f>
        <v>3</v>
      </c>
      <c r="U24" s="21" t="n">
        <f aca="false">TAKVİM!$U$77</f>
        <v>10</v>
      </c>
      <c r="V24" s="21" t="n">
        <f aca="false">TAKVİM!$V$77</f>
        <v>17</v>
      </c>
      <c r="W24" s="21" t="n">
        <f aca="false">TAKVİM!$W$77</f>
        <v>24</v>
      </c>
      <c r="X24" s="21" t="n">
        <f aca="false">TAKVİM!$X$77</f>
        <v>31</v>
      </c>
      <c r="Y24" s="21" t="str">
        <f aca="false">TAKVİM!$Y$77</f>
        <v/>
      </c>
      <c r="Z24" s="21" t="str">
        <f aca="false">TAKVİM!$Z$77</f>
        <v/>
      </c>
      <c r="AA24" s="21" t="n">
        <f aca="false">TAKVİM!$AA$77</f>
        <v>7</v>
      </c>
      <c r="AB24" s="21" t="n">
        <f aca="false">TAKVİM!$AB$77</f>
        <v>14</v>
      </c>
      <c r="AC24" s="21" t="n">
        <f aca="false">TAKVİM!$AC$77</f>
        <v>21</v>
      </c>
      <c r="AD24" s="21" t="n">
        <f aca="false">TAKVİM!$AD$77</f>
        <v>28</v>
      </c>
      <c r="AE24" s="21" t="str">
        <f aca="false">TAKVİM!$AE$77</f>
        <v/>
      </c>
    </row>
    <row r="25" customFormat="false" ht="15" hidden="false" customHeight="true" outlineLevel="0" collapsed="false">
      <c r="A25" s="27" t="str">
        <f aca="false">TAKVİM!$A$78</f>
        <v>Cuma</v>
      </c>
      <c r="B25" s="21" t="n">
        <f aca="false">TAKVİM!$B$78</f>
        <v>4</v>
      </c>
      <c r="C25" s="21" t="n">
        <f aca="false">TAKVİM!$C$78</f>
        <v>11</v>
      </c>
      <c r="D25" s="21" t="n">
        <f aca="false">TAKVİM!$D$78</f>
        <v>18</v>
      </c>
      <c r="E25" s="21" t="n">
        <f aca="false">TAKVİM!$E$78</f>
        <v>25</v>
      </c>
      <c r="F25" s="21" t="str">
        <f aca="false">TAKVİM!$F$78</f>
        <v/>
      </c>
      <c r="G25" s="21" t="str">
        <f aca="false">TAKVİM!$G$78</f>
        <v/>
      </c>
      <c r="H25" s="21" t="n">
        <f aca="false">TAKVİM!$H$78</f>
        <v>2</v>
      </c>
      <c r="I25" s="21" t="n">
        <f aca="false">TAKVİM!$I$78</f>
        <v>9</v>
      </c>
      <c r="J25" s="21" t="n">
        <f aca="false">TAKVİM!$J$78</f>
        <v>16</v>
      </c>
      <c r="K25" s="21" t="n">
        <f aca="false">TAKVİM!$K$78</f>
        <v>23</v>
      </c>
      <c r="L25" s="21" t="n">
        <f aca="false">TAKVİM!$L$78</f>
        <v>30</v>
      </c>
      <c r="M25" s="21" t="str">
        <f aca="false">TAKVİM!$M$78</f>
        <v/>
      </c>
      <c r="N25" s="21" t="str">
        <f aca="false">TAKVİM!$N$78</f>
        <v/>
      </c>
      <c r="O25" s="21" t="n">
        <f aca="false">TAKVİM!$O$78</f>
        <v>6</v>
      </c>
      <c r="P25" s="21" t="n">
        <f aca="false">TAKVİM!$P$78</f>
        <v>13</v>
      </c>
      <c r="Q25" s="21" t="n">
        <f aca="false">TAKVİM!$Q$78</f>
        <v>20</v>
      </c>
      <c r="R25" s="21" t="n">
        <f aca="false">TAKVİM!$R$78</f>
        <v>27</v>
      </c>
      <c r="S25" s="21" t="str">
        <f aca="false">TAKVİM!$S$78</f>
        <v/>
      </c>
      <c r="T25" s="21" t="n">
        <f aca="false">TAKVİM!$T$78</f>
        <v>4</v>
      </c>
      <c r="U25" s="21" t="n">
        <f aca="false">TAKVİM!$U$78</f>
        <v>11</v>
      </c>
      <c r="V25" s="21" t="n">
        <f aca="false">TAKVİM!$V$78</f>
        <v>18</v>
      </c>
      <c r="W25" s="21" t="n">
        <f aca="false">TAKVİM!$W$78</f>
        <v>25</v>
      </c>
      <c r="X25" s="21" t="str">
        <f aca="false">TAKVİM!$X$78</f>
        <v/>
      </c>
      <c r="Y25" s="21" t="str">
        <f aca="false">TAKVİM!$Y$78</f>
        <v/>
      </c>
      <c r="Z25" s="21" t="n">
        <f aca="false">TAKVİM!$Z$78</f>
        <v>1</v>
      </c>
      <c r="AA25" s="21" t="n">
        <f aca="false">TAKVİM!$AA$78</f>
        <v>8</v>
      </c>
      <c r="AB25" s="21" t="n">
        <f aca="false">TAKVİM!$AB$78</f>
        <v>15</v>
      </c>
      <c r="AC25" s="21" t="n">
        <f aca="false">TAKVİM!$AC$78</f>
        <v>22</v>
      </c>
      <c r="AD25" s="21" t="n">
        <f aca="false">TAKVİM!$AD$78</f>
        <v>29</v>
      </c>
      <c r="AE25" s="21" t="str">
        <f aca="false">TAKVİM!$AE$78</f>
        <v/>
      </c>
    </row>
    <row r="26" customFormat="false" ht="15" hidden="false" customHeight="true" outlineLevel="0" collapsed="false">
      <c r="A26" s="27" t="str">
        <f aca="false">TAKVİM!$A$79</f>
        <v>Cumartesi</v>
      </c>
      <c r="B26" s="22" t="n">
        <f aca="false">TAKVİM!$B$79</f>
        <v>5</v>
      </c>
      <c r="C26" s="22" t="n">
        <f aca="false">TAKVİM!$C$79</f>
        <v>12</v>
      </c>
      <c r="D26" s="22" t="n">
        <f aca="false">TAKVİM!$D$79</f>
        <v>19</v>
      </c>
      <c r="E26" s="22" t="n">
        <f aca="false">TAKVİM!$E$79</f>
        <v>26</v>
      </c>
      <c r="F26" s="22" t="str">
        <f aca="false">TAKVİM!$F$79</f>
        <v/>
      </c>
      <c r="G26" s="22" t="str">
        <f aca="false">TAKVİM!$G$79</f>
        <v/>
      </c>
      <c r="H26" s="22" t="n">
        <f aca="false">TAKVİM!$H$79</f>
        <v>3</v>
      </c>
      <c r="I26" s="22" t="n">
        <f aca="false">TAKVİM!$I$79</f>
        <v>10</v>
      </c>
      <c r="J26" s="22" t="n">
        <f aca="false">TAKVİM!$J$79</f>
        <v>17</v>
      </c>
      <c r="K26" s="22" t="n">
        <f aca="false">TAKVİM!$K$79</f>
        <v>24</v>
      </c>
      <c r="L26" s="22" t="n">
        <f aca="false">TAKVİM!$L$79</f>
        <v>31</v>
      </c>
      <c r="M26" s="22" t="str">
        <f aca="false">TAKVİM!$M$79</f>
        <v/>
      </c>
      <c r="N26" s="22" t="str">
        <f aca="false">TAKVİM!$N$79</f>
        <v/>
      </c>
      <c r="O26" s="22" t="n">
        <f aca="false">TAKVİM!$O$79</f>
        <v>7</v>
      </c>
      <c r="P26" s="22" t="n">
        <f aca="false">TAKVİM!$P$79</f>
        <v>14</v>
      </c>
      <c r="Q26" s="22" t="n">
        <f aca="false">TAKVİM!$Q$79</f>
        <v>21</v>
      </c>
      <c r="R26" s="22" t="n">
        <f aca="false">TAKVİM!$R$79</f>
        <v>28</v>
      </c>
      <c r="S26" s="22" t="str">
        <f aca="false">TAKVİM!$S$79</f>
        <v/>
      </c>
      <c r="T26" s="22" t="n">
        <f aca="false">TAKVİM!$T$79</f>
        <v>5</v>
      </c>
      <c r="U26" s="22" t="n">
        <f aca="false">TAKVİM!$U$79</f>
        <v>12</v>
      </c>
      <c r="V26" s="22" t="n">
        <f aca="false">TAKVİM!$V$79</f>
        <v>19</v>
      </c>
      <c r="W26" s="22" t="n">
        <f aca="false">TAKVİM!$W$79</f>
        <v>26</v>
      </c>
      <c r="X26" s="22" t="str">
        <f aca="false">TAKVİM!$X$79</f>
        <v/>
      </c>
      <c r="Y26" s="22" t="str">
        <f aca="false">TAKVİM!$Y$79</f>
        <v/>
      </c>
      <c r="Z26" s="22" t="n">
        <f aca="false">TAKVİM!$Z$79</f>
        <v>2</v>
      </c>
      <c r="AA26" s="22" t="n">
        <f aca="false">TAKVİM!$AA$79</f>
        <v>9</v>
      </c>
      <c r="AB26" s="22" t="n">
        <f aca="false">TAKVİM!$AB$79</f>
        <v>16</v>
      </c>
      <c r="AC26" s="22" t="n">
        <f aca="false">TAKVİM!$AC$79</f>
        <v>23</v>
      </c>
      <c r="AD26" s="22" t="n">
        <f aca="false">TAKVİM!$AD$79</f>
        <v>30</v>
      </c>
      <c r="AE26" s="22" t="str">
        <f aca="false">TAKVİM!$AE$79</f>
        <v/>
      </c>
    </row>
    <row r="27" customFormat="false" ht="15" hidden="false" customHeight="true" outlineLevel="0" collapsed="false">
      <c r="A27" s="27" t="str">
        <f aca="false">TAKVİM!$A$80</f>
        <v>Pazar</v>
      </c>
      <c r="B27" s="22" t="n">
        <f aca="false">TAKVİM!$B$80</f>
        <v>6</v>
      </c>
      <c r="C27" s="22" t="n">
        <f aca="false">TAKVİM!$C$80</f>
        <v>13</v>
      </c>
      <c r="D27" s="22" t="n">
        <f aca="false">TAKVİM!$D$80</f>
        <v>20</v>
      </c>
      <c r="E27" s="22" t="n">
        <f aca="false">TAKVİM!$E$80</f>
        <v>27</v>
      </c>
      <c r="F27" s="22" t="str">
        <f aca="false">TAKVİM!$F$80</f>
        <v/>
      </c>
      <c r="G27" s="22" t="str">
        <f aca="false">TAKVİM!$G$80</f>
        <v/>
      </c>
      <c r="H27" s="22" t="n">
        <f aca="false">TAKVİM!$H$80</f>
        <v>4</v>
      </c>
      <c r="I27" s="22" t="n">
        <f aca="false">TAKVİM!$I$80</f>
        <v>11</v>
      </c>
      <c r="J27" s="22" t="n">
        <f aca="false">TAKVİM!$J$80</f>
        <v>18</v>
      </c>
      <c r="K27" s="22" t="n">
        <f aca="false">TAKVİM!$K$80</f>
        <v>25</v>
      </c>
      <c r="L27" s="22" t="str">
        <f aca="false">TAKVİM!$L$80</f>
        <v/>
      </c>
      <c r="M27" s="22" t="str">
        <f aca="false">TAKVİM!$M$80</f>
        <v/>
      </c>
      <c r="N27" s="22" t="n">
        <f aca="false">TAKVİM!$N$80</f>
        <v>1</v>
      </c>
      <c r="O27" s="22" t="n">
        <f aca="false">TAKVİM!$O$80</f>
        <v>8</v>
      </c>
      <c r="P27" s="22" t="n">
        <f aca="false">TAKVİM!$P$80</f>
        <v>15</v>
      </c>
      <c r="Q27" s="22" t="n">
        <f aca="false">TAKVİM!$Q$80</f>
        <v>22</v>
      </c>
      <c r="R27" s="22" t="n">
        <f aca="false">TAKVİM!$R$80</f>
        <v>29</v>
      </c>
      <c r="S27" s="22" t="str">
        <f aca="false">TAKVİM!$S$80</f>
        <v/>
      </c>
      <c r="T27" s="22" t="n">
        <f aca="false">TAKVİM!$T$80</f>
        <v>6</v>
      </c>
      <c r="U27" s="22" t="n">
        <f aca="false">TAKVİM!$U$80</f>
        <v>13</v>
      </c>
      <c r="V27" s="22" t="n">
        <f aca="false">TAKVİM!$V$80</f>
        <v>20</v>
      </c>
      <c r="W27" s="22" t="n">
        <f aca="false">TAKVİM!$W$80</f>
        <v>27</v>
      </c>
      <c r="X27" s="22" t="str">
        <f aca="false">TAKVİM!$X$80</f>
        <v/>
      </c>
      <c r="Y27" s="22" t="str">
        <f aca="false">TAKVİM!$Y$80</f>
        <v/>
      </c>
      <c r="Z27" s="22" t="n">
        <f aca="false">TAKVİM!$Z$80</f>
        <v>3</v>
      </c>
      <c r="AA27" s="22" t="n">
        <f aca="false">TAKVİM!$AA$80</f>
        <v>10</v>
      </c>
      <c r="AB27" s="22" t="n">
        <f aca="false">TAKVİM!$AB$80</f>
        <v>17</v>
      </c>
      <c r="AC27" s="22" t="n">
        <f aca="false">TAKVİM!$AC$80</f>
        <v>24</v>
      </c>
      <c r="AD27" s="22" t="n">
        <f aca="false">TAKVİM!$AD$80</f>
        <v>31</v>
      </c>
      <c r="AE27" s="22" t="str">
        <f aca="false">TAKVİM!$AE$80</f>
        <v/>
      </c>
    </row>
    <row r="28" customFormat="false" ht="15" hidden="false" customHeight="true" outlineLevel="0" collapsed="false">
      <c r="A28" s="19" t="str">
        <f aca="false">TAKVİM!$A$81</f>
        <v>Günler</v>
      </c>
      <c r="B28" s="19" t="str">
        <f aca="false">TAKVİM!$B$81</f>
        <v>Şubat 2027</v>
      </c>
      <c r="C28" s="19"/>
      <c r="D28" s="19"/>
      <c r="E28" s="19"/>
      <c r="F28" s="19"/>
      <c r="G28" s="19"/>
      <c r="H28" s="19" t="str">
        <f aca="false">TAKVİM!$H$81</f>
        <v>Mart 2027</v>
      </c>
      <c r="I28" s="19"/>
      <c r="J28" s="19"/>
      <c r="K28" s="19"/>
      <c r="L28" s="19"/>
      <c r="M28" s="19"/>
      <c r="N28" s="19" t="str">
        <f aca="false">TAKVİM!$N$81</f>
        <v>Nisan 2027</v>
      </c>
      <c r="O28" s="19"/>
      <c r="P28" s="19"/>
      <c r="Q28" s="19"/>
      <c r="R28" s="19"/>
      <c r="S28" s="19"/>
      <c r="T28" s="19" t="str">
        <f aca="false">TAKVİM!$T$81</f>
        <v>Mayıs 2027</v>
      </c>
      <c r="U28" s="19"/>
      <c r="V28" s="19"/>
      <c r="W28" s="19"/>
      <c r="X28" s="19"/>
      <c r="Y28" s="19"/>
      <c r="Z28" s="19" t="str">
        <f aca="false">TAKVİM!$Z$81</f>
        <v>Haziran 2027</v>
      </c>
      <c r="AA28" s="19"/>
      <c r="AB28" s="19"/>
      <c r="AC28" s="19"/>
      <c r="AD28" s="19"/>
      <c r="AE28" s="19"/>
    </row>
    <row r="29" customFormat="false" ht="15" hidden="false" customHeight="true" outlineLevel="0" collapsed="false">
      <c r="A29" s="27" t="str">
        <f aca="false">TAKVİM!$A$82</f>
        <v>Pazartesi</v>
      </c>
      <c r="B29" s="21" t="n">
        <f aca="false">TAKVİM!$B$82</f>
        <v>1</v>
      </c>
      <c r="C29" s="21" t="n">
        <f aca="false">TAKVİM!$C$82</f>
        <v>8</v>
      </c>
      <c r="D29" s="21" t="n">
        <f aca="false">TAKVİM!$D$82</f>
        <v>15</v>
      </c>
      <c r="E29" s="21" t="n">
        <f aca="false">TAKVİM!$E$82</f>
        <v>22</v>
      </c>
      <c r="F29" s="21" t="str">
        <f aca="false">TAKVİM!$F$82</f>
        <v/>
      </c>
      <c r="G29" s="21" t="str">
        <f aca="false">TAKVİM!$G$82</f>
        <v/>
      </c>
      <c r="H29" s="21" t="n">
        <f aca="false">TAKVİM!$H$82</f>
        <v>1</v>
      </c>
      <c r="I29" s="21" t="n">
        <f aca="false">TAKVİM!$I$82</f>
        <v>8</v>
      </c>
      <c r="J29" s="21" t="n">
        <f aca="false">TAKVİM!$J$82</f>
        <v>15</v>
      </c>
      <c r="K29" s="21" t="n">
        <f aca="false">TAKVİM!$K$82</f>
        <v>22</v>
      </c>
      <c r="L29" s="21" t="n">
        <f aca="false">TAKVİM!$L$82</f>
        <v>29</v>
      </c>
      <c r="M29" s="21" t="str">
        <f aca="false">TAKVİM!$M$82</f>
        <v/>
      </c>
      <c r="N29" s="21" t="str">
        <f aca="false">TAKVİM!$N$82</f>
        <v/>
      </c>
      <c r="O29" s="21" t="n">
        <f aca="false">TAKVİM!$O$82</f>
        <v>5</v>
      </c>
      <c r="P29" s="21" t="n">
        <f aca="false">TAKVİM!$P$82</f>
        <v>12</v>
      </c>
      <c r="Q29" s="21" t="n">
        <f aca="false">TAKVİM!$Q$82</f>
        <v>19</v>
      </c>
      <c r="R29" s="21" t="n">
        <f aca="false">TAKVİM!$R$82</f>
        <v>26</v>
      </c>
      <c r="S29" s="21" t="str">
        <f aca="false">TAKVİM!$S$82</f>
        <v/>
      </c>
      <c r="T29" s="21" t="str">
        <f aca="false">TAKVİM!$T$82</f>
        <v/>
      </c>
      <c r="U29" s="21" t="n">
        <f aca="false">TAKVİM!$U$82</f>
        <v>3</v>
      </c>
      <c r="V29" s="21" t="n">
        <f aca="false">TAKVİM!$V$82</f>
        <v>10</v>
      </c>
      <c r="W29" s="21" t="n">
        <f aca="false">TAKVİM!$W$82</f>
        <v>17</v>
      </c>
      <c r="X29" s="21" t="n">
        <f aca="false">TAKVİM!$X$82</f>
        <v>24</v>
      </c>
      <c r="Y29" s="21" t="n">
        <f aca="false">TAKVİM!$Y$82</f>
        <v>31</v>
      </c>
      <c r="Z29" s="21" t="str">
        <f aca="false">TAKVİM!$Z$82</f>
        <v/>
      </c>
      <c r="AA29" s="21" t="n">
        <f aca="false">TAKVİM!$AA$82</f>
        <v>7</v>
      </c>
      <c r="AB29" s="21" t="n">
        <f aca="false">TAKVİM!$AB$82</f>
        <v>14</v>
      </c>
      <c r="AC29" s="21" t="n">
        <f aca="false">TAKVİM!$AC$82</f>
        <v>21</v>
      </c>
      <c r="AD29" s="21" t="n">
        <f aca="false">TAKVİM!$AD$82</f>
        <v>28</v>
      </c>
      <c r="AE29" s="21" t="str">
        <f aca="false">TAKVİM!$AE$82</f>
        <v/>
      </c>
    </row>
    <row r="30" customFormat="false" ht="15" hidden="false" customHeight="true" outlineLevel="0" collapsed="false">
      <c r="A30" s="27" t="str">
        <f aca="false">TAKVİM!$A$83</f>
        <v>Salı</v>
      </c>
      <c r="B30" s="21" t="n">
        <f aca="false">TAKVİM!$B$83</f>
        <v>2</v>
      </c>
      <c r="C30" s="21" t="n">
        <f aca="false">TAKVİM!$C$83</f>
        <v>9</v>
      </c>
      <c r="D30" s="21" t="n">
        <f aca="false">TAKVİM!$D$83</f>
        <v>16</v>
      </c>
      <c r="E30" s="21" t="n">
        <f aca="false">TAKVİM!$E$83</f>
        <v>23</v>
      </c>
      <c r="F30" s="21" t="str">
        <f aca="false">TAKVİM!$F$83</f>
        <v/>
      </c>
      <c r="G30" s="21" t="str">
        <f aca="false">TAKVİM!$G$83</f>
        <v/>
      </c>
      <c r="H30" s="21" t="n">
        <f aca="false">TAKVİM!$H$83</f>
        <v>2</v>
      </c>
      <c r="I30" s="21" t="n">
        <f aca="false">TAKVİM!$I$83</f>
        <v>9</v>
      </c>
      <c r="J30" s="21" t="n">
        <f aca="false">TAKVİM!$J$83</f>
        <v>16</v>
      </c>
      <c r="K30" s="21" t="n">
        <f aca="false">TAKVİM!$K$83</f>
        <v>23</v>
      </c>
      <c r="L30" s="21" t="n">
        <f aca="false">TAKVİM!$L$83</f>
        <v>30</v>
      </c>
      <c r="M30" s="21" t="str">
        <f aca="false">TAKVİM!$M$83</f>
        <v/>
      </c>
      <c r="N30" s="21" t="str">
        <f aca="false">TAKVİM!$N$83</f>
        <v/>
      </c>
      <c r="O30" s="21" t="n">
        <f aca="false">TAKVİM!$O$83</f>
        <v>6</v>
      </c>
      <c r="P30" s="21" t="n">
        <f aca="false">TAKVİM!$P$83</f>
        <v>13</v>
      </c>
      <c r="Q30" s="21" t="n">
        <f aca="false">TAKVİM!$Q$83</f>
        <v>20</v>
      </c>
      <c r="R30" s="21" t="n">
        <f aca="false">TAKVİM!$R$83</f>
        <v>27</v>
      </c>
      <c r="S30" s="21" t="str">
        <f aca="false">TAKVİM!$S$83</f>
        <v/>
      </c>
      <c r="T30" s="21" t="str">
        <f aca="false">TAKVİM!$T$83</f>
        <v/>
      </c>
      <c r="U30" s="21" t="n">
        <f aca="false">TAKVİM!$U$83</f>
        <v>4</v>
      </c>
      <c r="V30" s="21" t="n">
        <f aca="false">TAKVİM!$V$83</f>
        <v>11</v>
      </c>
      <c r="W30" s="21" t="n">
        <f aca="false">TAKVİM!$W$83</f>
        <v>18</v>
      </c>
      <c r="X30" s="21" t="n">
        <f aca="false">TAKVİM!$X$83</f>
        <v>25</v>
      </c>
      <c r="Y30" s="21" t="str">
        <f aca="false">TAKVİM!$Y$83</f>
        <v/>
      </c>
      <c r="Z30" s="21" t="n">
        <f aca="false">TAKVİM!$Z$83</f>
        <v>1</v>
      </c>
      <c r="AA30" s="21" t="n">
        <f aca="false">TAKVİM!$AA$83</f>
        <v>8</v>
      </c>
      <c r="AB30" s="21" t="n">
        <f aca="false">TAKVİM!$AB$83</f>
        <v>15</v>
      </c>
      <c r="AC30" s="21" t="n">
        <f aca="false">TAKVİM!$AC$83</f>
        <v>22</v>
      </c>
      <c r="AD30" s="21" t="n">
        <f aca="false">TAKVİM!$AD$83</f>
        <v>29</v>
      </c>
      <c r="AE30" s="21" t="str">
        <f aca="false">TAKVİM!$AE$83</f>
        <v/>
      </c>
    </row>
    <row r="31" customFormat="false" ht="15" hidden="false" customHeight="true" outlineLevel="0" collapsed="false">
      <c r="A31" s="27" t="str">
        <f aca="false">TAKVİM!$A$84</f>
        <v>Çarşamba</v>
      </c>
      <c r="B31" s="21" t="n">
        <f aca="false">TAKVİM!$B$84</f>
        <v>3</v>
      </c>
      <c r="C31" s="21" t="n">
        <f aca="false">TAKVİM!$C$84</f>
        <v>10</v>
      </c>
      <c r="D31" s="21" t="n">
        <f aca="false">TAKVİM!$D$84</f>
        <v>17</v>
      </c>
      <c r="E31" s="21" t="n">
        <f aca="false">TAKVİM!$E$84</f>
        <v>24</v>
      </c>
      <c r="F31" s="21" t="str">
        <f aca="false">TAKVİM!$F$84</f>
        <v/>
      </c>
      <c r="G31" s="21" t="str">
        <f aca="false">TAKVİM!$G$84</f>
        <v/>
      </c>
      <c r="H31" s="21" t="n">
        <f aca="false">TAKVİM!$H$84</f>
        <v>3</v>
      </c>
      <c r="I31" s="21" t="n">
        <f aca="false">TAKVİM!$I$84</f>
        <v>10</v>
      </c>
      <c r="J31" s="21" t="n">
        <f aca="false">TAKVİM!$J$84</f>
        <v>17</v>
      </c>
      <c r="K31" s="21" t="n">
        <f aca="false">TAKVİM!$K$84</f>
        <v>24</v>
      </c>
      <c r="L31" s="21" t="n">
        <f aca="false">TAKVİM!$L$84</f>
        <v>31</v>
      </c>
      <c r="M31" s="21" t="str">
        <f aca="false">TAKVİM!$M$84</f>
        <v/>
      </c>
      <c r="N31" s="21" t="str">
        <f aca="false">TAKVİM!$N$84</f>
        <v/>
      </c>
      <c r="O31" s="21" t="n">
        <f aca="false">TAKVİM!$O$84</f>
        <v>7</v>
      </c>
      <c r="P31" s="21" t="n">
        <f aca="false">TAKVİM!$P$84</f>
        <v>14</v>
      </c>
      <c r="Q31" s="21" t="n">
        <f aca="false">TAKVİM!$Q$84</f>
        <v>21</v>
      </c>
      <c r="R31" s="21" t="n">
        <f aca="false">TAKVİM!$R$84</f>
        <v>28</v>
      </c>
      <c r="S31" s="21" t="str">
        <f aca="false">TAKVİM!$S$84</f>
        <v/>
      </c>
      <c r="T31" s="21" t="str">
        <f aca="false">TAKVİM!$T$84</f>
        <v/>
      </c>
      <c r="U31" s="21" t="n">
        <f aca="false">TAKVİM!$U$84</f>
        <v>5</v>
      </c>
      <c r="V31" s="21" t="n">
        <f aca="false">TAKVİM!$V$84</f>
        <v>12</v>
      </c>
      <c r="W31" s="21" t="n">
        <f aca="false">TAKVİM!$W$84</f>
        <v>19</v>
      </c>
      <c r="X31" s="21" t="n">
        <f aca="false">TAKVİM!$X$84</f>
        <v>26</v>
      </c>
      <c r="Y31" s="21" t="str">
        <f aca="false">TAKVİM!$Y$84</f>
        <v/>
      </c>
      <c r="Z31" s="21" t="n">
        <f aca="false">TAKVİM!$Z$84</f>
        <v>2</v>
      </c>
      <c r="AA31" s="21" t="n">
        <f aca="false">TAKVİM!$AA$84</f>
        <v>9</v>
      </c>
      <c r="AB31" s="21" t="n">
        <f aca="false">TAKVİM!$AB$84</f>
        <v>16</v>
      </c>
      <c r="AC31" s="21" t="n">
        <f aca="false">TAKVİM!$AC$84</f>
        <v>23</v>
      </c>
      <c r="AD31" s="21" t="n">
        <f aca="false">TAKVİM!$AD$84</f>
        <v>30</v>
      </c>
      <c r="AE31" s="21" t="str">
        <f aca="false">TAKVİM!$AE$84</f>
        <v/>
      </c>
    </row>
    <row r="32" customFormat="false" ht="15" hidden="false" customHeight="true" outlineLevel="0" collapsed="false">
      <c r="A32" s="27" t="str">
        <f aca="false">TAKVİM!$A$85</f>
        <v>Perşembe</v>
      </c>
      <c r="B32" s="21" t="n">
        <f aca="false">TAKVİM!$B$85</f>
        <v>4</v>
      </c>
      <c r="C32" s="21" t="n">
        <f aca="false">TAKVİM!$C$85</f>
        <v>11</v>
      </c>
      <c r="D32" s="21" t="n">
        <f aca="false">TAKVİM!$D$85</f>
        <v>18</v>
      </c>
      <c r="E32" s="21" t="n">
        <f aca="false">TAKVİM!$E$85</f>
        <v>25</v>
      </c>
      <c r="F32" s="21" t="str">
        <f aca="false">TAKVİM!$F$85</f>
        <v/>
      </c>
      <c r="G32" s="21" t="str">
        <f aca="false">TAKVİM!$G$85</f>
        <v/>
      </c>
      <c r="H32" s="21" t="n">
        <f aca="false">TAKVİM!$H$85</f>
        <v>4</v>
      </c>
      <c r="I32" s="21" t="n">
        <f aca="false">TAKVİM!$I$85</f>
        <v>11</v>
      </c>
      <c r="J32" s="21" t="n">
        <f aca="false">TAKVİM!$J$85</f>
        <v>18</v>
      </c>
      <c r="K32" s="21" t="n">
        <f aca="false">TAKVİM!$K$85</f>
        <v>25</v>
      </c>
      <c r="L32" s="21" t="str">
        <f aca="false">TAKVİM!$L$85</f>
        <v/>
      </c>
      <c r="M32" s="21" t="str">
        <f aca="false">TAKVİM!$M$85</f>
        <v/>
      </c>
      <c r="N32" s="21" t="n">
        <f aca="false">TAKVİM!$N$85</f>
        <v>1</v>
      </c>
      <c r="O32" s="21" t="n">
        <f aca="false">TAKVİM!$O$85</f>
        <v>8</v>
      </c>
      <c r="P32" s="21" t="n">
        <f aca="false">TAKVİM!$P$85</f>
        <v>15</v>
      </c>
      <c r="Q32" s="21" t="n">
        <f aca="false">TAKVİM!$Q$85</f>
        <v>22</v>
      </c>
      <c r="R32" s="21" t="n">
        <f aca="false">TAKVİM!$R$85</f>
        <v>29</v>
      </c>
      <c r="S32" s="21" t="str">
        <f aca="false">TAKVİM!$S$85</f>
        <v/>
      </c>
      <c r="T32" s="21" t="str">
        <f aca="false">TAKVİM!$T$85</f>
        <v/>
      </c>
      <c r="U32" s="21" t="n">
        <f aca="false">TAKVİM!$U$85</f>
        <v>6</v>
      </c>
      <c r="V32" s="21" t="n">
        <f aca="false">TAKVİM!$V$85</f>
        <v>13</v>
      </c>
      <c r="W32" s="21" t="n">
        <f aca="false">TAKVİM!$W$85</f>
        <v>20</v>
      </c>
      <c r="X32" s="21" t="n">
        <f aca="false">TAKVİM!$X$85</f>
        <v>27</v>
      </c>
      <c r="Y32" s="21" t="str">
        <f aca="false">TAKVİM!$Y$85</f>
        <v/>
      </c>
      <c r="Z32" s="21" t="n">
        <f aca="false">TAKVİM!$Z$85</f>
        <v>3</v>
      </c>
      <c r="AA32" s="21" t="n">
        <f aca="false">TAKVİM!$AA$85</f>
        <v>10</v>
      </c>
      <c r="AB32" s="21" t="n">
        <f aca="false">TAKVİM!$AB$85</f>
        <v>17</v>
      </c>
      <c r="AC32" s="21" t="n">
        <f aca="false">TAKVİM!$AC$85</f>
        <v>24</v>
      </c>
      <c r="AD32" s="21" t="str">
        <f aca="false">TAKVİM!$AD$85</f>
        <v/>
      </c>
      <c r="AE32" s="21" t="str">
        <f aca="false">TAKVİM!$AE$85</f>
        <v/>
      </c>
    </row>
    <row r="33" customFormat="false" ht="15" hidden="false" customHeight="true" outlineLevel="0" collapsed="false">
      <c r="A33" s="27" t="str">
        <f aca="false">TAKVİM!$A$86</f>
        <v>Cuma</v>
      </c>
      <c r="B33" s="21" t="n">
        <f aca="false">TAKVİM!$B$86</f>
        <v>5</v>
      </c>
      <c r="C33" s="21" t="n">
        <f aca="false">TAKVİM!$C$86</f>
        <v>12</v>
      </c>
      <c r="D33" s="21" t="n">
        <f aca="false">TAKVİM!$D$86</f>
        <v>19</v>
      </c>
      <c r="E33" s="21" t="n">
        <f aca="false">TAKVİM!$E$86</f>
        <v>26</v>
      </c>
      <c r="F33" s="21" t="str">
        <f aca="false">TAKVİM!$F$86</f>
        <v/>
      </c>
      <c r="G33" s="21" t="str">
        <f aca="false">TAKVİM!$G$86</f>
        <v/>
      </c>
      <c r="H33" s="21" t="n">
        <f aca="false">TAKVİM!$H$86</f>
        <v>5</v>
      </c>
      <c r="I33" s="21" t="n">
        <f aca="false">TAKVİM!$I$86</f>
        <v>12</v>
      </c>
      <c r="J33" s="21" t="n">
        <f aca="false">TAKVİM!$J$86</f>
        <v>19</v>
      </c>
      <c r="K33" s="21" t="n">
        <f aca="false">TAKVİM!$K$86</f>
        <v>26</v>
      </c>
      <c r="L33" s="21" t="str">
        <f aca="false">TAKVİM!$L$86</f>
        <v/>
      </c>
      <c r="M33" s="21" t="str">
        <f aca="false">TAKVİM!$M$86</f>
        <v/>
      </c>
      <c r="N33" s="21" t="n">
        <f aca="false">TAKVİM!$N$86</f>
        <v>2</v>
      </c>
      <c r="O33" s="21" t="n">
        <f aca="false">TAKVİM!$O$86</f>
        <v>9</v>
      </c>
      <c r="P33" s="21" t="n">
        <f aca="false">TAKVİM!$P$86</f>
        <v>16</v>
      </c>
      <c r="Q33" s="21" t="n">
        <f aca="false">TAKVİM!$Q$86</f>
        <v>23</v>
      </c>
      <c r="R33" s="21" t="n">
        <f aca="false">TAKVİM!$R$86</f>
        <v>30</v>
      </c>
      <c r="S33" s="21" t="str">
        <f aca="false">TAKVİM!$S$86</f>
        <v/>
      </c>
      <c r="T33" s="21" t="str">
        <f aca="false">TAKVİM!$T$86</f>
        <v/>
      </c>
      <c r="U33" s="21" t="n">
        <f aca="false">TAKVİM!$U$86</f>
        <v>7</v>
      </c>
      <c r="V33" s="21" t="n">
        <f aca="false">TAKVİM!$V$86</f>
        <v>14</v>
      </c>
      <c r="W33" s="21" t="n">
        <f aca="false">TAKVİM!$W$86</f>
        <v>21</v>
      </c>
      <c r="X33" s="21" t="n">
        <f aca="false">TAKVİM!$X$86</f>
        <v>28</v>
      </c>
      <c r="Y33" s="21" t="str">
        <f aca="false">TAKVİM!$Y$86</f>
        <v/>
      </c>
      <c r="Z33" s="21" t="n">
        <f aca="false">TAKVİM!$Z$86</f>
        <v>4</v>
      </c>
      <c r="AA33" s="21" t="n">
        <f aca="false">TAKVİM!$AA$86</f>
        <v>11</v>
      </c>
      <c r="AB33" s="21" t="n">
        <f aca="false">TAKVİM!$AB$86</f>
        <v>18</v>
      </c>
      <c r="AC33" s="21" t="n">
        <f aca="false">TAKVİM!$AC$86</f>
        <v>25</v>
      </c>
      <c r="AD33" s="21" t="str">
        <f aca="false">TAKVİM!$AD$86</f>
        <v/>
      </c>
      <c r="AE33" s="21" t="str">
        <f aca="false">TAKVİM!$AE$86</f>
        <v/>
      </c>
    </row>
    <row r="34" customFormat="false" ht="15" hidden="false" customHeight="true" outlineLevel="0" collapsed="false">
      <c r="A34" s="27" t="str">
        <f aca="false">TAKVİM!$A$87</f>
        <v>Cumartesi</v>
      </c>
      <c r="B34" s="22" t="n">
        <f aca="false">TAKVİM!$B$87</f>
        <v>6</v>
      </c>
      <c r="C34" s="22" t="n">
        <f aca="false">TAKVİM!$C$87</f>
        <v>13</v>
      </c>
      <c r="D34" s="22" t="n">
        <f aca="false">TAKVİM!$D$87</f>
        <v>20</v>
      </c>
      <c r="E34" s="22" t="n">
        <f aca="false">TAKVİM!$E$87</f>
        <v>27</v>
      </c>
      <c r="F34" s="22" t="str">
        <f aca="false">TAKVİM!$F$87</f>
        <v/>
      </c>
      <c r="G34" s="22" t="str">
        <f aca="false">TAKVİM!$G$87</f>
        <v/>
      </c>
      <c r="H34" s="22" t="n">
        <f aca="false">TAKVİM!$H$87</f>
        <v>6</v>
      </c>
      <c r="I34" s="22" t="n">
        <f aca="false">TAKVİM!$I$87</f>
        <v>13</v>
      </c>
      <c r="J34" s="22" t="n">
        <f aca="false">TAKVİM!$J$87</f>
        <v>20</v>
      </c>
      <c r="K34" s="22" t="n">
        <f aca="false">TAKVİM!$K$87</f>
        <v>27</v>
      </c>
      <c r="L34" s="22" t="str">
        <f aca="false">TAKVİM!$L$87</f>
        <v/>
      </c>
      <c r="M34" s="22" t="str">
        <f aca="false">TAKVİM!$M$87</f>
        <v/>
      </c>
      <c r="N34" s="22" t="n">
        <f aca="false">TAKVİM!$N$87</f>
        <v>3</v>
      </c>
      <c r="O34" s="22" t="n">
        <f aca="false">TAKVİM!$O$87</f>
        <v>10</v>
      </c>
      <c r="P34" s="22" t="n">
        <f aca="false">TAKVİM!$P$87</f>
        <v>17</v>
      </c>
      <c r="Q34" s="22" t="n">
        <f aca="false">TAKVİM!$Q$87</f>
        <v>24</v>
      </c>
      <c r="R34" s="22" t="str">
        <f aca="false">TAKVİM!$R$87</f>
        <v/>
      </c>
      <c r="S34" s="22" t="str">
        <f aca="false">TAKVİM!$S$87</f>
        <v/>
      </c>
      <c r="T34" s="22" t="n">
        <f aca="false">TAKVİM!$T$87</f>
        <v>1</v>
      </c>
      <c r="U34" s="22" t="n">
        <f aca="false">TAKVİM!$U$87</f>
        <v>8</v>
      </c>
      <c r="V34" s="22" t="n">
        <f aca="false">TAKVİM!$V$87</f>
        <v>15</v>
      </c>
      <c r="W34" s="22" t="n">
        <f aca="false">TAKVİM!$W$87</f>
        <v>22</v>
      </c>
      <c r="X34" s="22" t="n">
        <f aca="false">TAKVİM!$X$87</f>
        <v>29</v>
      </c>
      <c r="Y34" s="22" t="str">
        <f aca="false">TAKVİM!$Y$87</f>
        <v/>
      </c>
      <c r="Z34" s="22" t="n">
        <f aca="false">TAKVİM!$Z$87</f>
        <v>5</v>
      </c>
      <c r="AA34" s="22" t="n">
        <f aca="false">TAKVİM!$AA$87</f>
        <v>12</v>
      </c>
      <c r="AB34" s="22" t="n">
        <f aca="false">TAKVİM!$AB$87</f>
        <v>19</v>
      </c>
      <c r="AC34" s="22" t="n">
        <f aca="false">TAKVİM!$AC$87</f>
        <v>26</v>
      </c>
      <c r="AD34" s="22" t="str">
        <f aca="false">TAKVİM!$AD$87</f>
        <v/>
      </c>
      <c r="AE34" s="22" t="str">
        <f aca="false">TAKVİM!$AE$87</f>
        <v/>
      </c>
    </row>
    <row r="35" customFormat="false" ht="15" hidden="false" customHeight="true" outlineLevel="0" collapsed="false">
      <c r="A35" s="27" t="str">
        <f aca="false">TAKVİM!$A$88</f>
        <v>Pazar</v>
      </c>
      <c r="B35" s="22" t="n">
        <f aca="false">TAKVİM!$B$88</f>
        <v>7</v>
      </c>
      <c r="C35" s="22" t="n">
        <f aca="false">TAKVİM!$C$88</f>
        <v>14</v>
      </c>
      <c r="D35" s="22" t="n">
        <f aca="false">TAKVİM!$D$88</f>
        <v>21</v>
      </c>
      <c r="E35" s="22" t="n">
        <f aca="false">TAKVİM!$E$88</f>
        <v>28</v>
      </c>
      <c r="F35" s="22" t="str">
        <f aca="false">TAKVİM!$F$88</f>
        <v/>
      </c>
      <c r="G35" s="22" t="str">
        <f aca="false">TAKVİM!$G$88</f>
        <v/>
      </c>
      <c r="H35" s="22" t="n">
        <f aca="false">TAKVİM!$H$88</f>
        <v>7</v>
      </c>
      <c r="I35" s="22" t="n">
        <f aca="false">TAKVİM!$I$88</f>
        <v>14</v>
      </c>
      <c r="J35" s="22" t="n">
        <f aca="false">TAKVİM!$J$88</f>
        <v>21</v>
      </c>
      <c r="K35" s="22" t="n">
        <f aca="false">TAKVİM!$K$88</f>
        <v>28</v>
      </c>
      <c r="L35" s="22" t="str">
        <f aca="false">TAKVİM!$L$88</f>
        <v/>
      </c>
      <c r="M35" s="22" t="str">
        <f aca="false">TAKVİM!$M$88</f>
        <v/>
      </c>
      <c r="N35" s="22" t="n">
        <f aca="false">TAKVİM!$N$88</f>
        <v>4</v>
      </c>
      <c r="O35" s="22" t="n">
        <f aca="false">TAKVİM!$O$88</f>
        <v>11</v>
      </c>
      <c r="P35" s="22" t="n">
        <f aca="false">TAKVİM!$P$88</f>
        <v>18</v>
      </c>
      <c r="Q35" s="22" t="n">
        <f aca="false">TAKVİM!$Q$88</f>
        <v>25</v>
      </c>
      <c r="R35" s="22" t="str">
        <f aca="false">TAKVİM!$R$88</f>
        <v/>
      </c>
      <c r="S35" s="22" t="str">
        <f aca="false">TAKVİM!$S$88</f>
        <v/>
      </c>
      <c r="T35" s="22" t="n">
        <f aca="false">TAKVİM!$T$88</f>
        <v>2</v>
      </c>
      <c r="U35" s="22" t="n">
        <f aca="false">TAKVİM!$U$88</f>
        <v>9</v>
      </c>
      <c r="V35" s="22" t="n">
        <f aca="false">TAKVİM!$V$88</f>
        <v>16</v>
      </c>
      <c r="W35" s="22" t="n">
        <f aca="false">TAKVİM!$W$88</f>
        <v>23</v>
      </c>
      <c r="X35" s="22" t="n">
        <f aca="false">TAKVİM!$X$88</f>
        <v>30</v>
      </c>
      <c r="Y35" s="22" t="str">
        <f aca="false">TAKVİM!$Y$88</f>
        <v/>
      </c>
      <c r="Z35" s="22" t="n">
        <f aca="false">TAKVİM!$Z$88</f>
        <v>6</v>
      </c>
      <c r="AA35" s="22" t="n">
        <f aca="false">TAKVİM!$AA$88</f>
        <v>13</v>
      </c>
      <c r="AB35" s="22" t="n">
        <f aca="false">TAKVİM!$AB$88</f>
        <v>20</v>
      </c>
      <c r="AC35" s="22" t="n">
        <f aca="false">TAKVİM!$AC$88</f>
        <v>27</v>
      </c>
      <c r="AD35" s="22" t="str">
        <f aca="false">TAKVİM!$AD$88</f>
        <v/>
      </c>
      <c r="AE35" s="22" t="str">
        <f aca="false">TAKVİM!$AE$88</f>
        <v/>
      </c>
    </row>
    <row r="36" customFormat="false" ht="1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21.75" hidden="false" customHeight="true" outlineLevel="0" collapsed="false">
      <c r="A37" s="28" t="s">
        <v>113</v>
      </c>
      <c r="B37" s="28"/>
      <c r="C37" s="28"/>
      <c r="D37" s="28" t="s">
        <v>114</v>
      </c>
      <c r="E37" s="28"/>
      <c r="F37" s="28"/>
      <c r="G37" s="28"/>
      <c r="H37" s="28"/>
      <c r="I37" s="28"/>
      <c r="J37" s="28"/>
      <c r="K37" s="28"/>
      <c r="L37" s="28" t="s">
        <v>115</v>
      </c>
      <c r="M37" s="28"/>
      <c r="N37" s="28"/>
      <c r="O37" s="28"/>
      <c r="P37" s="28"/>
      <c r="Q37" s="28"/>
      <c r="R37" s="28" t="s">
        <v>116</v>
      </c>
      <c r="S37" s="28"/>
      <c r="T37" s="28"/>
      <c r="U37" s="28"/>
      <c r="V37" s="28"/>
      <c r="W37" s="28" t="s">
        <v>117</v>
      </c>
      <c r="X37" s="28"/>
      <c r="Y37" s="28"/>
      <c r="Z37" s="28"/>
      <c r="AA37" s="28"/>
      <c r="AB37" s="28"/>
      <c r="AC37" s="28"/>
      <c r="AD37" s="28" t="s">
        <v>118</v>
      </c>
      <c r="AE37" s="28"/>
    </row>
    <row r="38" customFormat="false" ht="74.25" hidden="false" customHeight="true" outlineLevel="0" collapsed="false">
      <c r="A38" s="29" t="str">
        <f aca="false">TAKVİM!$B$29</f>
        <v>14-18 Eylül</v>
      </c>
      <c r="B38" s="29"/>
      <c r="C38" s="29"/>
      <c r="D38" s="29" t="s">
        <v>1174</v>
      </c>
      <c r="E38" s="29"/>
      <c r="F38" s="29"/>
      <c r="G38" s="29"/>
      <c r="H38" s="29"/>
      <c r="I38" s="29"/>
      <c r="J38" s="29"/>
      <c r="K38" s="29"/>
      <c r="L38" s="29" t="s">
        <v>1175</v>
      </c>
      <c r="M38" s="29"/>
      <c r="N38" s="29"/>
      <c r="O38" s="29"/>
      <c r="P38" s="29"/>
      <c r="Q38" s="29"/>
      <c r="R38" s="29" t="s">
        <v>1116</v>
      </c>
      <c r="S38" s="29"/>
      <c r="T38" s="29"/>
      <c r="U38" s="29"/>
      <c r="V38" s="29"/>
      <c r="W38" s="29" t="s">
        <v>1176</v>
      </c>
      <c r="X38" s="29"/>
      <c r="Y38" s="29"/>
      <c r="Z38" s="29"/>
      <c r="AA38" s="29"/>
      <c r="AB38" s="29"/>
      <c r="AC38" s="29"/>
      <c r="AD38" s="29"/>
      <c r="AE38" s="29"/>
    </row>
    <row r="39" customFormat="false" ht="74.25" hidden="false" customHeight="true" outlineLevel="0" collapsed="false">
      <c r="A39" s="29" t="str">
        <f aca="false">TAKVİM!$B$30</f>
        <v>21-25 Eylül</v>
      </c>
      <c r="B39" s="29"/>
      <c r="C39" s="29"/>
      <c r="D39" s="29" t="s">
        <v>1177</v>
      </c>
      <c r="E39" s="29"/>
      <c r="F39" s="29"/>
      <c r="G39" s="29"/>
      <c r="H39" s="29"/>
      <c r="I39" s="29"/>
      <c r="J39" s="29"/>
      <c r="K39" s="29"/>
      <c r="L39" s="29" t="s">
        <v>1178</v>
      </c>
      <c r="M39" s="29"/>
      <c r="N39" s="29"/>
      <c r="O39" s="29"/>
      <c r="P39" s="29"/>
      <c r="Q39" s="29"/>
      <c r="R39" s="29" t="s">
        <v>1116</v>
      </c>
      <c r="S39" s="29"/>
      <c r="T39" s="29"/>
      <c r="U39" s="29"/>
      <c r="V39" s="29"/>
      <c r="W39" s="29" t="s">
        <v>1176</v>
      </c>
      <c r="X39" s="29"/>
      <c r="Y39" s="29"/>
      <c r="Z39" s="29"/>
      <c r="AA39" s="29"/>
      <c r="AB39" s="29"/>
      <c r="AC39" s="29"/>
      <c r="AD39" s="29"/>
      <c r="AE39" s="29"/>
    </row>
    <row r="40" customFormat="false" ht="74.25" hidden="false" customHeight="true" outlineLevel="0" collapsed="false">
      <c r="A40" s="29" t="str">
        <f aca="false">TAKVİM!$B$31</f>
        <v>28 Eylül - 02 Ekim</v>
      </c>
      <c r="B40" s="29"/>
      <c r="C40" s="29"/>
      <c r="D40" s="29" t="s">
        <v>1179</v>
      </c>
      <c r="E40" s="29"/>
      <c r="F40" s="29"/>
      <c r="G40" s="29"/>
      <c r="H40" s="29"/>
      <c r="I40" s="29"/>
      <c r="J40" s="29"/>
      <c r="K40" s="29"/>
      <c r="L40" s="29" t="s">
        <v>1180</v>
      </c>
      <c r="M40" s="29"/>
      <c r="N40" s="29"/>
      <c r="O40" s="29"/>
      <c r="P40" s="29"/>
      <c r="Q40" s="29"/>
      <c r="R40" s="29" t="s">
        <v>1116</v>
      </c>
      <c r="S40" s="29"/>
      <c r="T40" s="29"/>
      <c r="U40" s="29"/>
      <c r="V40" s="29"/>
      <c r="W40" s="29" t="s">
        <v>1176</v>
      </c>
      <c r="X40" s="29"/>
      <c r="Y40" s="29"/>
      <c r="Z40" s="29"/>
      <c r="AA40" s="29"/>
      <c r="AB40" s="29"/>
      <c r="AC40" s="29"/>
      <c r="AD40" s="29"/>
      <c r="AE40" s="29"/>
    </row>
    <row r="41" customFormat="false" ht="74.25" hidden="false" customHeight="true" outlineLevel="0" collapsed="false">
      <c r="A41" s="29" t="str">
        <f aca="false">TAKVİM!$B$32</f>
        <v>05-09 Ekim</v>
      </c>
      <c r="B41" s="29"/>
      <c r="C41" s="29"/>
      <c r="D41" s="29" t="s">
        <v>1179</v>
      </c>
      <c r="E41" s="29"/>
      <c r="F41" s="29"/>
      <c r="G41" s="29"/>
      <c r="H41" s="29"/>
      <c r="I41" s="29"/>
      <c r="J41" s="29"/>
      <c r="K41" s="29"/>
      <c r="L41" s="29" t="s">
        <v>1180</v>
      </c>
      <c r="M41" s="29"/>
      <c r="N41" s="29"/>
      <c r="O41" s="29"/>
      <c r="P41" s="29"/>
      <c r="Q41" s="29"/>
      <c r="R41" s="29" t="s">
        <v>1116</v>
      </c>
      <c r="S41" s="29"/>
      <c r="T41" s="29"/>
      <c r="U41" s="29"/>
      <c r="V41" s="29"/>
      <c r="W41" s="29" t="s">
        <v>1176</v>
      </c>
      <c r="X41" s="29"/>
      <c r="Y41" s="29"/>
      <c r="Z41" s="29"/>
      <c r="AA41" s="29"/>
      <c r="AB41" s="29"/>
      <c r="AC41" s="29"/>
      <c r="AD41" s="29"/>
      <c r="AE41" s="29"/>
    </row>
    <row r="42" customFormat="false" ht="74.25" hidden="false" customHeight="true" outlineLevel="0" collapsed="false">
      <c r="A42" s="29" t="str">
        <f aca="false">TAKVİM!$B$33</f>
        <v>12-16 Ekim</v>
      </c>
      <c r="B42" s="29"/>
      <c r="C42" s="29"/>
      <c r="D42" s="29" t="s">
        <v>1181</v>
      </c>
      <c r="E42" s="29"/>
      <c r="F42" s="29"/>
      <c r="G42" s="29"/>
      <c r="H42" s="29"/>
      <c r="I42" s="29"/>
      <c r="J42" s="29"/>
      <c r="K42" s="29"/>
      <c r="L42" s="29" t="s">
        <v>1182</v>
      </c>
      <c r="M42" s="29"/>
      <c r="N42" s="29"/>
      <c r="O42" s="29"/>
      <c r="P42" s="29"/>
      <c r="Q42" s="29"/>
      <c r="R42" s="29" t="s">
        <v>1116</v>
      </c>
      <c r="S42" s="29"/>
      <c r="T42" s="29"/>
      <c r="U42" s="29"/>
      <c r="V42" s="29"/>
      <c r="W42" s="29" t="s">
        <v>1176</v>
      </c>
      <c r="X42" s="29"/>
      <c r="Y42" s="29"/>
      <c r="Z42" s="29"/>
      <c r="AA42" s="29"/>
      <c r="AB42" s="29"/>
      <c r="AC42" s="29"/>
      <c r="AD42" s="29"/>
      <c r="AE42" s="29"/>
    </row>
    <row r="43" customFormat="false" ht="74.25" hidden="false" customHeight="true" outlineLevel="0" collapsed="false">
      <c r="A43" s="29" t="str">
        <f aca="false">TAKVİM!$B$34</f>
        <v>19-23 Ekim</v>
      </c>
      <c r="B43" s="29"/>
      <c r="C43" s="29"/>
      <c r="D43" s="29" t="s">
        <v>1181</v>
      </c>
      <c r="E43" s="29"/>
      <c r="F43" s="29"/>
      <c r="G43" s="29"/>
      <c r="H43" s="29"/>
      <c r="I43" s="29"/>
      <c r="J43" s="29"/>
      <c r="K43" s="29"/>
      <c r="L43" s="29" t="s">
        <v>1182</v>
      </c>
      <c r="M43" s="29"/>
      <c r="N43" s="29"/>
      <c r="O43" s="29"/>
      <c r="P43" s="29"/>
      <c r="Q43" s="29"/>
      <c r="R43" s="29" t="s">
        <v>1116</v>
      </c>
      <c r="S43" s="29"/>
      <c r="T43" s="29"/>
      <c r="U43" s="29"/>
      <c r="V43" s="29"/>
      <c r="W43" s="29" t="s">
        <v>1176</v>
      </c>
      <c r="X43" s="29"/>
      <c r="Y43" s="29"/>
      <c r="Z43" s="29"/>
      <c r="AA43" s="29"/>
      <c r="AB43" s="29"/>
      <c r="AC43" s="29"/>
      <c r="AD43" s="29"/>
      <c r="AE43" s="29"/>
    </row>
    <row r="44" customFormat="false" ht="74.25" hidden="false" customHeight="true" outlineLevel="0" collapsed="false">
      <c r="A44" s="29" t="str">
        <f aca="false">TAKVİM!$B$35</f>
        <v>26-30 Ekim</v>
      </c>
      <c r="B44" s="29"/>
      <c r="C44" s="29"/>
      <c r="D44" s="29" t="s">
        <v>1183</v>
      </c>
      <c r="E44" s="29"/>
      <c r="F44" s="29"/>
      <c r="G44" s="29"/>
      <c r="H44" s="29"/>
      <c r="I44" s="29"/>
      <c r="J44" s="29"/>
      <c r="K44" s="29"/>
      <c r="L44" s="29" t="s">
        <v>1184</v>
      </c>
      <c r="M44" s="29"/>
      <c r="N44" s="29"/>
      <c r="O44" s="29"/>
      <c r="P44" s="29"/>
      <c r="Q44" s="29"/>
      <c r="R44" s="29" t="s">
        <v>1116</v>
      </c>
      <c r="S44" s="29"/>
      <c r="T44" s="29"/>
      <c r="U44" s="29"/>
      <c r="V44" s="29"/>
      <c r="W44" s="29" t="s">
        <v>1176</v>
      </c>
      <c r="X44" s="29"/>
      <c r="Y44" s="29"/>
      <c r="Z44" s="29"/>
      <c r="AA44" s="29"/>
      <c r="AB44" s="29"/>
      <c r="AC44" s="29"/>
      <c r="AD44" s="29"/>
      <c r="AE44" s="29"/>
    </row>
    <row r="45" customFormat="false" ht="74.25" hidden="false" customHeight="true" outlineLevel="0" collapsed="false">
      <c r="A45" s="29" t="str">
        <f aca="false">TAKVİM!$B$36</f>
        <v>02-06 Kasım</v>
      </c>
      <c r="B45" s="29"/>
      <c r="C45" s="29"/>
      <c r="D45" s="29" t="s">
        <v>1185</v>
      </c>
      <c r="E45" s="29"/>
      <c r="F45" s="29"/>
      <c r="G45" s="29"/>
      <c r="H45" s="29"/>
      <c r="I45" s="29"/>
      <c r="J45" s="29"/>
      <c r="K45" s="29"/>
      <c r="L45" s="29" t="s">
        <v>1186</v>
      </c>
      <c r="M45" s="29"/>
      <c r="N45" s="29"/>
      <c r="O45" s="29"/>
      <c r="P45" s="29"/>
      <c r="Q45" s="29"/>
      <c r="R45" s="29" t="s">
        <v>1116</v>
      </c>
      <c r="S45" s="29"/>
      <c r="T45" s="29"/>
      <c r="U45" s="29"/>
      <c r="V45" s="29"/>
      <c r="W45" s="29" t="s">
        <v>1176</v>
      </c>
      <c r="X45" s="29"/>
      <c r="Y45" s="29"/>
      <c r="Z45" s="29"/>
      <c r="AA45" s="29"/>
      <c r="AB45" s="29"/>
      <c r="AC45" s="29"/>
      <c r="AD45" s="29"/>
      <c r="AE45" s="29"/>
    </row>
    <row r="46" customFormat="false" ht="74.25" hidden="false" customHeight="true" outlineLevel="0" collapsed="false">
      <c r="A46" s="29" t="str">
        <f aca="false">TAKVİM!$B$37</f>
        <v>09-13 Kasım</v>
      </c>
      <c r="B46" s="29"/>
      <c r="C46" s="29"/>
      <c r="D46" s="29" t="s">
        <v>1187</v>
      </c>
      <c r="E46" s="29"/>
      <c r="F46" s="29"/>
      <c r="G46" s="29"/>
      <c r="H46" s="29"/>
      <c r="I46" s="29"/>
      <c r="J46" s="29"/>
      <c r="K46" s="29"/>
      <c r="L46" s="29" t="s">
        <v>1186</v>
      </c>
      <c r="M46" s="29"/>
      <c r="N46" s="29"/>
      <c r="O46" s="29"/>
      <c r="P46" s="29"/>
      <c r="Q46" s="29"/>
      <c r="R46" s="29" t="s">
        <v>1116</v>
      </c>
      <c r="S46" s="29"/>
      <c r="T46" s="29"/>
      <c r="U46" s="29"/>
      <c r="V46" s="29"/>
      <c r="W46" s="29" t="s">
        <v>1176</v>
      </c>
      <c r="X46" s="29"/>
      <c r="Y46" s="29"/>
      <c r="Z46" s="29"/>
      <c r="AA46" s="29"/>
      <c r="AB46" s="29"/>
      <c r="AC46" s="29"/>
      <c r="AD46" s="29"/>
      <c r="AE46" s="29"/>
    </row>
    <row r="47" customFormat="false" ht="15" hidden="false" customHeight="true" outlineLevel="0" collapsed="false">
      <c r="A47" s="30" t="str">
        <f aca="false">TAKVİM!$B$38</f>
        <v>16-20 Kasım</v>
      </c>
      <c r="B47" s="30"/>
      <c r="C47" s="30"/>
      <c r="D47" s="30" t="str">
        <f aca="false">TAKVİM!$D$38</f>
        <v>1.DÖNEM ARA TATİL</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ustomFormat="false" ht="74.25" hidden="false" customHeight="true" outlineLevel="0" collapsed="false">
      <c r="A48" s="29" t="str">
        <f aca="false">TAKVİM!$B$39</f>
        <v>23-27 Kasım</v>
      </c>
      <c r="B48" s="29"/>
      <c r="C48" s="29"/>
      <c r="D48" s="29" t="s">
        <v>1188</v>
      </c>
      <c r="E48" s="29"/>
      <c r="F48" s="29"/>
      <c r="G48" s="29"/>
      <c r="H48" s="29"/>
      <c r="I48" s="29"/>
      <c r="J48" s="29"/>
      <c r="K48" s="29"/>
      <c r="L48" s="29" t="s">
        <v>1189</v>
      </c>
      <c r="M48" s="29"/>
      <c r="N48" s="29"/>
      <c r="O48" s="29"/>
      <c r="P48" s="29"/>
      <c r="Q48" s="29"/>
      <c r="R48" s="29" t="s">
        <v>1116</v>
      </c>
      <c r="S48" s="29"/>
      <c r="T48" s="29"/>
      <c r="U48" s="29"/>
      <c r="V48" s="29"/>
      <c r="W48" s="29" t="s">
        <v>1176</v>
      </c>
      <c r="X48" s="29"/>
      <c r="Y48" s="29"/>
      <c r="Z48" s="29"/>
      <c r="AA48" s="29"/>
      <c r="AB48" s="29"/>
      <c r="AC48" s="29"/>
      <c r="AD48" s="29"/>
      <c r="AE48" s="29"/>
    </row>
    <row r="49" customFormat="false" ht="74.25" hidden="false" customHeight="true" outlineLevel="0" collapsed="false">
      <c r="A49" s="29" t="str">
        <f aca="false">TAKVİM!$B$40</f>
        <v>30 Kasım - 04 Aralık</v>
      </c>
      <c r="B49" s="29"/>
      <c r="C49" s="29"/>
      <c r="D49" s="29" t="s">
        <v>1190</v>
      </c>
      <c r="E49" s="29"/>
      <c r="F49" s="29"/>
      <c r="G49" s="29"/>
      <c r="H49" s="29"/>
      <c r="I49" s="29"/>
      <c r="J49" s="29"/>
      <c r="K49" s="29"/>
      <c r="L49" s="29" t="s">
        <v>1191</v>
      </c>
      <c r="M49" s="29"/>
      <c r="N49" s="29"/>
      <c r="O49" s="29"/>
      <c r="P49" s="29"/>
      <c r="Q49" s="29"/>
      <c r="R49" s="29" t="s">
        <v>1116</v>
      </c>
      <c r="S49" s="29"/>
      <c r="T49" s="29"/>
      <c r="U49" s="29"/>
      <c r="V49" s="29"/>
      <c r="W49" s="29" t="s">
        <v>1176</v>
      </c>
      <c r="X49" s="29"/>
      <c r="Y49" s="29"/>
      <c r="Z49" s="29"/>
      <c r="AA49" s="29"/>
      <c r="AB49" s="29"/>
      <c r="AC49" s="29"/>
      <c r="AD49" s="29"/>
      <c r="AE49" s="29"/>
    </row>
    <row r="50" customFormat="false" ht="74.25" hidden="false" customHeight="true" outlineLevel="0" collapsed="false">
      <c r="A50" s="29" t="str">
        <f aca="false">TAKVİM!$B$41</f>
        <v>07-11 Aralık</v>
      </c>
      <c r="B50" s="29"/>
      <c r="C50" s="29"/>
      <c r="D50" s="29" t="s">
        <v>1192</v>
      </c>
      <c r="E50" s="29"/>
      <c r="F50" s="29"/>
      <c r="G50" s="29"/>
      <c r="H50" s="29"/>
      <c r="I50" s="29"/>
      <c r="J50" s="29"/>
      <c r="K50" s="29"/>
      <c r="L50" s="29" t="s">
        <v>1193</v>
      </c>
      <c r="M50" s="29"/>
      <c r="N50" s="29"/>
      <c r="O50" s="29"/>
      <c r="P50" s="29"/>
      <c r="Q50" s="29"/>
      <c r="R50" s="29" t="s">
        <v>1116</v>
      </c>
      <c r="S50" s="29"/>
      <c r="T50" s="29"/>
      <c r="U50" s="29"/>
      <c r="V50" s="29"/>
      <c r="W50" s="29" t="s">
        <v>1176</v>
      </c>
      <c r="X50" s="29"/>
      <c r="Y50" s="29"/>
      <c r="Z50" s="29"/>
      <c r="AA50" s="29"/>
      <c r="AB50" s="29"/>
      <c r="AC50" s="29"/>
      <c r="AD50" s="29"/>
      <c r="AE50" s="29"/>
    </row>
    <row r="51" customFormat="false" ht="74.25" hidden="false" customHeight="true" outlineLevel="0" collapsed="false">
      <c r="A51" s="29" t="str">
        <f aca="false">TAKVİM!$B$42</f>
        <v>14-18 Aralık</v>
      </c>
      <c r="B51" s="29"/>
      <c r="C51" s="29"/>
      <c r="D51" s="29" t="s">
        <v>1194</v>
      </c>
      <c r="E51" s="29"/>
      <c r="F51" s="29"/>
      <c r="G51" s="29"/>
      <c r="H51" s="29"/>
      <c r="I51" s="29"/>
      <c r="J51" s="29"/>
      <c r="K51" s="29"/>
      <c r="L51" s="29" t="s">
        <v>1193</v>
      </c>
      <c r="M51" s="29"/>
      <c r="N51" s="29"/>
      <c r="O51" s="29"/>
      <c r="P51" s="29"/>
      <c r="Q51" s="29"/>
      <c r="R51" s="29" t="s">
        <v>1116</v>
      </c>
      <c r="S51" s="29"/>
      <c r="T51" s="29"/>
      <c r="U51" s="29"/>
      <c r="V51" s="29"/>
      <c r="W51" s="29" t="s">
        <v>1176</v>
      </c>
      <c r="X51" s="29"/>
      <c r="Y51" s="29"/>
      <c r="Z51" s="29"/>
      <c r="AA51" s="29"/>
      <c r="AB51" s="29"/>
      <c r="AC51" s="29"/>
      <c r="AD51" s="29"/>
      <c r="AE51" s="29"/>
    </row>
    <row r="52" customFormat="false" ht="74.25" hidden="false" customHeight="true" outlineLevel="0" collapsed="false">
      <c r="A52" s="29" t="str">
        <f aca="false">TAKVİM!$B$43</f>
        <v>21-25 Aralık</v>
      </c>
      <c r="B52" s="29"/>
      <c r="C52" s="29"/>
      <c r="D52" s="29" t="s">
        <v>1195</v>
      </c>
      <c r="E52" s="29"/>
      <c r="F52" s="29"/>
      <c r="G52" s="29"/>
      <c r="H52" s="29"/>
      <c r="I52" s="29"/>
      <c r="J52" s="29"/>
      <c r="K52" s="29"/>
      <c r="L52" s="29" t="s">
        <v>1196</v>
      </c>
      <c r="M52" s="29"/>
      <c r="N52" s="29"/>
      <c r="O52" s="29"/>
      <c r="P52" s="29"/>
      <c r="Q52" s="29"/>
      <c r="R52" s="29" t="s">
        <v>1116</v>
      </c>
      <c r="S52" s="29"/>
      <c r="T52" s="29"/>
      <c r="U52" s="29"/>
      <c r="V52" s="29"/>
      <c r="W52" s="29" t="s">
        <v>1176</v>
      </c>
      <c r="X52" s="29"/>
      <c r="Y52" s="29"/>
      <c r="Z52" s="29"/>
      <c r="AA52" s="29"/>
      <c r="AB52" s="29"/>
      <c r="AC52" s="29"/>
      <c r="AD52" s="29"/>
      <c r="AE52" s="29"/>
    </row>
    <row r="53" customFormat="false" ht="74.25" hidden="false" customHeight="true" outlineLevel="0" collapsed="false">
      <c r="A53" s="29" t="str">
        <f aca="false">TAKVİM!$B$44</f>
        <v>28 Aralık - 01 Ocak</v>
      </c>
      <c r="B53" s="29"/>
      <c r="C53" s="29"/>
      <c r="D53" s="29" t="s">
        <v>1197</v>
      </c>
      <c r="E53" s="29"/>
      <c r="F53" s="29"/>
      <c r="G53" s="29"/>
      <c r="H53" s="29"/>
      <c r="I53" s="29"/>
      <c r="J53" s="29"/>
      <c r="K53" s="29"/>
      <c r="L53" s="29" t="s">
        <v>1198</v>
      </c>
      <c r="M53" s="29"/>
      <c r="N53" s="29"/>
      <c r="O53" s="29"/>
      <c r="P53" s="29"/>
      <c r="Q53" s="29"/>
      <c r="R53" s="29" t="s">
        <v>1116</v>
      </c>
      <c r="S53" s="29"/>
      <c r="T53" s="29"/>
      <c r="U53" s="29"/>
      <c r="V53" s="29"/>
      <c r="W53" s="29" t="s">
        <v>1176</v>
      </c>
      <c r="X53" s="29"/>
      <c r="Y53" s="29"/>
      <c r="Z53" s="29"/>
      <c r="AA53" s="29"/>
      <c r="AB53" s="29"/>
      <c r="AC53" s="29"/>
      <c r="AD53" s="29"/>
      <c r="AE53" s="29"/>
    </row>
    <row r="54" customFormat="false" ht="74.25" hidden="false" customHeight="true" outlineLevel="0" collapsed="false">
      <c r="A54" s="29" t="str">
        <f aca="false">TAKVİM!$B$45</f>
        <v>04-08 Ocak</v>
      </c>
      <c r="B54" s="29"/>
      <c r="C54" s="29"/>
      <c r="D54" s="29" t="s">
        <v>1199</v>
      </c>
      <c r="E54" s="29"/>
      <c r="F54" s="29"/>
      <c r="G54" s="29"/>
      <c r="H54" s="29"/>
      <c r="I54" s="29"/>
      <c r="J54" s="29"/>
      <c r="K54" s="29"/>
      <c r="L54" s="29" t="s">
        <v>1200</v>
      </c>
      <c r="M54" s="29"/>
      <c r="N54" s="29"/>
      <c r="O54" s="29"/>
      <c r="P54" s="29"/>
      <c r="Q54" s="29"/>
      <c r="R54" s="29" t="s">
        <v>1116</v>
      </c>
      <c r="S54" s="29"/>
      <c r="T54" s="29"/>
      <c r="U54" s="29"/>
      <c r="V54" s="29"/>
      <c r="W54" s="29" t="s">
        <v>1176</v>
      </c>
      <c r="X54" s="29"/>
      <c r="Y54" s="29"/>
      <c r="Z54" s="29"/>
      <c r="AA54" s="29"/>
      <c r="AB54" s="29"/>
      <c r="AC54" s="29"/>
      <c r="AD54" s="29"/>
      <c r="AE54" s="29"/>
    </row>
    <row r="55" customFormat="false" ht="74.25" hidden="false" customHeight="true" outlineLevel="0" collapsed="false">
      <c r="A55" s="29" t="str">
        <f aca="false">TAKVİM!$B$46</f>
        <v>11-15 Ocak</v>
      </c>
      <c r="B55" s="29"/>
      <c r="C55" s="29"/>
      <c r="D55" s="29" t="s">
        <v>1201</v>
      </c>
      <c r="E55" s="29"/>
      <c r="F55" s="29"/>
      <c r="G55" s="29"/>
      <c r="H55" s="29"/>
      <c r="I55" s="29"/>
      <c r="J55" s="29"/>
      <c r="K55" s="29"/>
      <c r="L55" s="29" t="s">
        <v>1202</v>
      </c>
      <c r="M55" s="29"/>
      <c r="N55" s="29"/>
      <c r="O55" s="29"/>
      <c r="P55" s="29"/>
      <c r="Q55" s="29"/>
      <c r="R55" s="29" t="s">
        <v>1116</v>
      </c>
      <c r="S55" s="29"/>
      <c r="T55" s="29"/>
      <c r="U55" s="29"/>
      <c r="V55" s="29"/>
      <c r="W55" s="29" t="s">
        <v>1176</v>
      </c>
      <c r="X55" s="29"/>
      <c r="Y55" s="29"/>
      <c r="Z55" s="29"/>
      <c r="AA55" s="29"/>
      <c r="AB55" s="29"/>
      <c r="AC55" s="29"/>
      <c r="AD55" s="29"/>
      <c r="AE55" s="29"/>
    </row>
    <row r="56" customFormat="false" ht="74.25" hidden="false" customHeight="true" outlineLevel="0" collapsed="false">
      <c r="A56" s="29" t="str">
        <f aca="false">TAKVİM!$B$47</f>
        <v>18-22 Ocak</v>
      </c>
      <c r="B56" s="29"/>
      <c r="C56" s="29"/>
      <c r="D56" s="29" t="s">
        <v>1203</v>
      </c>
      <c r="E56" s="29"/>
      <c r="F56" s="29"/>
      <c r="G56" s="29"/>
      <c r="H56" s="29"/>
      <c r="I56" s="29"/>
      <c r="J56" s="29"/>
      <c r="K56" s="29"/>
      <c r="L56" s="29" t="s">
        <v>1204</v>
      </c>
      <c r="M56" s="29"/>
      <c r="N56" s="29"/>
      <c r="O56" s="29"/>
      <c r="P56" s="29"/>
      <c r="Q56" s="29"/>
      <c r="R56" s="29" t="s">
        <v>1116</v>
      </c>
      <c r="S56" s="29"/>
      <c r="T56" s="29"/>
      <c r="U56" s="29"/>
      <c r="V56" s="29"/>
      <c r="W56" s="29" t="s">
        <v>1176</v>
      </c>
      <c r="X56" s="29"/>
      <c r="Y56" s="29"/>
      <c r="Z56" s="29"/>
      <c r="AA56" s="29"/>
      <c r="AB56" s="29"/>
      <c r="AC56" s="29"/>
      <c r="AD56" s="29"/>
      <c r="AE56" s="29"/>
    </row>
    <row r="57" customFormat="false" ht="15" hidden="false" customHeight="true" outlineLevel="0" collapsed="false">
      <c r="A57" s="30" t="str">
        <f aca="false">TAKVİM!$B$48</f>
        <v>25-29 Ocak</v>
      </c>
      <c r="B57" s="30"/>
      <c r="C57" s="30"/>
      <c r="D57" s="30" t="str">
        <f aca="false">TAKVİM!$D$48</f>
        <v>YARI YIL TATİLİ</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ustomFormat="false" ht="74.25" hidden="false" customHeight="true" outlineLevel="0" collapsed="false">
      <c r="A58" s="29" t="str">
        <f aca="false">TAKVİM!$B$49</f>
        <v>08-12 Şubat</v>
      </c>
      <c r="B58" s="29"/>
      <c r="C58" s="29"/>
      <c r="D58" s="29" t="s">
        <v>1205</v>
      </c>
      <c r="E58" s="29"/>
      <c r="F58" s="29"/>
      <c r="G58" s="29"/>
      <c r="H58" s="29"/>
      <c r="I58" s="29"/>
      <c r="J58" s="29"/>
      <c r="K58" s="29"/>
      <c r="L58" s="29" t="s">
        <v>1206</v>
      </c>
      <c r="M58" s="29"/>
      <c r="N58" s="29"/>
      <c r="O58" s="29"/>
      <c r="P58" s="29"/>
      <c r="Q58" s="29"/>
      <c r="R58" s="29" t="s">
        <v>1116</v>
      </c>
      <c r="S58" s="29"/>
      <c r="T58" s="29"/>
      <c r="U58" s="29"/>
      <c r="V58" s="29"/>
      <c r="W58" s="29" t="s">
        <v>1176</v>
      </c>
      <c r="X58" s="29"/>
      <c r="Y58" s="29"/>
      <c r="Z58" s="29"/>
      <c r="AA58" s="29"/>
      <c r="AB58" s="29"/>
      <c r="AC58" s="29"/>
      <c r="AD58" s="29"/>
      <c r="AE58" s="29"/>
    </row>
    <row r="59" customFormat="false" ht="74.25" hidden="false" customHeight="true" outlineLevel="0" collapsed="false">
      <c r="A59" s="29" t="str">
        <f aca="false">TAKVİM!$B$50</f>
        <v>15-19 Şubat</v>
      </c>
      <c r="B59" s="29"/>
      <c r="C59" s="29"/>
      <c r="D59" s="29" t="s">
        <v>1207</v>
      </c>
      <c r="E59" s="29"/>
      <c r="F59" s="29"/>
      <c r="G59" s="29"/>
      <c r="H59" s="29"/>
      <c r="I59" s="29"/>
      <c r="J59" s="29"/>
      <c r="K59" s="29"/>
      <c r="L59" s="29" t="s">
        <v>1208</v>
      </c>
      <c r="M59" s="29"/>
      <c r="N59" s="29"/>
      <c r="O59" s="29"/>
      <c r="P59" s="29"/>
      <c r="Q59" s="29"/>
      <c r="R59" s="29" t="s">
        <v>1116</v>
      </c>
      <c r="S59" s="29"/>
      <c r="T59" s="29"/>
      <c r="U59" s="29"/>
      <c r="V59" s="29"/>
      <c r="W59" s="29" t="s">
        <v>1176</v>
      </c>
      <c r="X59" s="29"/>
      <c r="Y59" s="29"/>
      <c r="Z59" s="29"/>
      <c r="AA59" s="29"/>
      <c r="AB59" s="29"/>
      <c r="AC59" s="29"/>
      <c r="AD59" s="29"/>
      <c r="AE59" s="29"/>
    </row>
    <row r="60" customFormat="false" ht="74.25" hidden="false" customHeight="true" outlineLevel="0" collapsed="false">
      <c r="A60" s="29" t="str">
        <f aca="false">TAKVİM!$B$51</f>
        <v>22-26 Şubat</v>
      </c>
      <c r="B60" s="29"/>
      <c r="C60" s="29"/>
      <c r="D60" s="29" t="s">
        <v>1209</v>
      </c>
      <c r="E60" s="29"/>
      <c r="F60" s="29"/>
      <c r="G60" s="29"/>
      <c r="H60" s="29"/>
      <c r="I60" s="29"/>
      <c r="J60" s="29"/>
      <c r="K60" s="29"/>
      <c r="L60" s="29" t="s">
        <v>1210</v>
      </c>
      <c r="M60" s="29"/>
      <c r="N60" s="29"/>
      <c r="O60" s="29"/>
      <c r="P60" s="29"/>
      <c r="Q60" s="29"/>
      <c r="R60" s="29" t="s">
        <v>1116</v>
      </c>
      <c r="S60" s="29"/>
      <c r="T60" s="29"/>
      <c r="U60" s="29"/>
      <c r="V60" s="29"/>
      <c r="W60" s="29" t="s">
        <v>1176</v>
      </c>
      <c r="X60" s="29"/>
      <c r="Y60" s="29"/>
      <c r="Z60" s="29"/>
      <c r="AA60" s="29"/>
      <c r="AB60" s="29"/>
      <c r="AC60" s="29"/>
      <c r="AD60" s="29"/>
      <c r="AE60" s="29"/>
    </row>
    <row r="61" customFormat="false" ht="74.25" hidden="false" customHeight="true" outlineLevel="0" collapsed="false">
      <c r="A61" s="29" t="str">
        <f aca="false">TAKVİM!$B$52</f>
        <v>01-05 Mart</v>
      </c>
      <c r="B61" s="29"/>
      <c r="C61" s="29"/>
      <c r="D61" s="29" t="s">
        <v>1209</v>
      </c>
      <c r="E61" s="29"/>
      <c r="F61" s="29"/>
      <c r="G61" s="29"/>
      <c r="H61" s="29"/>
      <c r="I61" s="29"/>
      <c r="J61" s="29"/>
      <c r="K61" s="29"/>
      <c r="L61" s="29" t="s">
        <v>1210</v>
      </c>
      <c r="M61" s="29"/>
      <c r="N61" s="29"/>
      <c r="O61" s="29"/>
      <c r="P61" s="29"/>
      <c r="Q61" s="29"/>
      <c r="R61" s="29" t="s">
        <v>1116</v>
      </c>
      <c r="S61" s="29"/>
      <c r="T61" s="29"/>
      <c r="U61" s="29"/>
      <c r="V61" s="29"/>
      <c r="W61" s="29" t="s">
        <v>1176</v>
      </c>
      <c r="X61" s="29"/>
      <c r="Y61" s="29"/>
      <c r="Z61" s="29"/>
      <c r="AA61" s="29"/>
      <c r="AB61" s="29"/>
      <c r="AC61" s="29"/>
      <c r="AD61" s="29"/>
      <c r="AE61" s="29"/>
    </row>
    <row r="62" customFormat="false" ht="15" hidden="false" customHeight="true" outlineLevel="0" collapsed="false">
      <c r="A62" s="30" t="str">
        <f aca="false">TAKVİM!$B$53</f>
        <v>08-12 Mart</v>
      </c>
      <c r="B62" s="30"/>
      <c r="C62" s="30"/>
      <c r="D62" s="30" t="str">
        <f aca="false">TAKVİM!$D$53</f>
        <v>2. DÖNEM ARA TATİL</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ustomFormat="false" ht="74.25" hidden="false" customHeight="true" outlineLevel="0" collapsed="false">
      <c r="A63" s="29" t="str">
        <f aca="false">TAKVİM!$B$54</f>
        <v>15-19 Mart</v>
      </c>
      <c r="B63" s="29"/>
      <c r="C63" s="29"/>
      <c r="D63" s="29" t="s">
        <v>1211</v>
      </c>
      <c r="E63" s="29"/>
      <c r="F63" s="29"/>
      <c r="G63" s="29"/>
      <c r="H63" s="29"/>
      <c r="I63" s="29"/>
      <c r="J63" s="29"/>
      <c r="K63" s="29"/>
      <c r="L63" s="29" t="s">
        <v>1212</v>
      </c>
      <c r="M63" s="29"/>
      <c r="N63" s="29"/>
      <c r="O63" s="29"/>
      <c r="P63" s="29"/>
      <c r="Q63" s="29"/>
      <c r="R63" s="29" t="s">
        <v>1116</v>
      </c>
      <c r="S63" s="29"/>
      <c r="T63" s="29"/>
      <c r="U63" s="29"/>
      <c r="V63" s="29"/>
      <c r="W63" s="29" t="s">
        <v>1176</v>
      </c>
      <c r="X63" s="29"/>
      <c r="Y63" s="29"/>
      <c r="Z63" s="29"/>
      <c r="AA63" s="29"/>
      <c r="AB63" s="29"/>
      <c r="AC63" s="29"/>
      <c r="AD63" s="29"/>
      <c r="AE63" s="29"/>
    </row>
    <row r="64" customFormat="false" ht="74.25" hidden="false" customHeight="true" outlineLevel="0" collapsed="false">
      <c r="A64" s="29" t="str">
        <f aca="false">TAKVİM!$B$55</f>
        <v>22-26 Mart</v>
      </c>
      <c r="B64" s="29"/>
      <c r="C64" s="29"/>
      <c r="D64" s="29" t="s">
        <v>1211</v>
      </c>
      <c r="E64" s="29"/>
      <c r="F64" s="29"/>
      <c r="G64" s="29"/>
      <c r="H64" s="29"/>
      <c r="I64" s="29"/>
      <c r="J64" s="29"/>
      <c r="K64" s="29"/>
      <c r="L64" s="29" t="s">
        <v>1212</v>
      </c>
      <c r="M64" s="29"/>
      <c r="N64" s="29"/>
      <c r="O64" s="29"/>
      <c r="P64" s="29"/>
      <c r="Q64" s="29"/>
      <c r="R64" s="29" t="s">
        <v>1116</v>
      </c>
      <c r="S64" s="29"/>
      <c r="T64" s="29"/>
      <c r="U64" s="29"/>
      <c r="V64" s="29"/>
      <c r="W64" s="29" t="s">
        <v>1176</v>
      </c>
      <c r="X64" s="29"/>
      <c r="Y64" s="29"/>
      <c r="Z64" s="29"/>
      <c r="AA64" s="29"/>
      <c r="AB64" s="29"/>
      <c r="AC64" s="29"/>
      <c r="AD64" s="29"/>
      <c r="AE64" s="29"/>
    </row>
    <row r="65" customFormat="false" ht="74.25" hidden="false" customHeight="true" outlineLevel="0" collapsed="false">
      <c r="A65" s="29" t="str">
        <f aca="false">TAKVİM!$B$56</f>
        <v>29 Mart - 02 Nisan</v>
      </c>
      <c r="B65" s="29"/>
      <c r="C65" s="29"/>
      <c r="D65" s="29" t="s">
        <v>1213</v>
      </c>
      <c r="E65" s="29"/>
      <c r="F65" s="29"/>
      <c r="G65" s="29"/>
      <c r="H65" s="29"/>
      <c r="I65" s="29"/>
      <c r="J65" s="29"/>
      <c r="K65" s="29"/>
      <c r="L65" s="29" t="s">
        <v>1214</v>
      </c>
      <c r="M65" s="29"/>
      <c r="N65" s="29"/>
      <c r="O65" s="29"/>
      <c r="P65" s="29"/>
      <c r="Q65" s="29"/>
      <c r="R65" s="29" t="s">
        <v>1116</v>
      </c>
      <c r="S65" s="29"/>
      <c r="T65" s="29"/>
      <c r="U65" s="29"/>
      <c r="V65" s="29"/>
      <c r="W65" s="29" t="s">
        <v>1176</v>
      </c>
      <c r="X65" s="29"/>
      <c r="Y65" s="29"/>
      <c r="Z65" s="29"/>
      <c r="AA65" s="29"/>
      <c r="AB65" s="29"/>
      <c r="AC65" s="29"/>
      <c r="AD65" s="29"/>
      <c r="AE65" s="29"/>
    </row>
    <row r="66" customFormat="false" ht="74.25" hidden="false" customHeight="true" outlineLevel="0" collapsed="false">
      <c r="A66" s="29" t="str">
        <f aca="false">TAKVİM!$B$57</f>
        <v>05-09 Nisan</v>
      </c>
      <c r="B66" s="29"/>
      <c r="C66" s="29"/>
      <c r="D66" s="29" t="s">
        <v>1215</v>
      </c>
      <c r="E66" s="29"/>
      <c r="F66" s="29"/>
      <c r="G66" s="29"/>
      <c r="H66" s="29"/>
      <c r="I66" s="29"/>
      <c r="J66" s="29"/>
      <c r="K66" s="29"/>
      <c r="L66" s="29" t="s">
        <v>1214</v>
      </c>
      <c r="M66" s="29"/>
      <c r="N66" s="29"/>
      <c r="O66" s="29"/>
      <c r="P66" s="29"/>
      <c r="Q66" s="29"/>
      <c r="R66" s="29" t="s">
        <v>1116</v>
      </c>
      <c r="S66" s="29"/>
      <c r="T66" s="29"/>
      <c r="U66" s="29"/>
      <c r="V66" s="29"/>
      <c r="W66" s="29" t="s">
        <v>1176</v>
      </c>
      <c r="X66" s="29"/>
      <c r="Y66" s="29"/>
      <c r="Z66" s="29"/>
      <c r="AA66" s="29"/>
      <c r="AB66" s="29"/>
      <c r="AC66" s="29"/>
      <c r="AD66" s="29"/>
      <c r="AE66" s="29"/>
    </row>
    <row r="67" customFormat="false" ht="74.25" hidden="false" customHeight="true" outlineLevel="0" collapsed="false">
      <c r="A67" s="29" t="str">
        <f aca="false">TAKVİM!$B$58</f>
        <v>12-16 Nisan</v>
      </c>
      <c r="B67" s="29"/>
      <c r="C67" s="29"/>
      <c r="D67" s="29" t="s">
        <v>1216</v>
      </c>
      <c r="E67" s="29"/>
      <c r="F67" s="29"/>
      <c r="G67" s="29"/>
      <c r="H67" s="29"/>
      <c r="I67" s="29"/>
      <c r="J67" s="29"/>
      <c r="K67" s="29"/>
      <c r="L67" s="29" t="s">
        <v>1217</v>
      </c>
      <c r="M67" s="29"/>
      <c r="N67" s="29"/>
      <c r="O67" s="29"/>
      <c r="P67" s="29"/>
      <c r="Q67" s="29"/>
      <c r="R67" s="29" t="s">
        <v>1116</v>
      </c>
      <c r="S67" s="29"/>
      <c r="T67" s="29"/>
      <c r="U67" s="29"/>
      <c r="V67" s="29"/>
      <c r="W67" s="29" t="s">
        <v>1176</v>
      </c>
      <c r="X67" s="29"/>
      <c r="Y67" s="29"/>
      <c r="Z67" s="29"/>
      <c r="AA67" s="29"/>
      <c r="AB67" s="29"/>
      <c r="AC67" s="29"/>
      <c r="AD67" s="29"/>
      <c r="AE67" s="29"/>
    </row>
    <row r="68" customFormat="false" ht="74.25" hidden="false" customHeight="true" outlineLevel="0" collapsed="false">
      <c r="A68" s="29" t="str">
        <f aca="false">TAKVİM!$B$59</f>
        <v>19-23 Nisan</v>
      </c>
      <c r="B68" s="29"/>
      <c r="C68" s="29"/>
      <c r="D68" s="29" t="s">
        <v>1218</v>
      </c>
      <c r="E68" s="29"/>
      <c r="F68" s="29"/>
      <c r="G68" s="29"/>
      <c r="H68" s="29"/>
      <c r="I68" s="29"/>
      <c r="J68" s="29"/>
      <c r="K68" s="29"/>
      <c r="L68" s="29" t="s">
        <v>1217</v>
      </c>
      <c r="M68" s="29"/>
      <c r="N68" s="29"/>
      <c r="O68" s="29"/>
      <c r="P68" s="29"/>
      <c r="Q68" s="29"/>
      <c r="R68" s="29" t="s">
        <v>1116</v>
      </c>
      <c r="S68" s="29"/>
      <c r="T68" s="29"/>
      <c r="U68" s="29"/>
      <c r="V68" s="29"/>
      <c r="W68" s="29" t="s">
        <v>1176</v>
      </c>
      <c r="X68" s="29"/>
      <c r="Y68" s="29"/>
      <c r="Z68" s="29"/>
      <c r="AA68" s="29"/>
      <c r="AB68" s="29"/>
      <c r="AC68" s="29"/>
      <c r="AD68" s="29"/>
      <c r="AE68" s="29"/>
    </row>
    <row r="69" customFormat="false" ht="74.25" hidden="false" customHeight="true" outlineLevel="0" collapsed="false">
      <c r="A69" s="29" t="str">
        <f aca="false">TAKVİM!$B$60</f>
        <v>26-30 Nisan</v>
      </c>
      <c r="B69" s="29"/>
      <c r="C69" s="29"/>
      <c r="D69" s="29" t="s">
        <v>1219</v>
      </c>
      <c r="E69" s="29"/>
      <c r="F69" s="29"/>
      <c r="G69" s="29"/>
      <c r="H69" s="29"/>
      <c r="I69" s="29"/>
      <c r="J69" s="29"/>
      <c r="K69" s="29"/>
      <c r="L69" s="29" t="s">
        <v>1217</v>
      </c>
      <c r="M69" s="29"/>
      <c r="N69" s="29"/>
      <c r="O69" s="29"/>
      <c r="P69" s="29"/>
      <c r="Q69" s="29"/>
      <c r="R69" s="29" t="s">
        <v>1116</v>
      </c>
      <c r="S69" s="29"/>
      <c r="T69" s="29"/>
      <c r="U69" s="29"/>
      <c r="V69" s="29"/>
      <c r="W69" s="29" t="s">
        <v>1176</v>
      </c>
      <c r="X69" s="29"/>
      <c r="Y69" s="29"/>
      <c r="Z69" s="29"/>
      <c r="AA69" s="29"/>
      <c r="AB69" s="29"/>
      <c r="AC69" s="29"/>
      <c r="AD69" s="29"/>
      <c r="AE69" s="29"/>
    </row>
    <row r="70" customFormat="false" ht="74.25" hidden="false" customHeight="true" outlineLevel="0" collapsed="false">
      <c r="A70" s="29" t="str">
        <f aca="false">TAKVİM!$B$61</f>
        <v>03-07 Mayıs</v>
      </c>
      <c r="B70" s="29"/>
      <c r="C70" s="29"/>
      <c r="D70" s="29" t="s">
        <v>1219</v>
      </c>
      <c r="E70" s="29"/>
      <c r="F70" s="29"/>
      <c r="G70" s="29"/>
      <c r="H70" s="29"/>
      <c r="I70" s="29"/>
      <c r="J70" s="29"/>
      <c r="K70" s="29"/>
      <c r="L70" s="29" t="s">
        <v>1217</v>
      </c>
      <c r="M70" s="29"/>
      <c r="N70" s="29"/>
      <c r="O70" s="29"/>
      <c r="P70" s="29"/>
      <c r="Q70" s="29"/>
      <c r="R70" s="29" t="s">
        <v>1116</v>
      </c>
      <c r="S70" s="29"/>
      <c r="T70" s="29"/>
      <c r="U70" s="29"/>
      <c r="V70" s="29"/>
      <c r="W70" s="29" t="s">
        <v>1176</v>
      </c>
      <c r="X70" s="29"/>
      <c r="Y70" s="29"/>
      <c r="Z70" s="29"/>
      <c r="AA70" s="29"/>
      <c r="AB70" s="29"/>
      <c r="AC70" s="29"/>
      <c r="AD70" s="29"/>
      <c r="AE70" s="29"/>
    </row>
    <row r="71" customFormat="false" ht="74.25" hidden="false" customHeight="true" outlineLevel="0" collapsed="false">
      <c r="A71" s="29" t="str">
        <f aca="false">TAKVİM!$B$62</f>
        <v>10-14 Mayıs</v>
      </c>
      <c r="B71" s="29"/>
      <c r="C71" s="29"/>
      <c r="D71" s="29" t="s">
        <v>1220</v>
      </c>
      <c r="E71" s="29"/>
      <c r="F71" s="29"/>
      <c r="G71" s="29"/>
      <c r="H71" s="29"/>
      <c r="I71" s="29"/>
      <c r="J71" s="29"/>
      <c r="K71" s="29"/>
      <c r="L71" s="29" t="s">
        <v>1221</v>
      </c>
      <c r="M71" s="29"/>
      <c r="N71" s="29"/>
      <c r="O71" s="29"/>
      <c r="P71" s="29"/>
      <c r="Q71" s="29"/>
      <c r="R71" s="29" t="s">
        <v>1116</v>
      </c>
      <c r="S71" s="29"/>
      <c r="T71" s="29"/>
      <c r="U71" s="29"/>
      <c r="V71" s="29"/>
      <c r="W71" s="29" t="s">
        <v>1176</v>
      </c>
      <c r="X71" s="29"/>
      <c r="Y71" s="29"/>
      <c r="Z71" s="29"/>
      <c r="AA71" s="29"/>
      <c r="AB71" s="29"/>
      <c r="AC71" s="29"/>
      <c r="AD71" s="29"/>
      <c r="AE71" s="29"/>
    </row>
    <row r="72" customFormat="false" ht="74.25" hidden="false" customHeight="true" outlineLevel="0" collapsed="false">
      <c r="A72" s="29" t="str">
        <f aca="false">TAKVİM!$B$63</f>
        <v>17-21 Mayıs</v>
      </c>
      <c r="B72" s="29"/>
      <c r="C72" s="29"/>
      <c r="D72" s="29" t="s">
        <v>1222</v>
      </c>
      <c r="E72" s="29"/>
      <c r="F72" s="29"/>
      <c r="G72" s="29"/>
      <c r="H72" s="29"/>
      <c r="I72" s="29"/>
      <c r="J72" s="29"/>
      <c r="K72" s="29"/>
      <c r="L72" s="29" t="s">
        <v>1221</v>
      </c>
      <c r="M72" s="29"/>
      <c r="N72" s="29"/>
      <c r="O72" s="29"/>
      <c r="P72" s="29"/>
      <c r="Q72" s="29"/>
      <c r="R72" s="29" t="s">
        <v>1116</v>
      </c>
      <c r="S72" s="29"/>
      <c r="T72" s="29"/>
      <c r="U72" s="29"/>
      <c r="V72" s="29"/>
      <c r="W72" s="29" t="s">
        <v>1176</v>
      </c>
      <c r="X72" s="29"/>
      <c r="Y72" s="29"/>
      <c r="Z72" s="29"/>
      <c r="AA72" s="29"/>
      <c r="AB72" s="29"/>
      <c r="AC72" s="29"/>
      <c r="AD72" s="29"/>
      <c r="AE72" s="29"/>
    </row>
    <row r="73" customFormat="false" ht="74.25" hidden="false" customHeight="true" outlineLevel="0" collapsed="false">
      <c r="A73" s="29" t="str">
        <f aca="false">TAKVİM!$B$64</f>
        <v>24-28 Mayıs</v>
      </c>
      <c r="B73" s="29"/>
      <c r="C73" s="29"/>
      <c r="D73" s="29" t="s">
        <v>1223</v>
      </c>
      <c r="E73" s="29"/>
      <c r="F73" s="29"/>
      <c r="G73" s="29"/>
      <c r="H73" s="29"/>
      <c r="I73" s="29"/>
      <c r="J73" s="29"/>
      <c r="K73" s="29"/>
      <c r="L73" s="29" t="s">
        <v>1221</v>
      </c>
      <c r="M73" s="29"/>
      <c r="N73" s="29"/>
      <c r="O73" s="29"/>
      <c r="P73" s="29"/>
      <c r="Q73" s="29"/>
      <c r="R73" s="29" t="s">
        <v>1116</v>
      </c>
      <c r="S73" s="29"/>
      <c r="T73" s="29"/>
      <c r="U73" s="29"/>
      <c r="V73" s="29"/>
      <c r="W73" s="29" t="s">
        <v>1176</v>
      </c>
      <c r="X73" s="29"/>
      <c r="Y73" s="29"/>
      <c r="Z73" s="29"/>
      <c r="AA73" s="29"/>
      <c r="AB73" s="29"/>
      <c r="AC73" s="29"/>
      <c r="AD73" s="29"/>
      <c r="AE73" s="29"/>
    </row>
    <row r="74" customFormat="false" ht="74.25" hidden="false" customHeight="true" outlineLevel="0" collapsed="false">
      <c r="A74" s="29" t="str">
        <f aca="false">TAKVİM!$B$65</f>
        <v>31 Mayıs - 04 Haziran</v>
      </c>
      <c r="B74" s="29"/>
      <c r="C74" s="29"/>
      <c r="D74" s="29" t="s">
        <v>1222</v>
      </c>
      <c r="E74" s="29"/>
      <c r="F74" s="29"/>
      <c r="G74" s="29"/>
      <c r="H74" s="29"/>
      <c r="I74" s="29"/>
      <c r="J74" s="29"/>
      <c r="K74" s="29"/>
      <c r="L74" s="29" t="s">
        <v>1221</v>
      </c>
      <c r="M74" s="29"/>
      <c r="N74" s="29"/>
      <c r="O74" s="29"/>
      <c r="P74" s="29"/>
      <c r="Q74" s="29"/>
      <c r="R74" s="29" t="s">
        <v>1116</v>
      </c>
      <c r="S74" s="29"/>
      <c r="T74" s="29"/>
      <c r="U74" s="29"/>
      <c r="V74" s="29"/>
      <c r="W74" s="29" t="s">
        <v>1176</v>
      </c>
      <c r="X74" s="29"/>
      <c r="Y74" s="29"/>
      <c r="Z74" s="29"/>
      <c r="AA74" s="29"/>
      <c r="AB74" s="29"/>
      <c r="AC74" s="29"/>
      <c r="AD74" s="29"/>
      <c r="AE74" s="29"/>
    </row>
    <row r="75" customFormat="false" ht="74.25" hidden="false" customHeight="true" outlineLevel="0" collapsed="false">
      <c r="A75" s="29" t="str">
        <f aca="false">TAKVİM!$B$66</f>
        <v>07-11 Haziran</v>
      </c>
      <c r="B75" s="29"/>
      <c r="C75" s="29"/>
      <c r="D75" s="29" t="s">
        <v>1223</v>
      </c>
      <c r="E75" s="29"/>
      <c r="F75" s="29"/>
      <c r="G75" s="29"/>
      <c r="H75" s="29"/>
      <c r="I75" s="29"/>
      <c r="J75" s="29"/>
      <c r="K75" s="29"/>
      <c r="L75" s="29" t="s">
        <v>1221</v>
      </c>
      <c r="M75" s="29"/>
      <c r="N75" s="29"/>
      <c r="O75" s="29"/>
      <c r="P75" s="29"/>
      <c r="Q75" s="29"/>
      <c r="R75" s="29" t="s">
        <v>1116</v>
      </c>
      <c r="S75" s="29"/>
      <c r="T75" s="29"/>
      <c r="U75" s="29"/>
      <c r="V75" s="29"/>
      <c r="W75" s="29" t="s">
        <v>1176</v>
      </c>
      <c r="X75" s="29"/>
      <c r="Y75" s="29"/>
      <c r="Z75" s="29"/>
      <c r="AA75" s="29"/>
      <c r="AB75" s="29"/>
      <c r="AC75" s="29"/>
      <c r="AD75" s="29"/>
      <c r="AE75" s="29"/>
    </row>
    <row r="76" customFormat="false" ht="74.25" hidden="false" customHeight="true" outlineLevel="0" collapsed="false">
      <c r="A76" s="29" t="str">
        <f aca="false">TAKVİM!$B$67</f>
        <v>14-18 Haziran</v>
      </c>
      <c r="B76" s="29"/>
      <c r="C76" s="29"/>
      <c r="D76" s="29" t="s">
        <v>1222</v>
      </c>
      <c r="E76" s="29"/>
      <c r="F76" s="29"/>
      <c r="G76" s="29"/>
      <c r="H76" s="29"/>
      <c r="I76" s="29"/>
      <c r="J76" s="29"/>
      <c r="K76" s="29"/>
      <c r="L76" s="29" t="s">
        <v>1221</v>
      </c>
      <c r="M76" s="29"/>
      <c r="N76" s="29"/>
      <c r="O76" s="29"/>
      <c r="P76" s="29"/>
      <c r="Q76" s="29"/>
      <c r="R76" s="29" t="s">
        <v>1116</v>
      </c>
      <c r="S76" s="29"/>
      <c r="T76" s="29"/>
      <c r="U76" s="29"/>
      <c r="V76" s="29"/>
      <c r="W76" s="29" t="s">
        <v>1176</v>
      </c>
      <c r="X76" s="29"/>
      <c r="Y76" s="29"/>
      <c r="Z76" s="29"/>
      <c r="AA76" s="29"/>
      <c r="AB76" s="29"/>
      <c r="AC76" s="29"/>
      <c r="AD76" s="29"/>
      <c r="AE76" s="29"/>
    </row>
    <row r="77" customFormat="false" ht="74.25" hidden="false" customHeight="true" outlineLevel="0" collapsed="false">
      <c r="A77" s="29" t="str">
        <f aca="false">TAKVİM!$B$68</f>
        <v>21-25 Haziran</v>
      </c>
      <c r="B77" s="29"/>
      <c r="C77" s="29"/>
      <c r="D77" s="29" t="s">
        <v>1223</v>
      </c>
      <c r="E77" s="29"/>
      <c r="F77" s="29"/>
      <c r="G77" s="29"/>
      <c r="H77" s="29"/>
      <c r="I77" s="29"/>
      <c r="J77" s="29"/>
      <c r="K77" s="29"/>
      <c r="L77" s="29" t="s">
        <v>1221</v>
      </c>
      <c r="M77" s="29"/>
      <c r="N77" s="29"/>
      <c r="O77" s="29"/>
      <c r="P77" s="29"/>
      <c r="Q77" s="29"/>
      <c r="R77" s="29" t="s">
        <v>1116</v>
      </c>
      <c r="S77" s="29"/>
      <c r="T77" s="29"/>
      <c r="U77" s="29"/>
      <c r="V77" s="29"/>
      <c r="W77" s="29" t="s">
        <v>1176</v>
      </c>
      <c r="X77" s="29"/>
      <c r="Y77" s="29"/>
      <c r="Z77" s="29"/>
      <c r="AA77" s="29"/>
      <c r="AB77" s="29"/>
      <c r="AC77" s="29"/>
      <c r="AD77" s="29"/>
      <c r="AE77" s="29"/>
    </row>
    <row r="78" customFormat="false" ht="1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 hidden="false" customHeight="true" outlineLevel="0" collapsed="false">
      <c r="A81" s="31" t="s">
        <v>178</v>
      </c>
      <c r="B81" s="31"/>
      <c r="C81" s="31"/>
      <c r="D81" s="31"/>
      <c r="E81" s="31"/>
      <c r="F81" s="31"/>
      <c r="G81" s="31"/>
      <c r="H81" s="31"/>
      <c r="I81" s="31"/>
      <c r="J81" s="31"/>
      <c r="K81" s="3"/>
      <c r="L81" s="31" t="s">
        <v>179</v>
      </c>
      <c r="M81" s="31"/>
      <c r="N81" s="31"/>
      <c r="O81" s="31"/>
      <c r="P81" s="31"/>
      <c r="Q81" s="31"/>
      <c r="R81" s="31"/>
      <c r="S81" s="31"/>
      <c r="T81" s="31"/>
      <c r="U81" s="3"/>
      <c r="V81" s="31" t="s">
        <v>180</v>
      </c>
      <c r="W81" s="31"/>
      <c r="X81" s="31"/>
      <c r="Y81" s="31"/>
      <c r="Z81" s="31"/>
      <c r="AA81" s="31"/>
      <c r="AB81" s="31"/>
      <c r="AC81" s="31"/>
      <c r="AD81" s="31"/>
      <c r="AE81" s="31"/>
    </row>
    <row r="82" customFormat="false" ht="15" hidden="false" customHeight="true" outlineLevel="0" collapsed="false">
      <c r="A82" s="32" t="s">
        <v>181</v>
      </c>
      <c r="B82" s="32"/>
      <c r="C82" s="32"/>
      <c r="D82" s="32"/>
      <c r="E82" s="32"/>
      <c r="F82" s="32"/>
      <c r="G82" s="32"/>
      <c r="H82" s="32"/>
      <c r="I82" s="32"/>
      <c r="J82" s="32"/>
      <c r="K82" s="3"/>
      <c r="L82" s="32" t="s">
        <v>181</v>
      </c>
      <c r="M82" s="32"/>
      <c r="N82" s="32"/>
      <c r="O82" s="32"/>
      <c r="P82" s="32"/>
      <c r="Q82" s="32"/>
      <c r="R82" s="32"/>
      <c r="S82" s="32"/>
      <c r="T82" s="32"/>
      <c r="U82" s="3"/>
      <c r="V82" s="32" t="s">
        <v>181</v>
      </c>
      <c r="W82" s="32"/>
      <c r="X82" s="32"/>
      <c r="Y82" s="32"/>
      <c r="Z82" s="32"/>
      <c r="AA82" s="32"/>
      <c r="AB82" s="32"/>
      <c r="AC82" s="32"/>
      <c r="AD82" s="32"/>
      <c r="AE82" s="32"/>
    </row>
    <row r="83" customFormat="false" ht="15" hidden="false" customHeight="true" outlineLevel="0" collapsed="false">
      <c r="A83" s="32" t="s">
        <v>182</v>
      </c>
      <c r="B83" s="32"/>
      <c r="C83" s="32"/>
      <c r="D83" s="32"/>
      <c r="E83" s="32"/>
      <c r="F83" s="32"/>
      <c r="G83" s="32"/>
      <c r="H83" s="32"/>
      <c r="I83" s="32"/>
      <c r="J83" s="32"/>
      <c r="K83" s="3"/>
      <c r="L83" s="32" t="s">
        <v>183</v>
      </c>
      <c r="M83" s="32"/>
      <c r="N83" s="32"/>
      <c r="O83" s="32"/>
      <c r="P83" s="32"/>
      <c r="Q83" s="32"/>
      <c r="R83" s="32"/>
      <c r="S83" s="32"/>
      <c r="T83" s="32"/>
      <c r="U83" s="3"/>
      <c r="V83" s="32" t="s">
        <v>184</v>
      </c>
      <c r="W83" s="32"/>
      <c r="X83" s="32"/>
      <c r="Y83" s="32"/>
      <c r="Z83" s="32"/>
      <c r="AA83" s="32"/>
      <c r="AB83" s="32"/>
      <c r="AC83" s="32"/>
      <c r="AD83" s="32"/>
      <c r="AE83" s="32"/>
    </row>
    <row r="84" customFormat="false" ht="1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 hidden="false" customHeight="true" outlineLevel="0" collapsed="false">
      <c r="A85" s="31" t="s">
        <v>185</v>
      </c>
      <c r="B85" s="31"/>
      <c r="C85" s="31"/>
      <c r="D85" s="31"/>
      <c r="E85" s="31"/>
      <c r="F85" s="31"/>
      <c r="G85" s="31"/>
      <c r="H85" s="31"/>
      <c r="I85" s="31"/>
      <c r="J85" s="31"/>
      <c r="K85" s="3"/>
      <c r="L85" s="31" t="s">
        <v>186</v>
      </c>
      <c r="M85" s="31"/>
      <c r="N85" s="31"/>
      <c r="O85" s="31"/>
      <c r="P85" s="31"/>
      <c r="Q85" s="31"/>
      <c r="R85" s="31"/>
      <c r="S85" s="31"/>
      <c r="T85" s="31"/>
      <c r="U85" s="3"/>
      <c r="V85" s="31" t="s">
        <v>187</v>
      </c>
      <c r="W85" s="31"/>
      <c r="X85" s="31"/>
      <c r="Y85" s="31"/>
      <c r="Z85" s="31"/>
      <c r="AA85" s="31"/>
      <c r="AB85" s="31"/>
      <c r="AC85" s="31"/>
      <c r="AD85" s="31"/>
      <c r="AE85" s="31"/>
    </row>
    <row r="86" customFormat="false" ht="15" hidden="false" customHeight="true" outlineLevel="0" collapsed="false">
      <c r="A86" s="32" t="s">
        <v>181</v>
      </c>
      <c r="B86" s="32"/>
      <c r="C86" s="32"/>
      <c r="D86" s="32"/>
      <c r="E86" s="32"/>
      <c r="F86" s="32"/>
      <c r="G86" s="32"/>
      <c r="H86" s="32"/>
      <c r="I86" s="32"/>
      <c r="J86" s="32"/>
      <c r="K86" s="3"/>
      <c r="L86" s="32" t="s">
        <v>181</v>
      </c>
      <c r="M86" s="32"/>
      <c r="N86" s="32"/>
      <c r="O86" s="32"/>
      <c r="P86" s="32"/>
      <c r="Q86" s="32"/>
      <c r="R86" s="32"/>
      <c r="S86" s="32"/>
      <c r="T86" s="32"/>
      <c r="U86" s="3"/>
      <c r="V86" s="32" t="s">
        <v>181</v>
      </c>
      <c r="W86" s="32"/>
      <c r="X86" s="32"/>
      <c r="Y86" s="32"/>
      <c r="Z86" s="32"/>
      <c r="AA86" s="32"/>
      <c r="AB86" s="32"/>
      <c r="AC86" s="32"/>
      <c r="AD86" s="32"/>
      <c r="AE86" s="32"/>
    </row>
    <row r="87" customFormat="false" ht="15" hidden="false" customHeight="true" outlineLevel="0" collapsed="false">
      <c r="A87" s="32" t="s">
        <v>188</v>
      </c>
      <c r="B87" s="32"/>
      <c r="C87" s="32"/>
      <c r="D87" s="32"/>
      <c r="E87" s="32"/>
      <c r="F87" s="32"/>
      <c r="G87" s="32"/>
      <c r="H87" s="32"/>
      <c r="I87" s="32"/>
      <c r="J87" s="32"/>
      <c r="K87" s="3"/>
      <c r="L87" s="32" t="s">
        <v>189</v>
      </c>
      <c r="M87" s="32"/>
      <c r="N87" s="32"/>
      <c r="O87" s="32"/>
      <c r="P87" s="32"/>
      <c r="Q87" s="32"/>
      <c r="R87" s="32"/>
      <c r="S87" s="32"/>
      <c r="T87" s="32"/>
      <c r="U87" s="3"/>
      <c r="V87" s="32" t="s">
        <v>190</v>
      </c>
      <c r="W87" s="32"/>
      <c r="X87" s="32"/>
      <c r="Y87" s="32"/>
      <c r="Z87" s="32"/>
      <c r="AA87" s="32"/>
      <c r="AB87" s="32"/>
      <c r="AC87" s="32"/>
      <c r="AD87" s="32"/>
      <c r="AE87" s="32"/>
    </row>
    <row r="88" customFormat="false" ht="1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 hidden="false" customHeight="true" outlineLevel="0" collapsed="false">
      <c r="A90" s="32" t="s">
        <v>191</v>
      </c>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ustomFormat="false" ht="15" hidden="false" customHeight="true" outlineLevel="0" collapsed="false">
      <c r="A91" s="31" t="s">
        <v>192</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row>
    <row r="92" customFormat="false" ht="15" hidden="false" customHeight="true" outlineLevel="0" collapsed="false">
      <c r="A92" s="31" t="s">
        <v>193</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row>
    <row r="93" customFormat="false" ht="15" hidden="false" customHeight="true" outlineLevel="0" collapsed="false">
      <c r="A93" s="32" t="s">
        <v>194</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sheetData>
  <mergeCells count="316">
    <mergeCell ref="H1:X1"/>
    <mergeCell ref="A3:F3"/>
    <mergeCell ref="G3:O3"/>
    <mergeCell ref="P3:T3"/>
    <mergeCell ref="U3:AE3"/>
    <mergeCell ref="A4:F4"/>
    <mergeCell ref="G4:O4"/>
    <mergeCell ref="P4:T4"/>
    <mergeCell ref="U4:AE4"/>
    <mergeCell ref="A5:F5"/>
    <mergeCell ref="G5:O5"/>
    <mergeCell ref="P5:T5"/>
    <mergeCell ref="U5:AE5"/>
    <mergeCell ref="A7:O7"/>
    <mergeCell ref="P7:AE7"/>
    <mergeCell ref="A8:F8"/>
    <mergeCell ref="G8:O8"/>
    <mergeCell ref="P8:T8"/>
    <mergeCell ref="U8:AE8"/>
    <mergeCell ref="A9:F9"/>
    <mergeCell ref="G9:O9"/>
    <mergeCell ref="P9:T9"/>
    <mergeCell ref="U9:AE9"/>
    <mergeCell ref="A11:O11"/>
    <mergeCell ref="P11:AE11"/>
    <mergeCell ref="A12:F12"/>
    <mergeCell ref="G12:O12"/>
    <mergeCell ref="P12:T12"/>
    <mergeCell ref="U12:AE12"/>
    <mergeCell ref="A13:F13"/>
    <mergeCell ref="G13:O13"/>
    <mergeCell ref="P13:T13"/>
    <mergeCell ref="U13:AE13"/>
    <mergeCell ref="A14:F14"/>
    <mergeCell ref="G14:O14"/>
    <mergeCell ref="P14:T14"/>
    <mergeCell ref="U14:AE14"/>
    <mergeCell ref="A15:F15"/>
    <mergeCell ref="G15:O15"/>
    <mergeCell ref="P15:T15"/>
    <mergeCell ref="U15:AE15"/>
    <mergeCell ref="A16:F16"/>
    <mergeCell ref="G16:O16"/>
    <mergeCell ref="P16:T16"/>
    <mergeCell ref="U16:AE16"/>
    <mergeCell ref="A17:F17"/>
    <mergeCell ref="G17:O17"/>
    <mergeCell ref="P17:T17"/>
    <mergeCell ref="U17:AE17"/>
    <mergeCell ref="A19:AE19"/>
    <mergeCell ref="B20:G20"/>
    <mergeCell ref="H20:M20"/>
    <mergeCell ref="N20:S20"/>
    <mergeCell ref="T20:Y20"/>
    <mergeCell ref="Z20:AE20"/>
    <mergeCell ref="B28:G28"/>
    <mergeCell ref="H28:M28"/>
    <mergeCell ref="N28:S28"/>
    <mergeCell ref="T28:Y28"/>
    <mergeCell ref="Z28:AE28"/>
    <mergeCell ref="A37:C37"/>
    <mergeCell ref="D37:K37"/>
    <mergeCell ref="L37:Q37"/>
    <mergeCell ref="R37:V37"/>
    <mergeCell ref="W37:AC37"/>
    <mergeCell ref="AD37:AE37"/>
    <mergeCell ref="A38:C38"/>
    <mergeCell ref="D38:K38"/>
    <mergeCell ref="L38:Q38"/>
    <mergeCell ref="R38:V38"/>
    <mergeCell ref="W38:AC38"/>
    <mergeCell ref="AD38:AE38"/>
    <mergeCell ref="A39:C39"/>
    <mergeCell ref="D39:K39"/>
    <mergeCell ref="L39:Q39"/>
    <mergeCell ref="R39:V39"/>
    <mergeCell ref="W39:AC39"/>
    <mergeCell ref="AD39:AE39"/>
    <mergeCell ref="A40:C40"/>
    <mergeCell ref="D40:K40"/>
    <mergeCell ref="L40:Q40"/>
    <mergeCell ref="R40:V40"/>
    <mergeCell ref="W40:AC40"/>
    <mergeCell ref="AD40:AE40"/>
    <mergeCell ref="A41:C41"/>
    <mergeCell ref="D41:K41"/>
    <mergeCell ref="L41:Q41"/>
    <mergeCell ref="R41:V41"/>
    <mergeCell ref="W41:AC41"/>
    <mergeCell ref="AD41:AE41"/>
    <mergeCell ref="A42:C42"/>
    <mergeCell ref="D42:K42"/>
    <mergeCell ref="L42:Q42"/>
    <mergeCell ref="R42:V42"/>
    <mergeCell ref="W42:AC42"/>
    <mergeCell ref="AD42:AE42"/>
    <mergeCell ref="A43:C43"/>
    <mergeCell ref="D43:K43"/>
    <mergeCell ref="L43:Q43"/>
    <mergeCell ref="R43:V43"/>
    <mergeCell ref="W43:AC43"/>
    <mergeCell ref="AD43:AE43"/>
    <mergeCell ref="A44:C44"/>
    <mergeCell ref="D44:K44"/>
    <mergeCell ref="L44:Q44"/>
    <mergeCell ref="R44:V44"/>
    <mergeCell ref="W44:AC44"/>
    <mergeCell ref="AD44:AE44"/>
    <mergeCell ref="A45:C45"/>
    <mergeCell ref="D45:K45"/>
    <mergeCell ref="L45:Q45"/>
    <mergeCell ref="R45:V45"/>
    <mergeCell ref="W45:AC45"/>
    <mergeCell ref="AD45:AE45"/>
    <mergeCell ref="A46:C46"/>
    <mergeCell ref="D46:K46"/>
    <mergeCell ref="L46:Q46"/>
    <mergeCell ref="R46:V46"/>
    <mergeCell ref="W46:AC46"/>
    <mergeCell ref="AD46:AE46"/>
    <mergeCell ref="A47:C47"/>
    <mergeCell ref="D47:AE47"/>
    <mergeCell ref="A48:C48"/>
    <mergeCell ref="D48:K48"/>
    <mergeCell ref="L48:Q48"/>
    <mergeCell ref="R48:V48"/>
    <mergeCell ref="W48:AC48"/>
    <mergeCell ref="AD48:AE48"/>
    <mergeCell ref="A49:C49"/>
    <mergeCell ref="D49:K49"/>
    <mergeCell ref="L49:Q49"/>
    <mergeCell ref="R49:V49"/>
    <mergeCell ref="W49:AC49"/>
    <mergeCell ref="AD49:AE49"/>
    <mergeCell ref="A50:C50"/>
    <mergeCell ref="D50:K50"/>
    <mergeCell ref="L50:Q50"/>
    <mergeCell ref="R50:V50"/>
    <mergeCell ref="W50:AC50"/>
    <mergeCell ref="AD50:AE50"/>
    <mergeCell ref="A51:C51"/>
    <mergeCell ref="D51:K51"/>
    <mergeCell ref="L51:Q51"/>
    <mergeCell ref="R51:V51"/>
    <mergeCell ref="W51:AC51"/>
    <mergeCell ref="AD51:AE51"/>
    <mergeCell ref="A52:C52"/>
    <mergeCell ref="D52:K52"/>
    <mergeCell ref="L52:Q52"/>
    <mergeCell ref="R52:V52"/>
    <mergeCell ref="W52:AC52"/>
    <mergeCell ref="AD52:AE52"/>
    <mergeCell ref="A53:C53"/>
    <mergeCell ref="D53:K53"/>
    <mergeCell ref="L53:Q53"/>
    <mergeCell ref="R53:V53"/>
    <mergeCell ref="W53:AC53"/>
    <mergeCell ref="AD53:AE53"/>
    <mergeCell ref="A54:C54"/>
    <mergeCell ref="D54:K54"/>
    <mergeCell ref="L54:Q54"/>
    <mergeCell ref="R54:V54"/>
    <mergeCell ref="W54:AC54"/>
    <mergeCell ref="AD54:AE54"/>
    <mergeCell ref="A55:C55"/>
    <mergeCell ref="D55:K55"/>
    <mergeCell ref="L55:Q55"/>
    <mergeCell ref="R55:V55"/>
    <mergeCell ref="W55:AC55"/>
    <mergeCell ref="AD55:AE55"/>
    <mergeCell ref="A56:C56"/>
    <mergeCell ref="D56:K56"/>
    <mergeCell ref="L56:Q56"/>
    <mergeCell ref="R56:V56"/>
    <mergeCell ref="W56:AC56"/>
    <mergeCell ref="AD56:AE56"/>
    <mergeCell ref="A57:C57"/>
    <mergeCell ref="D57:AE57"/>
    <mergeCell ref="A58:C58"/>
    <mergeCell ref="D58:K58"/>
    <mergeCell ref="L58:Q58"/>
    <mergeCell ref="R58:V58"/>
    <mergeCell ref="W58:AC58"/>
    <mergeCell ref="AD58:AE58"/>
    <mergeCell ref="A59:C59"/>
    <mergeCell ref="D59:K59"/>
    <mergeCell ref="L59:Q59"/>
    <mergeCell ref="R59:V59"/>
    <mergeCell ref="W59:AC59"/>
    <mergeCell ref="AD59:AE59"/>
    <mergeCell ref="A60:C60"/>
    <mergeCell ref="D60:K60"/>
    <mergeCell ref="L60:Q60"/>
    <mergeCell ref="R60:V60"/>
    <mergeCell ref="W60:AC60"/>
    <mergeCell ref="AD60:AE60"/>
    <mergeCell ref="A61:C61"/>
    <mergeCell ref="D61:K61"/>
    <mergeCell ref="L61:Q61"/>
    <mergeCell ref="R61:V61"/>
    <mergeCell ref="W61:AC61"/>
    <mergeCell ref="AD61:AE61"/>
    <mergeCell ref="A62:C62"/>
    <mergeCell ref="D62:AE62"/>
    <mergeCell ref="A63:C63"/>
    <mergeCell ref="D63:K63"/>
    <mergeCell ref="L63:Q63"/>
    <mergeCell ref="R63:V63"/>
    <mergeCell ref="W63:AC63"/>
    <mergeCell ref="AD63:AE63"/>
    <mergeCell ref="A64:C64"/>
    <mergeCell ref="D64:K64"/>
    <mergeCell ref="L64:Q64"/>
    <mergeCell ref="R64:V64"/>
    <mergeCell ref="W64:AC64"/>
    <mergeCell ref="AD64:AE64"/>
    <mergeCell ref="A65:C65"/>
    <mergeCell ref="D65:K65"/>
    <mergeCell ref="L65:Q65"/>
    <mergeCell ref="R65:V65"/>
    <mergeCell ref="W65:AC65"/>
    <mergeCell ref="AD65:AE65"/>
    <mergeCell ref="A66:C66"/>
    <mergeCell ref="D66:K66"/>
    <mergeCell ref="L66:Q66"/>
    <mergeCell ref="R66:V66"/>
    <mergeCell ref="W66:AC66"/>
    <mergeCell ref="AD66:AE66"/>
    <mergeCell ref="A67:C67"/>
    <mergeCell ref="D67:K67"/>
    <mergeCell ref="L67:Q67"/>
    <mergeCell ref="R67:V67"/>
    <mergeCell ref="W67:AC67"/>
    <mergeCell ref="AD67:AE67"/>
    <mergeCell ref="A68:C68"/>
    <mergeCell ref="D68:K68"/>
    <mergeCell ref="L68:Q68"/>
    <mergeCell ref="R68:V68"/>
    <mergeCell ref="W68:AC68"/>
    <mergeCell ref="AD68:AE68"/>
    <mergeCell ref="A69:C69"/>
    <mergeCell ref="D69:K69"/>
    <mergeCell ref="L69:Q69"/>
    <mergeCell ref="R69:V69"/>
    <mergeCell ref="W69:AC69"/>
    <mergeCell ref="AD69:AE69"/>
    <mergeCell ref="A70:C70"/>
    <mergeCell ref="D70:K70"/>
    <mergeCell ref="L70:Q70"/>
    <mergeCell ref="R70:V70"/>
    <mergeCell ref="W70:AC70"/>
    <mergeCell ref="AD70:AE70"/>
    <mergeCell ref="A71:C71"/>
    <mergeCell ref="D71:K71"/>
    <mergeCell ref="L71:Q71"/>
    <mergeCell ref="R71:V71"/>
    <mergeCell ref="W71:AC71"/>
    <mergeCell ref="AD71:AE71"/>
    <mergeCell ref="A72:C72"/>
    <mergeCell ref="D72:K72"/>
    <mergeCell ref="L72:Q72"/>
    <mergeCell ref="R72:V72"/>
    <mergeCell ref="W72:AC72"/>
    <mergeCell ref="AD72:AE72"/>
    <mergeCell ref="A73:C73"/>
    <mergeCell ref="D73:K73"/>
    <mergeCell ref="L73:Q73"/>
    <mergeCell ref="R73:V73"/>
    <mergeCell ref="W73:AC73"/>
    <mergeCell ref="AD73:AE73"/>
    <mergeCell ref="A74:C74"/>
    <mergeCell ref="D74:K74"/>
    <mergeCell ref="L74:Q74"/>
    <mergeCell ref="R74:V74"/>
    <mergeCell ref="W74:AC74"/>
    <mergeCell ref="AD74:AE74"/>
    <mergeCell ref="A75:C75"/>
    <mergeCell ref="D75:K75"/>
    <mergeCell ref="L75:Q75"/>
    <mergeCell ref="R75:V75"/>
    <mergeCell ref="W75:AC75"/>
    <mergeCell ref="AD75:AE75"/>
    <mergeCell ref="A76:C76"/>
    <mergeCell ref="D76:K76"/>
    <mergeCell ref="L76:Q76"/>
    <mergeCell ref="R76:V76"/>
    <mergeCell ref="W76:AC76"/>
    <mergeCell ref="AD76:AE76"/>
    <mergeCell ref="A77:C77"/>
    <mergeCell ref="D77:K77"/>
    <mergeCell ref="L77:Q77"/>
    <mergeCell ref="R77:V77"/>
    <mergeCell ref="W77:AC77"/>
    <mergeCell ref="AD77:AE77"/>
    <mergeCell ref="A81:J81"/>
    <mergeCell ref="L81:T81"/>
    <mergeCell ref="V81:AE81"/>
    <mergeCell ref="A82:J82"/>
    <mergeCell ref="L82:T82"/>
    <mergeCell ref="V82:AE82"/>
    <mergeCell ref="A83:J83"/>
    <mergeCell ref="L83:T83"/>
    <mergeCell ref="V83:AE83"/>
    <mergeCell ref="A85:J85"/>
    <mergeCell ref="L85:T85"/>
    <mergeCell ref="V85:AE85"/>
    <mergeCell ref="A86:J86"/>
    <mergeCell ref="L86:T86"/>
    <mergeCell ref="V86:AE86"/>
    <mergeCell ref="A87:J87"/>
    <mergeCell ref="L87:T87"/>
    <mergeCell ref="V87:AE87"/>
    <mergeCell ref="A90:AE90"/>
    <mergeCell ref="A91:AE91"/>
    <mergeCell ref="A92:AE92"/>
    <mergeCell ref="A93:AE9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2026-08-09T15:30:44Z</dcterms:created>
  <dc:creator>openpyxl</dc:creator>
  <dc:description/>
  <dc:language>en-US</dc:language>
  <cp:lastModifiedBy/>
  <dcterms:modified xsi:type="dcterms:W3CDTF">2026-08-09T16:00:41Z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