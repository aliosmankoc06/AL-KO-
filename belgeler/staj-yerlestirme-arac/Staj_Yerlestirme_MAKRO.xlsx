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BuÇalışmaKitabı"/>
  <mc:AlternateContent xmlns:mc="http://schemas.openxmlformats.org/markup-compatibility/2006">
    <mc:Choice Requires="x15">
      <x15ac:absPath xmlns:x15ac="http://schemas.microsoft.com/office/spreadsheetml/2010/11/ac" url="E:\STAJ\2026 STAJ YERLEŞTİRME\Makrosuz\"/>
    </mc:Choice>
  </mc:AlternateContent>
  <bookViews>
    <workbookView xWindow="0" yWindow="0" windowWidth="16380" windowHeight="8190" tabRatio="500" activeTab="3"/>
  </bookViews>
  <sheets>
    <sheet name="1-Ogrenci" sheetId="1" r:id="rId1"/>
    <sheet name="2-Tercih" sheetId="2" r:id="rId2"/>
    <sheet name="3-Isletme" sheetId="3" r:id="rId3"/>
    <sheet name="4-Sonuc" sheetId="4" r:id="rId4"/>
  </sheets>
  <definedNames>
    <definedName name="_xlnm.Print_Area" localSheetId="0">'1-Ogrenci'!$A$1:$K$38</definedName>
    <definedName name="_xlnm.Print_Area" localSheetId="3">'4-Sonuc'!$A$40:$R$56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5" i="4" l="1"/>
  <c r="C16" i="4" l="1"/>
  <c r="D6" i="2" l="1"/>
  <c r="E18" i="3"/>
  <c r="E19" i="3"/>
  <c r="E20" i="3"/>
  <c r="E21" i="3"/>
  <c r="E22" i="3"/>
  <c r="E23" i="3"/>
  <c r="E24" i="3"/>
  <c r="M92" i="4" l="1"/>
  <c r="M91" i="4"/>
  <c r="M90" i="4"/>
  <c r="M89" i="4"/>
  <c r="M88" i="4"/>
  <c r="M87" i="4"/>
  <c r="M86" i="4"/>
  <c r="M85" i="4"/>
  <c r="M84" i="4"/>
  <c r="M83" i="4"/>
  <c r="M82" i="4"/>
  <c r="M81" i="4"/>
  <c r="M80" i="4"/>
  <c r="D73" i="4"/>
  <c r="C73" i="4"/>
  <c r="B73" i="4"/>
  <c r="A73" i="4"/>
  <c r="D72" i="4"/>
  <c r="C72" i="4"/>
  <c r="B72" i="4"/>
  <c r="A72" i="4"/>
  <c r="D71" i="4"/>
  <c r="C71" i="4"/>
  <c r="B71" i="4"/>
  <c r="A71" i="4"/>
  <c r="D70" i="4"/>
  <c r="C70" i="4"/>
  <c r="B70" i="4"/>
  <c r="A70" i="4"/>
  <c r="D69" i="4"/>
  <c r="C69" i="4"/>
  <c r="B69" i="4"/>
  <c r="A69" i="4"/>
  <c r="D68" i="4"/>
  <c r="C68" i="4"/>
  <c r="B68" i="4"/>
  <c r="A68" i="4"/>
  <c r="D67" i="4"/>
  <c r="C67" i="4"/>
  <c r="B67" i="4"/>
  <c r="A67" i="4"/>
  <c r="D66" i="4"/>
  <c r="C66" i="4"/>
  <c r="B66" i="4"/>
  <c r="A66" i="4"/>
  <c r="D65" i="4"/>
  <c r="C65" i="4"/>
  <c r="B65" i="4"/>
  <c r="A65" i="4"/>
  <c r="D64" i="4"/>
  <c r="C64" i="4"/>
  <c r="B64" i="4"/>
  <c r="A64" i="4"/>
  <c r="D63" i="4"/>
  <c r="C63" i="4"/>
  <c r="B63" i="4"/>
  <c r="A63" i="4"/>
  <c r="D62" i="4"/>
  <c r="C62" i="4"/>
  <c r="B62" i="4"/>
  <c r="A62" i="4"/>
  <c r="D61" i="4"/>
  <c r="C61" i="4"/>
  <c r="B61" i="4"/>
  <c r="A61" i="4"/>
  <c r="D60" i="4"/>
  <c r="C60" i="4"/>
  <c r="B60" i="4"/>
  <c r="A60" i="4"/>
  <c r="D59" i="4"/>
  <c r="C59" i="4"/>
  <c r="B59" i="4"/>
  <c r="A59" i="4"/>
  <c r="D58" i="4"/>
  <c r="C58" i="4"/>
  <c r="B58" i="4"/>
  <c r="A58" i="4"/>
  <c r="D57" i="4"/>
  <c r="C57" i="4"/>
  <c r="B57" i="4"/>
  <c r="A57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A56" i="4"/>
  <c r="O55" i="4"/>
  <c r="N55" i="4"/>
  <c r="M55" i="4"/>
  <c r="L55" i="4"/>
  <c r="K55" i="4"/>
  <c r="J55" i="4"/>
  <c r="I55" i="4"/>
  <c r="H55" i="4"/>
  <c r="G55" i="4"/>
  <c r="F55" i="4"/>
  <c r="E55" i="4"/>
  <c r="D55" i="4"/>
  <c r="B55" i="4"/>
  <c r="A55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A54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A53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A52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A51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A50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A49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A48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A47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A46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A45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A44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A43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A42" i="4"/>
  <c r="D38" i="4"/>
  <c r="C38" i="4"/>
  <c r="B38" i="4"/>
  <c r="A38" i="4"/>
  <c r="D37" i="4"/>
  <c r="C37" i="4"/>
  <c r="B37" i="4"/>
  <c r="A37" i="4"/>
  <c r="D36" i="4"/>
  <c r="C36" i="4"/>
  <c r="B36" i="4"/>
  <c r="A36" i="4"/>
  <c r="D35" i="4"/>
  <c r="C35" i="4"/>
  <c r="B35" i="4"/>
  <c r="A35" i="4"/>
  <c r="D34" i="4"/>
  <c r="C34" i="4"/>
  <c r="B34" i="4"/>
  <c r="A34" i="4"/>
  <c r="D33" i="4"/>
  <c r="C33" i="4"/>
  <c r="B33" i="4"/>
  <c r="A33" i="4"/>
  <c r="D32" i="4"/>
  <c r="C32" i="4"/>
  <c r="B32" i="4"/>
  <c r="A32" i="4"/>
  <c r="D31" i="4"/>
  <c r="C31" i="4"/>
  <c r="B31" i="4"/>
  <c r="A31" i="4"/>
  <c r="D30" i="4"/>
  <c r="C30" i="4"/>
  <c r="B30" i="4"/>
  <c r="A30" i="4"/>
  <c r="D29" i="4"/>
  <c r="C29" i="4"/>
  <c r="B29" i="4"/>
  <c r="A29" i="4"/>
  <c r="D28" i="4"/>
  <c r="C28" i="4"/>
  <c r="B28" i="4"/>
  <c r="A28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27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A26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A25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A24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A23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A22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A21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A20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A19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18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A17" i="4"/>
  <c r="O16" i="4"/>
  <c r="N16" i="4"/>
  <c r="M16" i="4"/>
  <c r="L16" i="4"/>
  <c r="K16" i="4"/>
  <c r="J16" i="4"/>
  <c r="I16" i="4"/>
  <c r="H16" i="4"/>
  <c r="G16" i="4"/>
  <c r="F16" i="4"/>
  <c r="E16" i="4"/>
  <c r="D16" i="4"/>
  <c r="B16" i="4"/>
  <c r="A16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A15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14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A13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A12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11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10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A9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A8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A7" i="4"/>
  <c r="D25" i="3"/>
  <c r="C25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1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J38" i="1"/>
  <c r="D38" i="1"/>
  <c r="K37" i="1"/>
  <c r="E37" i="1"/>
  <c r="K36" i="1"/>
  <c r="E36" i="1"/>
  <c r="K35" i="1"/>
  <c r="E35" i="1"/>
  <c r="K34" i="1"/>
  <c r="E34" i="1"/>
  <c r="K33" i="1"/>
  <c r="E33" i="1"/>
  <c r="K32" i="1"/>
  <c r="E32" i="1"/>
  <c r="K31" i="1"/>
  <c r="E31" i="1"/>
  <c r="K30" i="1"/>
  <c r="E30" i="1"/>
  <c r="K29" i="1"/>
  <c r="E29" i="1"/>
  <c r="K28" i="1"/>
  <c r="E28" i="1"/>
  <c r="K27" i="1"/>
  <c r="E27" i="1"/>
  <c r="K26" i="1"/>
  <c r="E26" i="1"/>
  <c r="K25" i="1"/>
  <c r="E25" i="1"/>
  <c r="K24" i="1"/>
  <c r="E24" i="1"/>
  <c r="K23" i="1"/>
  <c r="E23" i="1"/>
  <c r="K22" i="1"/>
  <c r="E22" i="1"/>
  <c r="K21" i="1"/>
  <c r="E21" i="1"/>
  <c r="K20" i="1"/>
  <c r="E20" i="1"/>
  <c r="K19" i="1"/>
  <c r="E19" i="1"/>
  <c r="K18" i="1"/>
  <c r="E18" i="1"/>
  <c r="K17" i="1"/>
  <c r="E17" i="1"/>
  <c r="K16" i="1"/>
  <c r="E16" i="1"/>
  <c r="K15" i="1"/>
  <c r="E15" i="1"/>
  <c r="K14" i="1"/>
  <c r="E14" i="1"/>
  <c r="K13" i="1"/>
  <c r="E13" i="1"/>
  <c r="K12" i="1"/>
  <c r="E12" i="1"/>
  <c r="K11" i="1"/>
  <c r="E11" i="1"/>
  <c r="K10" i="1"/>
  <c r="E10" i="1"/>
  <c r="K9" i="1"/>
  <c r="E9" i="1"/>
  <c r="K8" i="1"/>
  <c r="E8" i="1"/>
  <c r="K7" i="1"/>
  <c r="E7" i="1"/>
  <c r="K6" i="1"/>
  <c r="E6" i="1"/>
  <c r="M79" i="4" l="1"/>
  <c r="M78" i="4"/>
  <c r="E25" i="3"/>
  <c r="M94" i="4"/>
  <c r="M93" i="4"/>
  <c r="M77" i="4"/>
</calcChain>
</file>

<file path=xl/sharedStrings.xml><?xml version="1.0" encoding="utf-8"?>
<sst xmlns="http://schemas.openxmlformats.org/spreadsheetml/2006/main" count="642" uniqueCount="173">
  <si>
    <t>SOMA MESLEKI VE TEKNIK ANADOLU LISESI - MAKINE TEKNOLOJISI ALANI</t>
  </si>
  <si>
    <t>12. SINIF STAJ OGRENCI LISTESI - 2024/2025 OGRETIM YILI</t>
  </si>
  <si>
    <t>MAKINE BAKIM ONARIM (MBO) - A Subesi</t>
  </si>
  <si>
    <t>BILGISAYARLI MAKINE IMALATI (BMI) - B Subesi</t>
  </si>
  <si>
    <t>No</t>
  </si>
  <si>
    <t>Ogr.No</t>
  </si>
  <si>
    <t>Adi Soyadi</t>
  </si>
  <si>
    <t>Not Ortalamasi</t>
  </si>
  <si>
    <t>Oncelik Sirasi</t>
  </si>
  <si>
    <t>1008</t>
  </si>
  <si>
    <t>ZAFER SARI</t>
  </si>
  <si>
    <t>22102</t>
  </si>
  <si>
    <t>RAMAZAN DOGANER</t>
  </si>
  <si>
    <t>23014</t>
  </si>
  <si>
    <t>RAMAZAN OVEK</t>
  </si>
  <si>
    <t>23015</t>
  </si>
  <si>
    <t>ISMAIL SIVRI</t>
  </si>
  <si>
    <t>22117</t>
  </si>
  <si>
    <t>HUSEYIN ANIL KOC</t>
  </si>
  <si>
    <t>23034</t>
  </si>
  <si>
    <t>ALI YILMAZ</t>
  </si>
  <si>
    <t>23007</t>
  </si>
  <si>
    <t>TALHA OMER YAGMUR</t>
  </si>
  <si>
    <t>23046</t>
  </si>
  <si>
    <t>TUNAHAN TEKER</t>
  </si>
  <si>
    <t>23010</t>
  </si>
  <si>
    <t>EMIRHAN YASLAM</t>
  </si>
  <si>
    <t>23050</t>
  </si>
  <si>
    <t>YASAR ARDA CAL</t>
  </si>
  <si>
    <t>23021</t>
  </si>
  <si>
    <t>YIGIT AFACAN</t>
  </si>
  <si>
    <t>23060</t>
  </si>
  <si>
    <t>MEHMET KAZIM UZUN</t>
  </si>
  <si>
    <t>23026</t>
  </si>
  <si>
    <t>YAGIZ SENHAN</t>
  </si>
  <si>
    <t>23068</t>
  </si>
  <si>
    <t>SADETTIN AKSU</t>
  </si>
  <si>
    <t>23053</t>
  </si>
  <si>
    <t>MERT BERAT VARLI</t>
  </si>
  <si>
    <t>23077</t>
  </si>
  <si>
    <t>CENGIZHAN GEZGIN</t>
  </si>
  <si>
    <t>23054</t>
  </si>
  <si>
    <t>SAMET YALIN</t>
  </si>
  <si>
    <t>23081</t>
  </si>
  <si>
    <t>BATIKAN ALEMDAR TASPINAR</t>
  </si>
  <si>
    <t>23058</t>
  </si>
  <si>
    <t>MEHMET CAN CELEBI</t>
  </si>
  <si>
    <t>23087</t>
  </si>
  <si>
    <t>YUSUF EFE CAL</t>
  </si>
  <si>
    <t>23085</t>
  </si>
  <si>
    <t>MUHAMMET TOPRAK</t>
  </si>
  <si>
    <t>23100</t>
  </si>
  <si>
    <t>MERT KOCABIYIK</t>
  </si>
  <si>
    <t>23093</t>
  </si>
  <si>
    <t>FAHRI CAN ILGAZ</t>
  </si>
  <si>
    <t>23102</t>
  </si>
  <si>
    <t>HUSEYIN YEKTA SENLIK</t>
  </si>
  <si>
    <t>23105</t>
  </si>
  <si>
    <t>EFE ESREF OZDILKURAL</t>
  </si>
  <si>
    <t>23104</t>
  </si>
  <si>
    <t>ALI HAN CELIK</t>
  </si>
  <si>
    <t>23109</t>
  </si>
  <si>
    <t>EREN OLUM</t>
  </si>
  <si>
    <t>23107</t>
  </si>
  <si>
    <t>HASAN MERT ANAC</t>
  </si>
  <si>
    <t>23249</t>
  </si>
  <si>
    <t>EGE GENC</t>
  </si>
  <si>
    <t>23110</t>
  </si>
  <si>
    <t>SULEYMAN COBAN</t>
  </si>
  <si>
    <t>23112</t>
  </si>
  <si>
    <t>EMIRHAN ERTURK</t>
  </si>
  <si>
    <t>23113</t>
  </si>
  <si>
    <t>MUHAMMET EMIN KILIC</t>
  </si>
  <si>
    <t>23117</t>
  </si>
  <si>
    <t>SALIH AGCIK</t>
  </si>
  <si>
    <t>23238</t>
  </si>
  <si>
    <t>ARDA YILMAZ</t>
  </si>
  <si>
    <t>23245</t>
  </si>
  <si>
    <t>AHMET CEMIL YILDIZ</t>
  </si>
  <si>
    <t>MBO - Sinif Not Ortalamasi</t>
  </si>
  <si>
    <t>BMI - Sinif Not Ortalamasi</t>
  </si>
  <si>
    <t>NOT: Gri hücreler bos birakilmistir. Yeni ogrenci eklendiginde: Ogr.No ve Adi Soyadi yazin, Not Ortalamasini girin. Sistem otomatik guncellenir.</t>
  </si>
  <si>
    <t>SOMA MESLEKI VE TEKNIK ANADOLU LISESI - STAJ YERI TERCIH FORMU</t>
  </si>
  <si>
    <t>12. Sinif | 2024/2025 | Her ogrenci 10 tercih yapabilir | Gitmek istemediginiz isletmeleri son sutuna yaziniz.</t>
  </si>
  <si>
    <t>Not Ort.</t>
  </si>
  <si>
    <t>1. Tercih</t>
  </si>
  <si>
    <t>2. Tercih</t>
  </si>
  <si>
    <t>3. Tercih</t>
  </si>
  <si>
    <t>4. Tercih</t>
  </si>
  <si>
    <t>5. Tercih</t>
  </si>
  <si>
    <t>6. Tercih</t>
  </si>
  <si>
    <t>7. Tercih</t>
  </si>
  <si>
    <t>8. Tercih</t>
  </si>
  <si>
    <t>9. Tercih</t>
  </si>
  <si>
    <t>10. Tercih</t>
  </si>
  <si>
    <t>GITMEK ISTEMEDIGIM
ISLETMELER (virgülle)</t>
  </si>
  <si>
    <t>NOT: Renkli hucrelere tercih yazin (1-10 arasi). Kirmizi sutuna gitmek istemediginiz isletmeleri virgülle yazin. Bos satirlar yeni ogrenci icin hazir bekler.</t>
  </si>
  <si>
    <t>STAJ YERI ISLETME LISTESI VE KONTENJAN TABLOSU</t>
  </si>
  <si>
    <t>Soma Mesleki ve Teknik Anadolu Lisesi | Makine Teknolojisi Alani | 2024/2025</t>
  </si>
  <si>
    <t>SARI = Kontenjan girisi | TURUNCU = Isletme talep ogrencisi | Bos satirlara yeni isletme eklenebilir (maks 20)</t>
  </si>
  <si>
    <t>Isletme Adi</t>
  </si>
  <si>
    <t>MBO
Kontenjan</t>
  </si>
  <si>
    <t>BMI
Kontenjan</t>
  </si>
  <si>
    <t>Toplam
Kontenjan</t>
  </si>
  <si>
    <t>Uygun Dal</t>
  </si>
  <si>
    <t>ISLETME TALEP OGRENCI
(virgülle ayir)</t>
  </si>
  <si>
    <t>Talep Gereksesi</t>
  </si>
  <si>
    <t>ARIKSAN METAL</t>
  </si>
  <si>
    <t>MBO + BMI</t>
  </si>
  <si>
    <t>BULUT METAL</t>
  </si>
  <si>
    <t>DEFAS MADENCILIK SAN. VE TIC. A.S. (DEMIR EXPORT)</t>
  </si>
  <si>
    <t>E SINERJI MUHENDISLIK</t>
  </si>
  <si>
    <t>HIDRO-GEN ENERJI</t>
  </si>
  <si>
    <t>IMBAT MADENCILIK</t>
  </si>
  <si>
    <t>MODERANS METAL YAPI</t>
  </si>
  <si>
    <t>TKI EGE LINYITLERI ISLETMESI MUDURLUGU</t>
  </si>
  <si>
    <t>ZINBA MAKINA SANAYI</t>
  </si>
  <si>
    <t>ZIRVE MAKINA</t>
  </si>
  <si>
    <t>GENEL TOPLAM KONTENJAN</t>
  </si>
  <si>
    <t>Yeni isletme: Bos satira isletme adini ve kontenjanlarini yazin (maks 20). Isletme silmek icin satiri temizleyin.</t>
  </si>
  <si>
    <t>SOMA MESLEKI VE TEKNIK ANADOLU LISESI - STAJ YERLESTIRME SONUCLARI</t>
  </si>
  <si>
    <t>12. Sinif | 2024/2025 | Mudur: Ahmet Acar | Alan Sefi: ____________________</t>
  </si>
  <si>
    <t>YESIL=1.T | MAVI=2.T | SARI=3.T | TURUNCU=4.T | KIRMIZI=5.T | MOR=6.T | ACIK MAVI=7.T | AMBER=8.T | KOYU YESIL=9.T | PEMBE=10.T | GRI=Otomatik | BORDO=Zorunlu | AMBER=Isletme Talebi</t>
  </si>
  <si>
    <t>MAKINE BAKIM ONARIM (MBO) - YERLESTIRME SONUCLARI</t>
  </si>
  <si>
    <t>Sira</t>
  </si>
  <si>
    <t>Dal</t>
  </si>
  <si>
    <t>Not
Ort.</t>
  </si>
  <si>
    <t>1.T</t>
  </si>
  <si>
    <t>2.T</t>
  </si>
  <si>
    <t>3.T</t>
  </si>
  <si>
    <t>4.T</t>
  </si>
  <si>
    <t>5.T</t>
  </si>
  <si>
    <t>6.T</t>
  </si>
  <si>
    <t>7.T</t>
  </si>
  <si>
    <t>8.T</t>
  </si>
  <si>
    <t>9.T</t>
  </si>
  <si>
    <t>10.T</t>
  </si>
  <si>
    <t>YERLESTIRILEN ISLETME</t>
  </si>
  <si>
    <t>Tercih
Sirasi</t>
  </si>
  <si>
    <t>DURUM</t>
  </si>
  <si>
    <t>BILGISAYARLI MAKINE IMALATI (BMI) - YERLESTIRME SONUCLARI</t>
  </si>
  <si>
    <t>OZET ISTATISTIK</t>
  </si>
  <si>
    <t>Toplam Ogrenci</t>
  </si>
  <si>
    <t>MBO Ogrenci Sayisi</t>
  </si>
  <si>
    <t>BMI Ogrenci Sayisi</t>
  </si>
  <si>
    <t>1. Tercihle Yerlesen</t>
  </si>
  <si>
    <t>2. Tercihle Yerlesen</t>
  </si>
  <si>
    <t>3. Tercihle Yerlesen</t>
  </si>
  <si>
    <t>4. Tercihle Yerlesen</t>
  </si>
  <si>
    <t>5. Tercihle Yerlesen</t>
  </si>
  <si>
    <t>6. Tercihle Yerlesen</t>
  </si>
  <si>
    <t>7. Tercihle Yerlesen</t>
  </si>
  <si>
    <t>8. Tercihle Yerlesen</t>
  </si>
  <si>
    <t>9. Tercihle Yerlesen</t>
  </si>
  <si>
    <t>10. Tercihle Yerlesen</t>
  </si>
  <si>
    <t>Isletme Talebiyle Yerlesen</t>
  </si>
  <si>
    <t>Otomatik Yerlestirilen</t>
  </si>
  <si>
    <t>Zorunlu Atama</t>
  </si>
  <si>
    <t>MBO Not Ortalamasi</t>
  </si>
  <si>
    <t>BMI Not Ortalamasi</t>
  </si>
  <si>
    <t>NAZLI TORNA (HÜSEYİN NAZLI)</t>
  </si>
  <si>
    <t>ÜRÜN TAŞLAMA (AYCAN ÜRÜN)</t>
  </si>
  <si>
    <t>UYSAL TORNA (MUHAMMET UYSAL)</t>
  </si>
  <si>
    <t>ARDA YILMAZ,YASAR ARDA CAL,YUSUF EFE CAL</t>
  </si>
  <si>
    <t>ÇALIŞAN YAKINI</t>
  </si>
  <si>
    <t>YERLESTI</t>
  </si>
  <si>
    <t>Isletme Talebi</t>
  </si>
  <si>
    <t>ISLETME TALEBI</t>
  </si>
  <si>
    <t>BATIKAN ALEMDAR TASPINAR,MEHMET KAZIM UZUN</t>
  </si>
  <si>
    <t>Otomatik</t>
  </si>
  <si>
    <t>OTOMATIK</t>
  </si>
  <si>
    <t>SALIH AGCIK,ALI HAN CELIK ,MERT BERAT VARLI,FAHRI CAN ILGAZ</t>
  </si>
  <si>
    <t>TUNAHAN TEKER,EREN OLUM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</si>
</sst>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1F4E79"/>
      <name val="Arial"/>
      <charset val="1"/>
    </font>
    <font>
      <b/>
      <sz val="10"/>
      <color rgb="FFC00000"/>
      <name val="Arial"/>
      <charset val="1"/>
    </font>
    <font>
      <b/>
      <sz val="10"/>
      <color rgb="FF375623"/>
      <name val="Arial"/>
      <charset val="1"/>
    </font>
    <font>
      <b/>
      <i/>
      <sz val="9"/>
      <color rgb="FF404040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10"/>
      <color rgb="FF7B0000"/>
      <name val="Arial"/>
      <charset val="1"/>
    </font>
    <font>
      <b/>
      <i/>
      <sz val="9"/>
      <color rgb="FF7B0000"/>
      <name val="Arial"/>
      <charset val="1"/>
    </font>
    <font>
      <b/>
      <i/>
      <sz val="9"/>
      <color rgb="FF7F4F00"/>
      <name val="Arial"/>
      <charset val="1"/>
    </font>
    <font>
      <b/>
      <sz val="10"/>
      <color rgb="FF000000"/>
      <name val="Arial"/>
      <charset val="1"/>
    </font>
    <font>
      <b/>
      <sz val="11"/>
      <color rgb="FF1F4E79"/>
      <name val="Arial"/>
      <charset val="1"/>
    </font>
    <font>
      <b/>
      <sz val="11"/>
      <color rgb="FF375623"/>
      <name val="Arial"/>
      <charset val="1"/>
    </font>
    <font>
      <b/>
      <sz val="11"/>
      <color rgb="FFC00000"/>
      <name val="Arial"/>
      <charset val="1"/>
    </font>
    <font>
      <b/>
      <sz val="8"/>
      <color rgb="FF404040"/>
      <name val="Arial"/>
      <charset val="1"/>
    </font>
    <font>
      <sz val="8"/>
      <name val="Arial"/>
      <charset val="1"/>
    </font>
    <font>
      <b/>
      <sz val="12"/>
      <color rgb="FFFFFFFF"/>
      <name val="Arial"/>
      <charset val="1"/>
    </font>
    <font>
      <b/>
      <sz val="12"/>
      <color rgb="FF1F4E79"/>
      <name val="Arial"/>
      <charset val="1"/>
    </font>
    <font>
      <b/>
      <sz val="10"/>
      <name val="Arial"/>
      <family val="2"/>
      <charset val="162"/>
    </font>
    <font>
      <b/>
      <sz val="10"/>
      <color rgb="FFFFFFFF"/>
      <name val="Arial"/>
      <family val="2"/>
      <charset val="162"/>
    </font>
    <font>
      <sz val="10"/>
      <color rgb="FF000000"/>
      <name val="Arial"/>
      <family val="2"/>
      <charset val="162"/>
    </font>
    <font>
      <sz val="10"/>
      <name val="Arial"/>
      <family val="2"/>
      <charset val="162"/>
    </font>
  </fonts>
  <fills count="4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70C0"/>
      </patternFill>
    </fill>
    <fill>
      <patternFill patternType="solid">
        <fgColor rgb="FF375623"/>
        <bgColor rgb="FF404040"/>
      </patternFill>
    </fill>
    <fill>
      <patternFill patternType="solid">
        <fgColor rgb="FF70AD47"/>
        <bgColor rgb="FF888888"/>
      </patternFill>
    </fill>
    <fill>
      <patternFill patternType="solid">
        <fgColor rgb="FFDEEAF1"/>
        <bgColor rgb="FFD9F0FF"/>
      </patternFill>
    </fill>
    <fill>
      <patternFill patternType="solid">
        <fgColor rgb="FFFFFACD"/>
        <bgColor rgb="FFFFF0D9"/>
      </patternFill>
    </fill>
    <fill>
      <patternFill patternType="solid">
        <fgColor rgb="FFFFD966"/>
        <bgColor rgb="FFFFE4C0"/>
      </patternFill>
    </fill>
    <fill>
      <patternFill patternType="solid">
        <fgColor rgb="FFE2EFDA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DEEAF1"/>
      </patternFill>
    </fill>
    <fill>
      <patternFill patternType="solid">
        <fgColor rgb="FFF2F2F2"/>
        <bgColor rgb="FFFFE8F0"/>
      </patternFill>
    </fill>
    <fill>
      <patternFill patternType="solid">
        <fgColor rgb="FFED7D31"/>
        <bgColor rgb="FFFF8C00"/>
      </patternFill>
    </fill>
    <fill>
      <patternFill patternType="solid">
        <fgColor rgb="FFC00000"/>
        <bgColor rgb="FFC0005A"/>
      </patternFill>
    </fill>
    <fill>
      <patternFill patternType="solid">
        <fgColor rgb="FF7030A0"/>
        <bgColor rgb="FF993366"/>
      </patternFill>
    </fill>
    <fill>
      <patternFill patternType="solid">
        <fgColor rgb="FF0070C0"/>
        <bgColor rgb="FF008080"/>
      </patternFill>
    </fill>
    <fill>
      <patternFill patternType="solid">
        <fgColor rgb="FFFF8C00"/>
        <bgColor rgb="FFED7D31"/>
      </patternFill>
    </fill>
    <fill>
      <patternFill patternType="solid">
        <fgColor rgb="FFC0005A"/>
        <bgColor rgb="FFC00000"/>
      </patternFill>
    </fill>
    <fill>
      <patternFill patternType="solid">
        <fgColor rgb="FF7B0000"/>
        <bgColor rgb="FF800000"/>
      </patternFill>
    </fill>
    <fill>
      <patternFill patternType="solid">
        <fgColor rgb="FFFCE4D6"/>
        <bgColor rgb="FFFFE0E0"/>
      </patternFill>
    </fill>
    <fill>
      <patternFill patternType="solid">
        <fgColor rgb="FFFFD9D8"/>
        <bgColor rgb="FFFFE0E0"/>
      </patternFill>
    </fill>
    <fill>
      <patternFill patternType="solid">
        <fgColor rgb="FFEAD1FF"/>
        <bgColor rgb="FFD9D9D9"/>
      </patternFill>
    </fill>
    <fill>
      <patternFill patternType="solid">
        <fgColor rgb="FFD9F0FF"/>
        <bgColor rgb="FFDEEAF1"/>
      </patternFill>
    </fill>
    <fill>
      <patternFill patternType="solid">
        <fgColor rgb="FFFFF0D9"/>
        <bgColor rgb="FFFFFACD"/>
      </patternFill>
    </fill>
    <fill>
      <patternFill patternType="solid">
        <fgColor rgb="FFE8FFD9"/>
        <bgColor rgb="FFE2EFDA"/>
      </patternFill>
    </fill>
    <fill>
      <patternFill patternType="solid">
        <fgColor rgb="FFFFE8F0"/>
        <bgColor rgb="FFFFE0E0"/>
      </patternFill>
    </fill>
    <fill>
      <patternFill patternType="solid">
        <fgColor rgb="FFFFE0E0"/>
        <bgColor rgb="FFFCE4D6"/>
      </patternFill>
    </fill>
    <fill>
      <patternFill patternType="solid">
        <fgColor rgb="FFFFE4C0"/>
        <bgColor rgb="FFFCE4D6"/>
      </patternFill>
    </fill>
    <fill>
      <patternFill patternType="solid">
        <fgColor rgb="FFE2EFDA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AD1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9F0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9" tint="0.79998168889431442"/>
        <bgColor rgb="FFDEEAF1"/>
      </patternFill>
    </fill>
    <fill>
      <patternFill patternType="solid">
        <fgColor rgb="FFFCE4D6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96969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0" fillId="0" borderId="0" xfId="0" applyAlignment="1"/>
    <xf numFmtId="0" fontId="0" fillId="0" borderId="2" xfId="0" applyBorder="1" applyAlignment="1"/>
    <xf numFmtId="0" fontId="3" fillId="3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2" fontId="5" fillId="7" borderId="2" xfId="0" applyNumberFormat="1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/>
    </xf>
    <xf numFmtId="2" fontId="7" fillId="7" borderId="2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left" vertical="center"/>
    </xf>
    <xf numFmtId="2" fontId="7" fillId="11" borderId="2" xfId="0" applyNumberFormat="1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2" fontId="5" fillId="11" borderId="2" xfId="0" applyNumberFormat="1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0" fillId="17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18" borderId="2" xfId="0" applyFont="1" applyFill="1" applyBorder="1" applyAlignment="1">
      <alignment horizontal="center" vertical="center" wrapText="1"/>
    </xf>
    <xf numFmtId="0" fontId="9" fillId="19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left" vertical="center"/>
    </xf>
    <xf numFmtId="2" fontId="5" fillId="6" borderId="2" xfId="0" applyNumberFormat="1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left" vertical="center"/>
    </xf>
    <xf numFmtId="0" fontId="11" fillId="7" borderId="2" xfId="0" applyFont="1" applyFill="1" applyBorder="1" applyAlignment="1">
      <alignment horizontal="left" vertical="center"/>
    </xf>
    <xf numFmtId="0" fontId="11" fillId="20" borderId="2" xfId="0" applyFont="1" applyFill="1" applyBorder="1" applyAlignment="1">
      <alignment horizontal="left" vertical="center"/>
    </xf>
    <xf numFmtId="0" fontId="11" fillId="21" borderId="2" xfId="0" applyFont="1" applyFill="1" applyBorder="1" applyAlignment="1">
      <alignment horizontal="left" vertical="center"/>
    </xf>
    <xf numFmtId="0" fontId="11" fillId="22" borderId="2" xfId="0" applyFont="1" applyFill="1" applyBorder="1" applyAlignment="1">
      <alignment horizontal="left" vertical="center"/>
    </xf>
    <xf numFmtId="0" fontId="11" fillId="23" borderId="2" xfId="0" applyFont="1" applyFill="1" applyBorder="1" applyAlignment="1">
      <alignment horizontal="left" vertical="center"/>
    </xf>
    <xf numFmtId="0" fontId="11" fillId="24" borderId="2" xfId="0" applyFont="1" applyFill="1" applyBorder="1" applyAlignment="1">
      <alignment horizontal="left" vertical="center"/>
    </xf>
    <xf numFmtId="0" fontId="11" fillId="25" borderId="2" xfId="0" applyFont="1" applyFill="1" applyBorder="1" applyAlignment="1">
      <alignment horizontal="left" vertical="center"/>
    </xf>
    <xf numFmtId="0" fontId="11" fillId="26" borderId="2" xfId="0" applyFont="1" applyFill="1" applyBorder="1" applyAlignment="1">
      <alignment horizontal="left" vertical="center"/>
    </xf>
    <xf numFmtId="0" fontId="13" fillId="27" borderId="2" xfId="0" applyFont="1" applyFill="1" applyBorder="1" applyAlignment="1">
      <alignment horizontal="left" vertical="center" wrapText="1"/>
    </xf>
    <xf numFmtId="0" fontId="11" fillId="10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left" vertical="center"/>
    </xf>
    <xf numFmtId="2" fontId="5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left" vertical="center"/>
    </xf>
    <xf numFmtId="0" fontId="11" fillId="11" borderId="2" xfId="0" applyFont="1" applyFill="1" applyBorder="1" applyAlignment="1">
      <alignment horizontal="left" vertical="center"/>
    </xf>
    <xf numFmtId="0" fontId="13" fillId="11" borderId="2" xfId="0" applyFont="1" applyFill="1" applyBorder="1" applyAlignment="1">
      <alignment horizontal="left" vertical="center" wrapText="1"/>
    </xf>
    <xf numFmtId="0" fontId="11" fillId="9" borderId="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left" vertical="center"/>
    </xf>
    <xf numFmtId="2" fontId="7" fillId="9" borderId="2" xfId="0" applyNumberFormat="1" applyFont="1" applyFill="1" applyBorder="1" applyAlignment="1">
      <alignment horizontal="center" vertical="center"/>
    </xf>
    <xf numFmtId="2" fontId="7" fillId="10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left" vertical="center" wrapText="1"/>
    </xf>
    <xf numFmtId="1" fontId="17" fillId="7" borderId="2" xfId="0" applyNumberFormat="1" applyFont="1" applyFill="1" applyBorder="1" applyAlignment="1">
      <alignment horizontal="center" vertical="center"/>
    </xf>
    <xf numFmtId="1" fontId="18" fillId="7" borderId="2" xfId="0" applyNumberFormat="1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1" fillId="20" borderId="2" xfId="0" applyFont="1" applyFill="1" applyBorder="1" applyAlignment="1">
      <alignment horizontal="left" vertical="center" wrapText="1"/>
    </xf>
    <xf numFmtId="0" fontId="16" fillId="10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21" fillId="9" borderId="2" xfId="0" applyFont="1" applyFill="1" applyBorder="1" applyAlignment="1">
      <alignment horizontal="left" vertical="center"/>
    </xf>
    <xf numFmtId="0" fontId="21" fillId="6" borderId="2" xfId="0" applyFont="1" applyFill="1" applyBorder="1" applyAlignment="1">
      <alignment horizontal="left" vertical="center"/>
    </xf>
    <xf numFmtId="0" fontId="21" fillId="7" borderId="2" xfId="0" applyFont="1" applyFill="1" applyBorder="1" applyAlignment="1">
      <alignment horizontal="left" vertical="center"/>
    </xf>
    <xf numFmtId="0" fontId="21" fillId="20" borderId="2" xfId="0" applyFont="1" applyFill="1" applyBorder="1" applyAlignment="1">
      <alignment horizontal="left" vertical="center"/>
    </xf>
    <xf numFmtId="0" fontId="21" fillId="21" borderId="2" xfId="0" applyFont="1" applyFill="1" applyBorder="1" applyAlignment="1">
      <alignment horizontal="left" vertical="center"/>
    </xf>
    <xf numFmtId="0" fontId="21" fillId="22" borderId="2" xfId="0" applyFont="1" applyFill="1" applyBorder="1" applyAlignment="1">
      <alignment horizontal="left" vertical="center"/>
    </xf>
    <xf numFmtId="0" fontId="21" fillId="23" borderId="2" xfId="0" applyFont="1" applyFill="1" applyBorder="1" applyAlignment="1">
      <alignment horizontal="left" vertical="center"/>
    </xf>
    <xf numFmtId="0" fontId="21" fillId="24" borderId="2" xfId="0" applyFont="1" applyFill="1" applyBorder="1" applyAlignment="1">
      <alignment horizontal="left" vertical="center"/>
    </xf>
    <xf numFmtId="0" fontId="21" fillId="25" borderId="2" xfId="0" applyFont="1" applyFill="1" applyBorder="1" applyAlignment="1">
      <alignment horizontal="left" vertical="center"/>
    </xf>
    <xf numFmtId="0" fontId="21" fillId="26" borderId="2" xfId="0" applyFont="1" applyFill="1" applyBorder="1" applyAlignment="1">
      <alignment horizontal="left" vertical="center"/>
    </xf>
    <xf numFmtId="0" fontId="21" fillId="11" borderId="2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horizontal="left" vertical="center"/>
    </xf>
    <xf numFmtId="0" fontId="25" fillId="0" borderId="2" xfId="0" applyFont="1" applyFill="1" applyBorder="1" applyAlignment="1">
      <alignment horizontal="center" vertical="center"/>
    </xf>
    <xf numFmtId="0" fontId="24" fillId="29" borderId="2" xfId="0" applyFont="1" applyFill="1" applyBorder="1" applyAlignment="1">
      <alignment horizontal="left" vertical="center"/>
    </xf>
    <xf numFmtId="0" fontId="25" fillId="30" borderId="2" xfId="0" applyFont="1" applyFill="1" applyBorder="1" applyAlignment="1">
      <alignment horizontal="center" vertical="center"/>
    </xf>
    <xf numFmtId="0" fontId="24" fillId="31" borderId="2" xfId="0" applyFont="1" applyFill="1" applyBorder="1" applyAlignment="1">
      <alignment horizontal="left" vertical="center"/>
    </xf>
    <xf numFmtId="0" fontId="25" fillId="32" borderId="2" xfId="0" applyFont="1" applyFill="1" applyBorder="1" applyAlignment="1">
      <alignment horizontal="center" vertical="center"/>
    </xf>
    <xf numFmtId="0" fontId="24" fillId="33" borderId="2" xfId="0" applyFont="1" applyFill="1" applyBorder="1" applyAlignment="1">
      <alignment horizontal="left" vertical="center"/>
    </xf>
    <xf numFmtId="0" fontId="25" fillId="34" borderId="2" xfId="0" applyFont="1" applyFill="1" applyBorder="1" applyAlignment="1">
      <alignment horizontal="center" vertical="center"/>
    </xf>
    <xf numFmtId="0" fontId="24" fillId="35" borderId="2" xfId="0" applyFont="1" applyFill="1" applyBorder="1" applyAlignment="1">
      <alignment horizontal="left" vertical="center"/>
    </xf>
    <xf numFmtId="0" fontId="25" fillId="36" borderId="2" xfId="0" applyFont="1" applyFill="1" applyBorder="1" applyAlignment="1">
      <alignment horizontal="center" vertical="center"/>
    </xf>
    <xf numFmtId="0" fontId="24" fillId="37" borderId="2" xfId="0" applyFont="1" applyFill="1" applyBorder="1" applyAlignment="1">
      <alignment horizontal="left" vertical="center"/>
    </xf>
    <xf numFmtId="0" fontId="25" fillId="38" borderId="2" xfId="0" applyFont="1" applyFill="1" applyBorder="1" applyAlignment="1">
      <alignment horizontal="center" vertical="center"/>
    </xf>
    <xf numFmtId="0" fontId="26" fillId="10" borderId="2" xfId="0" applyFont="1" applyFill="1" applyBorder="1" applyAlignment="1">
      <alignment horizontal="left" vertical="center"/>
    </xf>
    <xf numFmtId="0" fontId="27" fillId="20" borderId="2" xfId="0" applyFont="1" applyFill="1" applyBorder="1" applyAlignment="1">
      <alignment horizontal="left" vertical="center" wrapText="1"/>
    </xf>
    <xf numFmtId="0" fontId="26" fillId="6" borderId="2" xfId="0" applyFont="1" applyFill="1" applyBorder="1" applyAlignment="1">
      <alignment horizontal="left" vertical="center"/>
    </xf>
    <xf numFmtId="0" fontId="26" fillId="39" borderId="2" xfId="0" applyFont="1" applyFill="1" applyBorder="1" applyAlignment="1">
      <alignment horizontal="left" vertical="center" wrapText="1"/>
    </xf>
    <xf numFmtId="0" fontId="26" fillId="9" borderId="2" xfId="0" applyFont="1" applyFill="1" applyBorder="1" applyAlignment="1">
      <alignment horizontal="left" vertical="center"/>
    </xf>
    <xf numFmtId="0" fontId="26" fillId="40" borderId="2" xfId="0" applyFont="1" applyFill="1" applyBorder="1" applyAlignment="1">
      <alignment horizontal="left" vertical="center"/>
    </xf>
    <xf numFmtId="0" fontId="24" fillId="41" borderId="2" xfId="0" applyFont="1" applyFill="1" applyBorder="1" applyAlignment="1">
      <alignment horizontal="left" vertical="center"/>
    </xf>
    <xf numFmtId="0" fontId="24" fillId="42" borderId="2" xfId="0" applyFont="1" applyFill="1" applyBorder="1" applyAlignment="1">
      <alignment horizontal="left" vertical="center"/>
    </xf>
    <xf numFmtId="0" fontId="25" fillId="43" borderId="2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4" fillId="27" borderId="1" xfId="0" applyFont="1" applyFill="1" applyBorder="1" applyAlignment="1">
      <alignment horizontal="left" vertical="center"/>
    </xf>
    <xf numFmtId="0" fontId="15" fillId="8" borderId="1" xfId="0" applyFont="1" applyFill="1" applyBorder="1" applyAlignment="1">
      <alignment horizontal="left" vertical="center"/>
    </xf>
    <xf numFmtId="0" fontId="20" fillId="12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left" vertical="center"/>
    </xf>
    <xf numFmtId="0" fontId="23" fillId="8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0" fontId="16" fillId="7" borderId="1" xfId="0" applyFont="1" applyFill="1" applyBorder="1" applyAlignment="1">
      <alignment horizontal="left" vertical="center"/>
    </xf>
    <xf numFmtId="0" fontId="16" fillId="20" borderId="1" xfId="0" applyFont="1" applyFill="1" applyBorder="1" applyAlignment="1">
      <alignment horizontal="left" vertical="center"/>
    </xf>
    <xf numFmtId="0" fontId="16" fillId="21" borderId="1" xfId="0" applyFont="1" applyFill="1" applyBorder="1" applyAlignment="1">
      <alignment horizontal="left" vertical="center"/>
    </xf>
    <xf numFmtId="0" fontId="16" fillId="22" borderId="1" xfId="0" applyFont="1" applyFill="1" applyBorder="1" applyAlignment="1">
      <alignment horizontal="left" vertical="center"/>
    </xf>
    <xf numFmtId="0" fontId="16" fillId="23" borderId="1" xfId="0" applyFont="1" applyFill="1" applyBorder="1" applyAlignment="1">
      <alignment horizontal="left" vertical="center"/>
    </xf>
    <xf numFmtId="0" fontId="16" fillId="24" borderId="1" xfId="0" applyFont="1" applyFill="1" applyBorder="1" applyAlignment="1">
      <alignment horizontal="left" vertical="center"/>
    </xf>
    <xf numFmtId="0" fontId="16" fillId="25" borderId="1" xfId="0" applyFont="1" applyFill="1" applyBorder="1" applyAlignment="1">
      <alignment horizontal="left" vertical="center"/>
    </xf>
    <xf numFmtId="0" fontId="16" fillId="26" borderId="1" xfId="0" applyFont="1" applyFill="1" applyBorder="1" applyAlignment="1">
      <alignment horizontal="left" vertical="center"/>
    </xf>
    <xf numFmtId="0" fontId="16" fillId="28" borderId="1" xfId="0" applyFont="1" applyFill="1" applyBorder="1" applyAlignment="1">
      <alignment horizontal="left" vertical="center"/>
    </xf>
    <xf numFmtId="2" fontId="23" fillId="8" borderId="1" xfId="0" applyNumberFormat="1" applyFont="1" applyFill="1" applyBorder="1" applyAlignment="1">
      <alignment horizontal="center" vertical="center"/>
    </xf>
    <xf numFmtId="0" fontId="16" fillId="2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CE4D6"/>
      <rgbColor rgb="FFFF00FF"/>
      <rgbColor rgb="FF00FFFF"/>
      <rgbColor rgb="FF7B0000"/>
      <rgbColor rgb="FF008000"/>
      <rgbColor rgb="FF000080"/>
      <rgbColor rgb="FF808000"/>
      <rgbColor rgb="FFC0005A"/>
      <rgbColor rgb="FF008080"/>
      <rgbColor rgb="FFD9D9D9"/>
      <rgbColor rgb="FF888888"/>
      <rgbColor rgb="FFFFE8F0"/>
      <rgbColor rgb="FF7030A0"/>
      <rgbColor rgb="FFFFFACD"/>
      <rgbColor rgb="FFD9F0FF"/>
      <rgbColor rgb="FF660066"/>
      <rgbColor rgb="FFFF8080"/>
      <rgbColor rgb="FF0070C0"/>
      <rgbColor rgb="FFEAD1FF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EEAF1"/>
      <rgbColor rgb="FFE8FFD9"/>
      <rgbColor rgb="FFFFF0D9"/>
      <rgbColor rgb="FFE2EFDA"/>
      <rgbColor rgb="FFFFD9D8"/>
      <rgbColor rgb="FFFFE0E0"/>
      <rgbColor rgb="FFFFD966"/>
      <rgbColor rgb="FF2E75B6"/>
      <rgbColor rgb="FF33CCCC"/>
      <rgbColor rgb="FF99CC00"/>
      <rgbColor rgb="FFFFE4C0"/>
      <rgbColor rgb="FFFF8C00"/>
      <rgbColor rgb="FFED7D31"/>
      <rgbColor rgb="FF666699"/>
      <rgbColor rgb="FF70AD47"/>
      <rgbColor rgb="FF003366"/>
      <rgbColor rgb="FF339966"/>
      <rgbColor rgb="FF003300"/>
      <rgbColor rgb="FF375623"/>
      <rgbColor rgb="FF7F4F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"/>
  <dimension ref="A1:K40"/>
  <sheetViews>
    <sheetView showGridLines="0" zoomScaleNormal="100" workbookViewId="0">
      <selection activeCell="I22" sqref="I22"/>
    </sheetView>
  </sheetViews>
  <sheetFormatPr defaultColWidth="8.7109375" defaultRowHeight="15" x14ac:dyDescent="0.25"/>
  <cols>
    <col min="1" max="1" width="4" style="1" customWidth="1"/>
    <col min="2" max="2" width="8" style="1" customWidth="1"/>
    <col min="3" max="3" width="28" style="1" customWidth="1"/>
    <col min="4" max="4" width="13" style="1" customWidth="1"/>
    <col min="5" max="5" width="9" style="1" customWidth="1"/>
    <col min="6" max="6" width="3" style="1" customWidth="1"/>
    <col min="7" max="7" width="4" style="1" customWidth="1"/>
    <col min="8" max="8" width="8" style="1" customWidth="1"/>
    <col min="9" max="9" width="28" style="1" customWidth="1"/>
    <col min="10" max="10" width="13" style="1" customWidth="1"/>
    <col min="11" max="11" width="9" style="1" customWidth="1"/>
  </cols>
  <sheetData>
    <row r="1" spans="1:11" ht="31.5" customHeight="1" x14ac:dyDescent="0.25">
      <c r="A1" s="105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</row>
    <row r="2" spans="1:11" ht="21.75" customHeight="1" x14ac:dyDescent="0.25">
      <c r="A2" s="106" t="s">
        <v>1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</row>
    <row r="3" spans="1:11" ht="6" customHeight="1" x14ac:dyDescent="0.25"/>
    <row r="4" spans="1:11" ht="24.75" customHeight="1" x14ac:dyDescent="0.25">
      <c r="A4" s="107" t="s">
        <v>2</v>
      </c>
      <c r="B4" s="107"/>
      <c r="C4" s="107"/>
      <c r="D4" s="107"/>
      <c r="E4" s="107"/>
      <c r="F4" s="2"/>
      <c r="G4" s="108" t="s">
        <v>3</v>
      </c>
      <c r="H4" s="108"/>
      <c r="I4" s="108"/>
      <c r="J4" s="108"/>
      <c r="K4" s="108"/>
    </row>
    <row r="5" spans="1:11" ht="30" customHeight="1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2"/>
      <c r="G5" s="4" t="s">
        <v>4</v>
      </c>
      <c r="H5" s="4" t="s">
        <v>5</v>
      </c>
      <c r="I5" s="4" t="s">
        <v>6</v>
      </c>
      <c r="J5" s="4" t="s">
        <v>7</v>
      </c>
      <c r="K5" s="4" t="s">
        <v>8</v>
      </c>
    </row>
    <row r="6" spans="1:11" ht="18.75" customHeight="1" x14ac:dyDescent="0.25">
      <c r="A6" s="5">
        <v>1</v>
      </c>
      <c r="B6" s="5" t="s">
        <v>9</v>
      </c>
      <c r="C6" s="6" t="s">
        <v>10</v>
      </c>
      <c r="D6" s="7">
        <v>74.819999999999993</v>
      </c>
      <c r="E6" s="8">
        <f t="shared" ref="E6:E37" si="0">IFERROR(RANK(D6,D$6:D$37,0),"")</f>
        <v>7</v>
      </c>
      <c r="F6" s="2"/>
      <c r="G6" s="9">
        <v>1</v>
      </c>
      <c r="H6" s="9" t="s">
        <v>11</v>
      </c>
      <c r="I6" s="10" t="s">
        <v>12</v>
      </c>
      <c r="J6" s="11">
        <v>60.79</v>
      </c>
      <c r="K6" s="8">
        <f t="shared" ref="K6:K37" si="1">IFERROR(RANK(J6,J$6:J$37,0),"")</f>
        <v>14</v>
      </c>
    </row>
    <row r="7" spans="1:11" ht="18.75" customHeight="1" x14ac:dyDescent="0.25">
      <c r="A7" s="12">
        <v>2</v>
      </c>
      <c r="B7" s="12" t="s">
        <v>13</v>
      </c>
      <c r="C7" s="13" t="s">
        <v>14</v>
      </c>
      <c r="D7" s="7">
        <v>78.88</v>
      </c>
      <c r="E7" s="8">
        <f t="shared" si="0"/>
        <v>1</v>
      </c>
      <c r="F7" s="2"/>
      <c r="G7" s="12">
        <v>2</v>
      </c>
      <c r="H7" s="12"/>
      <c r="I7" s="13"/>
      <c r="J7" s="11"/>
      <c r="K7" s="8" t="str">
        <f t="shared" si="1"/>
        <v/>
      </c>
    </row>
    <row r="8" spans="1:11" ht="18.75" customHeight="1" x14ac:dyDescent="0.25">
      <c r="A8" s="5">
        <v>3</v>
      </c>
      <c r="B8" s="5" t="s">
        <v>15</v>
      </c>
      <c r="C8" s="6" t="s">
        <v>16</v>
      </c>
      <c r="D8" s="7">
        <v>77.56</v>
      </c>
      <c r="E8" s="8">
        <f t="shared" si="0"/>
        <v>3</v>
      </c>
      <c r="F8" s="2"/>
      <c r="G8" s="9">
        <v>3</v>
      </c>
      <c r="H8" s="9" t="s">
        <v>17</v>
      </c>
      <c r="I8" s="10" t="s">
        <v>18</v>
      </c>
      <c r="J8" s="11">
        <v>62.67</v>
      </c>
      <c r="K8" s="8">
        <f t="shared" si="1"/>
        <v>13</v>
      </c>
    </row>
    <row r="9" spans="1:11" ht="18.75" customHeight="1" x14ac:dyDescent="0.25">
      <c r="A9" s="12">
        <v>4</v>
      </c>
      <c r="B9" s="12" t="s">
        <v>19</v>
      </c>
      <c r="C9" s="13" t="s">
        <v>20</v>
      </c>
      <c r="D9" s="7">
        <v>70.33</v>
      </c>
      <c r="E9" s="8">
        <f t="shared" si="0"/>
        <v>13</v>
      </c>
      <c r="F9" s="2"/>
      <c r="G9" s="12">
        <v>4</v>
      </c>
      <c r="H9" s="12" t="s">
        <v>21</v>
      </c>
      <c r="I9" s="13" t="s">
        <v>22</v>
      </c>
      <c r="J9" s="11">
        <v>66.239999999999995</v>
      </c>
      <c r="K9" s="8">
        <f t="shared" si="1"/>
        <v>10</v>
      </c>
    </row>
    <row r="10" spans="1:11" ht="18.75" customHeight="1" x14ac:dyDescent="0.25">
      <c r="A10" s="5">
        <v>5</v>
      </c>
      <c r="B10" s="5" t="s">
        <v>23</v>
      </c>
      <c r="C10" s="6" t="s">
        <v>24</v>
      </c>
      <c r="D10" s="7">
        <v>71.599999999999994</v>
      </c>
      <c r="E10" s="8">
        <f t="shared" si="0"/>
        <v>10</v>
      </c>
      <c r="F10" s="2"/>
      <c r="G10" s="9">
        <v>5</v>
      </c>
      <c r="H10" s="9" t="s">
        <v>25</v>
      </c>
      <c r="I10" s="10" t="s">
        <v>26</v>
      </c>
      <c r="J10" s="11">
        <v>79.08</v>
      </c>
      <c r="K10" s="8">
        <f t="shared" si="1"/>
        <v>2</v>
      </c>
    </row>
    <row r="11" spans="1:11" ht="18.75" customHeight="1" x14ac:dyDescent="0.25">
      <c r="A11" s="12">
        <v>6</v>
      </c>
      <c r="B11" s="12" t="s">
        <v>27</v>
      </c>
      <c r="C11" s="13" t="s">
        <v>28</v>
      </c>
      <c r="D11" s="7">
        <v>78.75</v>
      </c>
      <c r="E11" s="8">
        <f t="shared" si="0"/>
        <v>2</v>
      </c>
      <c r="F11" s="2"/>
      <c r="G11" s="12">
        <v>6</v>
      </c>
      <c r="H11" s="12" t="s">
        <v>29</v>
      </c>
      <c r="I11" s="13" t="s">
        <v>30</v>
      </c>
      <c r="J11" s="11">
        <v>73.2</v>
      </c>
      <c r="K11" s="8">
        <f t="shared" si="1"/>
        <v>5</v>
      </c>
    </row>
    <row r="12" spans="1:11" ht="18.75" customHeight="1" x14ac:dyDescent="0.25">
      <c r="A12" s="5">
        <v>7</v>
      </c>
      <c r="B12" s="5" t="s">
        <v>31</v>
      </c>
      <c r="C12" s="6" t="s">
        <v>32</v>
      </c>
      <c r="D12" s="7">
        <v>69.150000000000006</v>
      </c>
      <c r="E12" s="8">
        <f t="shared" si="0"/>
        <v>14</v>
      </c>
      <c r="F12" s="2"/>
      <c r="G12" s="9">
        <v>7</v>
      </c>
      <c r="H12" s="9" t="s">
        <v>33</v>
      </c>
      <c r="I12" s="99" t="s">
        <v>34</v>
      </c>
      <c r="J12" s="11">
        <v>71.22</v>
      </c>
      <c r="K12" s="8">
        <f t="shared" si="1"/>
        <v>7</v>
      </c>
    </row>
    <row r="13" spans="1:11" ht="18.75" customHeight="1" x14ac:dyDescent="0.25">
      <c r="A13" s="12">
        <v>8</v>
      </c>
      <c r="B13" s="12" t="s">
        <v>35</v>
      </c>
      <c r="C13" s="13" t="s">
        <v>36</v>
      </c>
      <c r="D13" s="7">
        <v>70.569999999999993</v>
      </c>
      <c r="E13" s="8">
        <f t="shared" si="0"/>
        <v>12</v>
      </c>
      <c r="F13" s="2"/>
      <c r="G13" s="12">
        <v>8</v>
      </c>
      <c r="H13" s="12" t="s">
        <v>37</v>
      </c>
      <c r="I13" s="13" t="s">
        <v>38</v>
      </c>
      <c r="J13" s="11">
        <v>69.260000000000005</v>
      </c>
      <c r="K13" s="8">
        <f t="shared" si="1"/>
        <v>8</v>
      </c>
    </row>
    <row r="14" spans="1:11" ht="18.75" customHeight="1" x14ac:dyDescent="0.25">
      <c r="A14" s="5">
        <v>9</v>
      </c>
      <c r="B14" s="5" t="s">
        <v>39</v>
      </c>
      <c r="C14" s="6" t="s">
        <v>40</v>
      </c>
      <c r="D14" s="7">
        <v>72.010000000000005</v>
      </c>
      <c r="E14" s="8">
        <f t="shared" si="0"/>
        <v>8</v>
      </c>
      <c r="F14" s="2"/>
      <c r="G14" s="9">
        <v>9</v>
      </c>
      <c r="H14" s="9" t="s">
        <v>41</v>
      </c>
      <c r="I14" s="10" t="s">
        <v>42</v>
      </c>
      <c r="J14" s="11">
        <v>73.36</v>
      </c>
      <c r="K14" s="8">
        <f t="shared" si="1"/>
        <v>4</v>
      </c>
    </row>
    <row r="15" spans="1:11" ht="18.75" customHeight="1" x14ac:dyDescent="0.25">
      <c r="A15" s="12">
        <v>10</v>
      </c>
      <c r="B15" s="12" t="s">
        <v>43</v>
      </c>
      <c r="C15" s="95" t="s">
        <v>44</v>
      </c>
      <c r="D15" s="7">
        <v>66.67</v>
      </c>
      <c r="E15" s="8">
        <f t="shared" si="0"/>
        <v>18</v>
      </c>
      <c r="F15" s="2"/>
      <c r="G15" s="12">
        <v>10</v>
      </c>
      <c r="H15" s="12" t="s">
        <v>45</v>
      </c>
      <c r="I15" s="13" t="s">
        <v>46</v>
      </c>
      <c r="J15" s="11">
        <v>73.08</v>
      </c>
      <c r="K15" s="8">
        <f t="shared" si="1"/>
        <v>6</v>
      </c>
    </row>
    <row r="16" spans="1:11" ht="18.75" customHeight="1" x14ac:dyDescent="0.25">
      <c r="A16" s="5">
        <v>11</v>
      </c>
      <c r="B16" s="5" t="s">
        <v>47</v>
      </c>
      <c r="C16" s="6" t="s">
        <v>48</v>
      </c>
      <c r="D16" s="7">
        <v>77</v>
      </c>
      <c r="E16" s="8">
        <f t="shared" si="0"/>
        <v>4</v>
      </c>
      <c r="F16" s="2"/>
      <c r="G16" s="9">
        <v>11</v>
      </c>
      <c r="H16" s="9" t="s">
        <v>49</v>
      </c>
      <c r="I16" s="10" t="s">
        <v>50</v>
      </c>
      <c r="J16" s="11">
        <v>68.41</v>
      </c>
      <c r="K16" s="8">
        <f t="shared" si="1"/>
        <v>9</v>
      </c>
    </row>
    <row r="17" spans="1:11" ht="18.75" customHeight="1" x14ac:dyDescent="0.25">
      <c r="A17" s="12">
        <v>12</v>
      </c>
      <c r="B17" s="12" t="s">
        <v>51</v>
      </c>
      <c r="C17" s="13" t="s">
        <v>52</v>
      </c>
      <c r="D17" s="7">
        <v>75.150000000000006</v>
      </c>
      <c r="E17" s="8">
        <f t="shared" si="0"/>
        <v>5</v>
      </c>
      <c r="F17" s="2"/>
      <c r="G17" s="12">
        <v>12</v>
      </c>
      <c r="H17" s="12" t="s">
        <v>53</v>
      </c>
      <c r="I17" s="13" t="s">
        <v>54</v>
      </c>
      <c r="J17" s="11">
        <v>62.81</v>
      </c>
      <c r="K17" s="8">
        <f t="shared" si="1"/>
        <v>12</v>
      </c>
    </row>
    <row r="18" spans="1:11" ht="18.75" customHeight="1" x14ac:dyDescent="0.25">
      <c r="A18" s="5">
        <v>13</v>
      </c>
      <c r="B18" s="5" t="s">
        <v>55</v>
      </c>
      <c r="C18" s="6" t="s">
        <v>56</v>
      </c>
      <c r="D18" s="7">
        <v>68.540000000000006</v>
      </c>
      <c r="E18" s="8">
        <f t="shared" si="0"/>
        <v>16</v>
      </c>
      <c r="F18" s="2"/>
      <c r="G18" s="9">
        <v>13</v>
      </c>
      <c r="H18" s="9" t="s">
        <v>57</v>
      </c>
      <c r="I18" s="10" t="s">
        <v>58</v>
      </c>
      <c r="J18" s="11">
        <v>79.98</v>
      </c>
      <c r="K18" s="8">
        <f t="shared" si="1"/>
        <v>1</v>
      </c>
    </row>
    <row r="19" spans="1:11" ht="18.75" customHeight="1" x14ac:dyDescent="0.25">
      <c r="A19" s="12">
        <v>14</v>
      </c>
      <c r="B19" s="12" t="s">
        <v>59</v>
      </c>
      <c r="C19" s="13" t="s">
        <v>60</v>
      </c>
      <c r="D19" s="7">
        <v>71.48</v>
      </c>
      <c r="E19" s="8">
        <f t="shared" si="0"/>
        <v>11</v>
      </c>
      <c r="F19" s="2"/>
      <c r="G19" s="12">
        <v>14</v>
      </c>
      <c r="H19" s="12" t="s">
        <v>61</v>
      </c>
      <c r="I19" s="13" t="s">
        <v>62</v>
      </c>
      <c r="J19" s="11">
        <v>65.89</v>
      </c>
      <c r="K19" s="8">
        <f t="shared" si="1"/>
        <v>11</v>
      </c>
    </row>
    <row r="20" spans="1:11" ht="18.75" customHeight="1" x14ac:dyDescent="0.25">
      <c r="A20" s="5">
        <v>15</v>
      </c>
      <c r="B20" s="5" t="s">
        <v>63</v>
      </c>
      <c r="C20" s="6" t="s">
        <v>64</v>
      </c>
      <c r="D20" s="7">
        <v>71.790000000000006</v>
      </c>
      <c r="E20" s="8">
        <f t="shared" si="0"/>
        <v>9</v>
      </c>
      <c r="F20" s="2"/>
      <c r="G20" s="9">
        <v>15</v>
      </c>
      <c r="H20" s="9" t="s">
        <v>65</v>
      </c>
      <c r="I20" s="10" t="s">
        <v>66</v>
      </c>
      <c r="J20" s="11">
        <v>77.010000000000005</v>
      </c>
      <c r="K20" s="8">
        <f t="shared" si="1"/>
        <v>3</v>
      </c>
    </row>
    <row r="21" spans="1:11" ht="18.75" customHeight="1" x14ac:dyDescent="0.25">
      <c r="A21" s="12">
        <v>16</v>
      </c>
      <c r="B21" s="12" t="s">
        <v>67</v>
      </c>
      <c r="C21" s="13" t="s">
        <v>68</v>
      </c>
      <c r="D21" s="7">
        <v>63.71</v>
      </c>
      <c r="E21" s="8">
        <f t="shared" si="0"/>
        <v>20</v>
      </c>
      <c r="F21" s="2"/>
      <c r="G21" s="12">
        <v>16</v>
      </c>
      <c r="H21" s="12"/>
      <c r="I21" s="13"/>
      <c r="J21" s="14"/>
      <c r="K21" s="15" t="str">
        <f t="shared" si="1"/>
        <v/>
      </c>
    </row>
    <row r="22" spans="1:11" ht="18.75" customHeight="1" x14ac:dyDescent="0.25">
      <c r="A22" s="5">
        <v>17</v>
      </c>
      <c r="B22" s="5" t="s">
        <v>69</v>
      </c>
      <c r="C22" s="97" t="s">
        <v>70</v>
      </c>
      <c r="D22" s="7">
        <v>63.45</v>
      </c>
      <c r="E22" s="8">
        <f t="shared" si="0"/>
        <v>21</v>
      </c>
      <c r="F22" s="2"/>
      <c r="G22" s="9">
        <v>17</v>
      </c>
      <c r="H22" s="9"/>
      <c r="I22" s="10"/>
      <c r="J22" s="14"/>
      <c r="K22" s="15" t="str">
        <f t="shared" si="1"/>
        <v/>
      </c>
    </row>
    <row r="23" spans="1:11" ht="18.75" customHeight="1" x14ac:dyDescent="0.25">
      <c r="A23" s="12">
        <v>18</v>
      </c>
      <c r="B23" s="12" t="s">
        <v>71</v>
      </c>
      <c r="C23" s="13" t="s">
        <v>72</v>
      </c>
      <c r="D23" s="7">
        <v>68.900000000000006</v>
      </c>
      <c r="E23" s="8">
        <f t="shared" si="0"/>
        <v>15</v>
      </c>
      <c r="F23" s="2"/>
      <c r="G23" s="12">
        <v>18</v>
      </c>
      <c r="H23" s="12"/>
      <c r="I23" s="13"/>
      <c r="J23" s="14"/>
      <c r="K23" s="15" t="str">
        <f t="shared" si="1"/>
        <v/>
      </c>
    </row>
    <row r="24" spans="1:11" ht="18.75" customHeight="1" x14ac:dyDescent="0.25">
      <c r="A24" s="5">
        <v>19</v>
      </c>
      <c r="B24" s="5" t="s">
        <v>73</v>
      </c>
      <c r="C24" s="6" t="s">
        <v>74</v>
      </c>
      <c r="D24" s="7">
        <v>64.53</v>
      </c>
      <c r="E24" s="8">
        <f t="shared" si="0"/>
        <v>19</v>
      </c>
      <c r="F24" s="2"/>
      <c r="G24" s="9">
        <v>19</v>
      </c>
      <c r="H24" s="9"/>
      <c r="I24" s="10"/>
      <c r="J24" s="14"/>
      <c r="K24" s="15" t="str">
        <f t="shared" si="1"/>
        <v/>
      </c>
    </row>
    <row r="25" spans="1:11" ht="18.75" customHeight="1" x14ac:dyDescent="0.25">
      <c r="A25" s="12">
        <v>20</v>
      </c>
      <c r="B25" s="12" t="s">
        <v>75</v>
      </c>
      <c r="C25" s="13" t="s">
        <v>76</v>
      </c>
      <c r="D25" s="7">
        <v>67.900000000000006</v>
      </c>
      <c r="E25" s="8">
        <f t="shared" si="0"/>
        <v>17</v>
      </c>
      <c r="F25" s="2"/>
      <c r="G25" s="12">
        <v>20</v>
      </c>
      <c r="H25" s="12"/>
      <c r="I25" s="13"/>
      <c r="J25" s="14"/>
      <c r="K25" s="15" t="str">
        <f t="shared" si="1"/>
        <v/>
      </c>
    </row>
    <row r="26" spans="1:11" ht="18.75" customHeight="1" x14ac:dyDescent="0.25">
      <c r="A26" s="5">
        <v>21</v>
      </c>
      <c r="B26" s="5" t="s">
        <v>77</v>
      </c>
      <c r="C26" s="6" t="s">
        <v>78</v>
      </c>
      <c r="D26" s="7">
        <v>75.05</v>
      </c>
      <c r="E26" s="8">
        <f t="shared" si="0"/>
        <v>6</v>
      </c>
      <c r="F26" s="2"/>
      <c r="G26" s="9">
        <v>21</v>
      </c>
      <c r="H26" s="9"/>
      <c r="I26" s="10"/>
      <c r="J26" s="14"/>
      <c r="K26" s="15" t="str">
        <f t="shared" si="1"/>
        <v/>
      </c>
    </row>
    <row r="27" spans="1:11" ht="18.75" customHeight="1" x14ac:dyDescent="0.25">
      <c r="A27" s="12">
        <v>22</v>
      </c>
      <c r="B27" s="12"/>
      <c r="C27" s="13"/>
      <c r="D27" s="16"/>
      <c r="E27" s="15" t="str">
        <f t="shared" si="0"/>
        <v/>
      </c>
      <c r="F27" s="2"/>
      <c r="G27" s="12">
        <v>22</v>
      </c>
      <c r="H27" s="12"/>
      <c r="I27" s="13"/>
      <c r="J27" s="14"/>
      <c r="K27" s="15" t="str">
        <f t="shared" si="1"/>
        <v/>
      </c>
    </row>
    <row r="28" spans="1:11" ht="18.75" customHeight="1" x14ac:dyDescent="0.25">
      <c r="A28" s="5">
        <v>23</v>
      </c>
      <c r="B28" s="5"/>
      <c r="C28" s="6"/>
      <c r="D28" s="16"/>
      <c r="E28" s="15" t="str">
        <f t="shared" si="0"/>
        <v/>
      </c>
      <c r="F28" s="2"/>
      <c r="G28" s="9">
        <v>23</v>
      </c>
      <c r="H28" s="9"/>
      <c r="I28" s="10"/>
      <c r="J28" s="14"/>
      <c r="K28" s="15" t="str">
        <f t="shared" si="1"/>
        <v/>
      </c>
    </row>
    <row r="29" spans="1:11" ht="18.75" customHeight="1" x14ac:dyDescent="0.25">
      <c r="A29" s="12">
        <v>24</v>
      </c>
      <c r="B29" s="12"/>
      <c r="C29" s="13"/>
      <c r="D29" s="16"/>
      <c r="E29" s="15" t="str">
        <f t="shared" si="0"/>
        <v/>
      </c>
      <c r="F29" s="2"/>
      <c r="G29" s="12">
        <v>24</v>
      </c>
      <c r="H29" s="12"/>
      <c r="I29" s="13"/>
      <c r="J29" s="14"/>
      <c r="K29" s="15" t="str">
        <f t="shared" si="1"/>
        <v/>
      </c>
    </row>
    <row r="30" spans="1:11" ht="18.75" customHeight="1" x14ac:dyDescent="0.25">
      <c r="A30" s="5">
        <v>25</v>
      </c>
      <c r="B30" s="5"/>
      <c r="C30" s="6"/>
      <c r="D30" s="16"/>
      <c r="E30" s="15" t="str">
        <f t="shared" si="0"/>
        <v/>
      </c>
      <c r="F30" s="2"/>
      <c r="G30" s="9">
        <v>25</v>
      </c>
      <c r="H30" s="9"/>
      <c r="I30" s="10"/>
      <c r="J30" s="14"/>
      <c r="K30" s="15" t="str">
        <f t="shared" si="1"/>
        <v/>
      </c>
    </row>
    <row r="31" spans="1:11" ht="18.75" customHeight="1" x14ac:dyDescent="0.25">
      <c r="A31" s="12">
        <v>26</v>
      </c>
      <c r="B31" s="12"/>
      <c r="C31" s="13"/>
      <c r="D31" s="16"/>
      <c r="E31" s="15" t="str">
        <f t="shared" si="0"/>
        <v/>
      </c>
      <c r="F31" s="2"/>
      <c r="G31" s="12">
        <v>26</v>
      </c>
      <c r="H31" s="12"/>
      <c r="I31" s="13"/>
      <c r="J31" s="14"/>
      <c r="K31" s="15" t="str">
        <f t="shared" si="1"/>
        <v/>
      </c>
    </row>
    <row r="32" spans="1:11" ht="18.75" customHeight="1" x14ac:dyDescent="0.25">
      <c r="A32" s="5">
        <v>27</v>
      </c>
      <c r="B32" s="5"/>
      <c r="C32" s="6"/>
      <c r="D32" s="16"/>
      <c r="E32" s="15" t="str">
        <f t="shared" si="0"/>
        <v/>
      </c>
      <c r="F32" s="2"/>
      <c r="G32" s="9">
        <v>27</v>
      </c>
      <c r="H32" s="9"/>
      <c r="I32" s="10"/>
      <c r="J32" s="14"/>
      <c r="K32" s="15" t="str">
        <f t="shared" si="1"/>
        <v/>
      </c>
    </row>
    <row r="33" spans="1:11" ht="18.75" customHeight="1" x14ac:dyDescent="0.25">
      <c r="A33" s="12">
        <v>28</v>
      </c>
      <c r="B33" s="12"/>
      <c r="C33" s="13"/>
      <c r="D33" s="16"/>
      <c r="E33" s="15" t="str">
        <f t="shared" si="0"/>
        <v/>
      </c>
      <c r="F33" s="2"/>
      <c r="G33" s="12">
        <v>28</v>
      </c>
      <c r="H33" s="12"/>
      <c r="I33" s="13"/>
      <c r="J33" s="14"/>
      <c r="K33" s="15" t="str">
        <f t="shared" si="1"/>
        <v/>
      </c>
    </row>
    <row r="34" spans="1:11" ht="18.75" customHeight="1" x14ac:dyDescent="0.25">
      <c r="A34" s="5">
        <v>29</v>
      </c>
      <c r="B34" s="5"/>
      <c r="C34" s="6"/>
      <c r="D34" s="16"/>
      <c r="E34" s="15" t="str">
        <f t="shared" si="0"/>
        <v/>
      </c>
      <c r="F34" s="2"/>
      <c r="G34" s="9">
        <v>29</v>
      </c>
      <c r="H34" s="9"/>
      <c r="I34" s="10"/>
      <c r="J34" s="14"/>
      <c r="K34" s="15" t="str">
        <f t="shared" si="1"/>
        <v/>
      </c>
    </row>
    <row r="35" spans="1:11" ht="18.75" customHeight="1" x14ac:dyDescent="0.25">
      <c r="A35" s="12">
        <v>30</v>
      </c>
      <c r="B35" s="12"/>
      <c r="C35" s="13"/>
      <c r="D35" s="16"/>
      <c r="E35" s="15" t="str">
        <f t="shared" si="0"/>
        <v/>
      </c>
      <c r="F35" s="2"/>
      <c r="G35" s="12">
        <v>30</v>
      </c>
      <c r="H35" s="12"/>
      <c r="I35" s="13"/>
      <c r="J35" s="14"/>
      <c r="K35" s="15" t="str">
        <f t="shared" si="1"/>
        <v/>
      </c>
    </row>
    <row r="36" spans="1:11" ht="18.75" customHeight="1" x14ac:dyDescent="0.25">
      <c r="A36" s="5">
        <v>31</v>
      </c>
      <c r="B36" s="5"/>
      <c r="C36" s="6"/>
      <c r="D36" s="16"/>
      <c r="E36" s="15" t="str">
        <f t="shared" si="0"/>
        <v/>
      </c>
      <c r="F36" s="2"/>
      <c r="G36" s="9">
        <v>31</v>
      </c>
      <c r="H36" s="9"/>
      <c r="I36" s="10"/>
      <c r="J36" s="14"/>
      <c r="K36" s="15" t="str">
        <f t="shared" si="1"/>
        <v/>
      </c>
    </row>
    <row r="37" spans="1:11" ht="18.75" customHeight="1" x14ac:dyDescent="0.25">
      <c r="A37" s="12">
        <v>32</v>
      </c>
      <c r="B37" s="12"/>
      <c r="C37" s="13"/>
      <c r="D37" s="16"/>
      <c r="E37" s="15" t="str">
        <f t="shared" si="0"/>
        <v/>
      </c>
      <c r="F37" s="2"/>
      <c r="G37" s="12">
        <v>32</v>
      </c>
      <c r="H37" s="12"/>
      <c r="I37" s="13"/>
      <c r="J37" s="14"/>
      <c r="K37" s="15" t="str">
        <f t="shared" si="1"/>
        <v/>
      </c>
    </row>
    <row r="38" spans="1:11" ht="21.75" customHeight="1" x14ac:dyDescent="0.25">
      <c r="A38" s="109" t="s">
        <v>79</v>
      </c>
      <c r="B38" s="109"/>
      <c r="C38" s="109"/>
      <c r="D38" s="17">
        <f>IFERROR(AVERAGEIF(D6:D37,"&gt;0"),"Veri Girilmedi")</f>
        <v>71.325714285714284</v>
      </c>
      <c r="E38" s="18"/>
      <c r="F38" s="2"/>
      <c r="G38" s="110" t="s">
        <v>80</v>
      </c>
      <c r="H38" s="110"/>
      <c r="I38" s="110"/>
      <c r="J38" s="19">
        <f>IFERROR(AVERAGEIF(J6:J37,"&gt;0"),"Veri Girilmedi")</f>
        <v>70.214285714285708</v>
      </c>
      <c r="K38" s="20"/>
    </row>
    <row r="39" spans="1:11" ht="6" customHeight="1" x14ac:dyDescent="0.25"/>
    <row r="40" spans="1:11" ht="19.5" customHeight="1" x14ac:dyDescent="0.25">
      <c r="A40" s="104" t="s">
        <v>81</v>
      </c>
      <c r="B40" s="104"/>
      <c r="C40" s="104"/>
      <c r="D40" s="104"/>
      <c r="E40" s="104"/>
      <c r="F40" s="104"/>
      <c r="G40" s="104"/>
      <c r="H40" s="104"/>
      <c r="I40" s="104"/>
      <c r="J40" s="104"/>
      <c r="K40" s="104"/>
    </row>
  </sheetData>
  <mergeCells count="7">
    <mergeCell ref="A40:K40"/>
    <mergeCell ref="A1:K1"/>
    <mergeCell ref="A2:K2"/>
    <mergeCell ref="A4:E4"/>
    <mergeCell ref="G4:K4"/>
    <mergeCell ref="A38:C38"/>
    <mergeCell ref="G38:I38"/>
  </mergeCells>
  <pageMargins left="0.75" right="0.75" top="1" bottom="1" header="0.511811023622047" footer="0.511811023622047"/>
  <pageSetup paperSize="9" scale="6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"/>
  <dimension ref="A1:O74"/>
  <sheetViews>
    <sheetView showGridLines="0" topLeftCell="A40" zoomScale="86" zoomScaleNormal="86" workbookViewId="0">
      <selection activeCell="G50" sqref="G50"/>
    </sheetView>
  </sheetViews>
  <sheetFormatPr defaultColWidth="8.7109375" defaultRowHeight="15" x14ac:dyDescent="0.25"/>
  <cols>
    <col min="1" max="1" width="4" customWidth="1"/>
    <col min="2" max="2" width="8" customWidth="1"/>
    <col min="3" max="3" width="28" customWidth="1"/>
    <col min="4" max="4" width="9" customWidth="1"/>
    <col min="5" max="5" width="25.28515625" customWidth="1"/>
    <col min="6" max="6" width="17.85546875" customWidth="1"/>
    <col min="7" max="7" width="16" customWidth="1"/>
    <col min="8" max="8" width="19" customWidth="1"/>
    <col min="9" max="14" width="16" customWidth="1"/>
    <col min="15" max="15" width="36" customWidth="1"/>
  </cols>
  <sheetData>
    <row r="1" spans="1:15" ht="31.5" customHeight="1" x14ac:dyDescent="0.25">
      <c r="A1" s="105" t="s">
        <v>82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</row>
    <row r="2" spans="1:15" ht="21.75" customHeight="1" x14ac:dyDescent="0.25">
      <c r="A2" s="109" t="s">
        <v>83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</row>
    <row r="3" spans="1:15" ht="6" customHeight="1" x14ac:dyDescent="0.25"/>
    <row r="4" spans="1:15" ht="24" customHeight="1" x14ac:dyDescent="0.25">
      <c r="A4" s="107" t="s">
        <v>2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</row>
    <row r="5" spans="1:15" ht="31.5" customHeight="1" x14ac:dyDescent="0.25">
      <c r="A5" s="21" t="s">
        <v>4</v>
      </c>
      <c r="B5" s="21" t="s">
        <v>5</v>
      </c>
      <c r="C5" s="21" t="s">
        <v>6</v>
      </c>
      <c r="D5" s="21" t="s">
        <v>84</v>
      </c>
      <c r="E5" s="22" t="s">
        <v>85</v>
      </c>
      <c r="F5" s="23" t="s">
        <v>86</v>
      </c>
      <c r="G5" s="24" t="s">
        <v>87</v>
      </c>
      <c r="H5" s="25" t="s">
        <v>88</v>
      </c>
      <c r="I5" s="26" t="s">
        <v>89</v>
      </c>
      <c r="J5" s="27" t="s">
        <v>90</v>
      </c>
      <c r="K5" s="28" t="s">
        <v>91</v>
      </c>
      <c r="L5" s="29" t="s">
        <v>92</v>
      </c>
      <c r="M5" s="30" t="s">
        <v>93</v>
      </c>
      <c r="N5" s="31" t="s">
        <v>94</v>
      </c>
      <c r="O5" s="32" t="s">
        <v>95</v>
      </c>
    </row>
    <row r="6" spans="1:15" ht="35.1" customHeight="1" x14ac:dyDescent="0.25">
      <c r="A6" s="33">
        <v>1</v>
      </c>
      <c r="B6" s="33" t="s">
        <v>9</v>
      </c>
      <c r="C6" s="34" t="s">
        <v>10</v>
      </c>
      <c r="D6" s="35">
        <f>'1-Ogrenci'!D6</f>
        <v>74.819999999999993</v>
      </c>
      <c r="E6" s="60" t="s">
        <v>115</v>
      </c>
      <c r="F6" s="60" t="s">
        <v>107</v>
      </c>
      <c r="G6" s="67" t="s">
        <v>112</v>
      </c>
      <c r="H6" s="60" t="s">
        <v>117</v>
      </c>
      <c r="I6" s="67" t="s">
        <v>116</v>
      </c>
      <c r="J6" s="67" t="s">
        <v>110</v>
      </c>
      <c r="K6" s="42"/>
      <c r="L6" s="43"/>
      <c r="M6" s="44"/>
      <c r="N6" s="45"/>
      <c r="O6" s="46"/>
    </row>
    <row r="7" spans="1:15" ht="35.1" customHeight="1" x14ac:dyDescent="0.25">
      <c r="A7" s="47">
        <v>2</v>
      </c>
      <c r="B7" s="47" t="s">
        <v>13</v>
      </c>
      <c r="C7" s="48" t="s">
        <v>14</v>
      </c>
      <c r="D7" s="49">
        <f>'1-Ogrenci'!D7</f>
        <v>78.88</v>
      </c>
      <c r="E7" s="60" t="s">
        <v>115</v>
      </c>
      <c r="F7" s="60" t="s">
        <v>113</v>
      </c>
      <c r="G7" s="67" t="s">
        <v>110</v>
      </c>
      <c r="H7" s="67" t="s">
        <v>112</v>
      </c>
      <c r="I7" s="60" t="s">
        <v>117</v>
      </c>
      <c r="J7" s="41"/>
      <c r="K7" s="42"/>
      <c r="L7" s="43"/>
      <c r="M7" s="44"/>
      <c r="N7" s="45"/>
      <c r="O7" s="46"/>
    </row>
    <row r="8" spans="1:15" ht="35.1" customHeight="1" x14ac:dyDescent="0.25">
      <c r="A8" s="33">
        <v>3</v>
      </c>
      <c r="B8" s="33" t="s">
        <v>15</v>
      </c>
      <c r="C8" s="34" t="s">
        <v>16</v>
      </c>
      <c r="D8" s="35">
        <f>'1-Ogrenci'!D8</f>
        <v>77.56</v>
      </c>
      <c r="E8" s="67" t="s">
        <v>162</v>
      </c>
      <c r="F8" s="60" t="s">
        <v>115</v>
      </c>
      <c r="G8" s="67" t="s">
        <v>110</v>
      </c>
      <c r="H8" s="60" t="s">
        <v>113</v>
      </c>
      <c r="I8" s="40"/>
      <c r="J8" s="41"/>
      <c r="K8" s="42"/>
      <c r="L8" s="43"/>
      <c r="M8" s="44"/>
      <c r="N8" s="45"/>
      <c r="O8" s="46"/>
    </row>
    <row r="9" spans="1:15" ht="35.1" customHeight="1" x14ac:dyDescent="0.25">
      <c r="A9" s="47">
        <v>4</v>
      </c>
      <c r="B9" s="47" t="s">
        <v>19</v>
      </c>
      <c r="C9" s="48" t="s">
        <v>20</v>
      </c>
      <c r="D9" s="49">
        <f>'1-Ogrenci'!D9</f>
        <v>70.33</v>
      </c>
      <c r="E9" s="60" t="s">
        <v>115</v>
      </c>
      <c r="F9" s="67" t="s">
        <v>112</v>
      </c>
      <c r="G9" s="60" t="s">
        <v>113</v>
      </c>
      <c r="H9" s="67" t="s">
        <v>110</v>
      </c>
      <c r="I9" s="60" t="s">
        <v>107</v>
      </c>
      <c r="J9" s="60" t="s">
        <v>111</v>
      </c>
      <c r="K9" s="42"/>
      <c r="L9" s="43"/>
      <c r="M9" s="44"/>
      <c r="N9" s="45"/>
      <c r="O9" s="46"/>
    </row>
    <row r="10" spans="1:15" ht="35.1" customHeight="1" x14ac:dyDescent="0.25">
      <c r="A10" s="33">
        <v>5</v>
      </c>
      <c r="B10" s="33" t="s">
        <v>23</v>
      </c>
      <c r="C10" s="34" t="s">
        <v>24</v>
      </c>
      <c r="D10" s="35">
        <f>'1-Ogrenci'!D10</f>
        <v>71.599999999999994</v>
      </c>
      <c r="E10" s="67" t="s">
        <v>112</v>
      </c>
      <c r="F10" s="60" t="s">
        <v>115</v>
      </c>
      <c r="G10" s="67" t="s">
        <v>110</v>
      </c>
      <c r="H10" s="60" t="s">
        <v>113</v>
      </c>
      <c r="I10" s="67" t="s">
        <v>114</v>
      </c>
      <c r="J10" s="41"/>
      <c r="K10" s="42"/>
      <c r="L10" s="43"/>
      <c r="M10" s="44"/>
      <c r="N10" s="45"/>
      <c r="O10" s="46"/>
    </row>
    <row r="11" spans="1:15" ht="35.1" customHeight="1" x14ac:dyDescent="0.25">
      <c r="A11" s="47">
        <v>6</v>
      </c>
      <c r="B11" s="47" t="s">
        <v>27</v>
      </c>
      <c r="C11" s="48" t="s">
        <v>28</v>
      </c>
      <c r="D11" s="49">
        <f>'1-Ogrenci'!D11</f>
        <v>78.75</v>
      </c>
      <c r="E11" s="60" t="s">
        <v>107</v>
      </c>
      <c r="F11" s="60" t="s">
        <v>115</v>
      </c>
      <c r="G11" s="38"/>
      <c r="H11" s="39"/>
      <c r="I11" s="40"/>
      <c r="J11" s="41"/>
      <c r="K11" s="42"/>
      <c r="L11" s="43"/>
      <c r="M11" s="44"/>
      <c r="N11" s="45"/>
      <c r="O11" s="46"/>
    </row>
    <row r="12" spans="1:15" ht="35.1" customHeight="1" x14ac:dyDescent="0.25">
      <c r="A12" s="33">
        <v>7</v>
      </c>
      <c r="B12" s="33" t="s">
        <v>31</v>
      </c>
      <c r="C12" s="34" t="s">
        <v>32</v>
      </c>
      <c r="D12" s="35">
        <f>'1-Ogrenci'!D12</f>
        <v>69.150000000000006</v>
      </c>
      <c r="E12" s="67" t="s">
        <v>110</v>
      </c>
      <c r="F12" s="60" t="s">
        <v>115</v>
      </c>
      <c r="G12" s="60" t="s">
        <v>113</v>
      </c>
      <c r="H12" s="67" t="s">
        <v>112</v>
      </c>
      <c r="I12" s="60" t="s">
        <v>107</v>
      </c>
      <c r="J12" s="41"/>
      <c r="K12" s="42"/>
      <c r="L12" s="43"/>
      <c r="M12" s="44"/>
      <c r="N12" s="45"/>
      <c r="O12" s="46"/>
    </row>
    <row r="13" spans="1:15" ht="35.1" customHeight="1" x14ac:dyDescent="0.25">
      <c r="A13" s="47">
        <v>8</v>
      </c>
      <c r="B13" s="47" t="s">
        <v>35</v>
      </c>
      <c r="C13" s="48" t="s">
        <v>36</v>
      </c>
      <c r="D13" s="49">
        <f>'1-Ogrenci'!D13</f>
        <v>70.569999999999993</v>
      </c>
      <c r="E13" s="60" t="s">
        <v>115</v>
      </c>
      <c r="F13" s="67" t="s">
        <v>110</v>
      </c>
      <c r="G13" s="67" t="s">
        <v>112</v>
      </c>
      <c r="H13" s="60" t="s">
        <v>113</v>
      </c>
      <c r="I13" s="60" t="s">
        <v>107</v>
      </c>
      <c r="J13" s="41"/>
      <c r="K13" s="42"/>
      <c r="L13" s="43"/>
      <c r="M13" s="44"/>
      <c r="N13" s="45"/>
      <c r="O13" s="46"/>
    </row>
    <row r="14" spans="1:15" ht="35.1" customHeight="1" x14ac:dyDescent="0.25">
      <c r="A14" s="33">
        <v>9</v>
      </c>
      <c r="B14" s="33" t="s">
        <v>39</v>
      </c>
      <c r="C14" s="34" t="s">
        <v>40</v>
      </c>
      <c r="D14" s="35">
        <f>'1-Ogrenci'!D14</f>
        <v>72.010000000000005</v>
      </c>
      <c r="E14" s="67" t="s">
        <v>112</v>
      </c>
      <c r="F14" s="60" t="s">
        <v>115</v>
      </c>
      <c r="G14" s="67" t="s">
        <v>110</v>
      </c>
      <c r="H14" s="60" t="s">
        <v>113</v>
      </c>
      <c r="I14" s="67" t="s">
        <v>114</v>
      </c>
      <c r="J14" s="41"/>
      <c r="K14" s="42"/>
      <c r="L14" s="43"/>
      <c r="M14" s="44"/>
      <c r="N14" s="45"/>
      <c r="O14" s="46"/>
    </row>
    <row r="15" spans="1:15" ht="35.1" customHeight="1" x14ac:dyDescent="0.25">
      <c r="A15" s="47">
        <v>10</v>
      </c>
      <c r="B15" s="47" t="s">
        <v>43</v>
      </c>
      <c r="C15" s="48" t="s">
        <v>44</v>
      </c>
      <c r="D15" s="49">
        <f>'1-Ogrenci'!D15</f>
        <v>66.67</v>
      </c>
      <c r="E15" s="67" t="s">
        <v>110</v>
      </c>
      <c r="F15" s="60" t="s">
        <v>115</v>
      </c>
      <c r="G15" s="38"/>
      <c r="H15" s="39"/>
      <c r="I15" s="40"/>
      <c r="J15" s="41"/>
      <c r="K15" s="42"/>
      <c r="L15" s="43"/>
      <c r="M15" s="44"/>
      <c r="N15" s="45"/>
      <c r="O15" s="46"/>
    </row>
    <row r="16" spans="1:15" ht="35.1" customHeight="1" x14ac:dyDescent="0.25">
      <c r="A16" s="33">
        <v>11</v>
      </c>
      <c r="B16" s="33" t="s">
        <v>47</v>
      </c>
      <c r="C16" s="34" t="s">
        <v>48</v>
      </c>
      <c r="D16" s="35">
        <f>'1-Ogrenci'!D16</f>
        <v>77</v>
      </c>
      <c r="E16" s="60" t="s">
        <v>107</v>
      </c>
      <c r="F16" s="60" t="s">
        <v>115</v>
      </c>
      <c r="G16" s="38"/>
      <c r="H16" s="39"/>
      <c r="I16" s="40"/>
      <c r="J16" s="41"/>
      <c r="K16" s="42"/>
      <c r="L16" s="43"/>
      <c r="M16" s="44"/>
      <c r="N16" s="45"/>
      <c r="O16" s="46"/>
    </row>
    <row r="17" spans="1:15" ht="35.1" customHeight="1" x14ac:dyDescent="0.25">
      <c r="A17" s="47">
        <v>12</v>
      </c>
      <c r="B17" s="47" t="s">
        <v>51</v>
      </c>
      <c r="C17" s="48" t="s">
        <v>52</v>
      </c>
      <c r="D17" s="49">
        <f>'1-Ogrenci'!D17</f>
        <v>75.150000000000006</v>
      </c>
      <c r="E17" s="60" t="s">
        <v>115</v>
      </c>
      <c r="F17" s="67" t="s">
        <v>110</v>
      </c>
      <c r="G17" s="60" t="s">
        <v>113</v>
      </c>
      <c r="H17" s="67" t="s">
        <v>112</v>
      </c>
      <c r="I17" s="40"/>
      <c r="J17" s="41"/>
      <c r="K17" s="42"/>
      <c r="L17" s="43"/>
      <c r="M17" s="44"/>
      <c r="N17" s="45"/>
      <c r="O17" s="46"/>
    </row>
    <row r="18" spans="1:15" ht="35.1" customHeight="1" x14ac:dyDescent="0.25">
      <c r="A18" s="33">
        <v>13</v>
      </c>
      <c r="B18" s="33" t="s">
        <v>55</v>
      </c>
      <c r="C18" s="34" t="s">
        <v>56</v>
      </c>
      <c r="D18" s="35">
        <f>'1-Ogrenci'!D18</f>
        <v>68.540000000000006</v>
      </c>
      <c r="E18" s="60" t="s">
        <v>115</v>
      </c>
      <c r="F18" s="67" t="s">
        <v>109</v>
      </c>
      <c r="G18" s="67" t="s">
        <v>116</v>
      </c>
      <c r="H18" s="60" t="s">
        <v>107</v>
      </c>
      <c r="I18" s="67" t="s">
        <v>114</v>
      </c>
      <c r="J18" s="60" t="s">
        <v>117</v>
      </c>
      <c r="K18" s="67" t="s">
        <v>110</v>
      </c>
      <c r="L18" s="67" t="s">
        <v>112</v>
      </c>
      <c r="M18" s="60" t="s">
        <v>113</v>
      </c>
      <c r="N18" s="60" t="s">
        <v>111</v>
      </c>
      <c r="O18" s="46"/>
    </row>
    <row r="19" spans="1:15" ht="35.1" customHeight="1" x14ac:dyDescent="0.25">
      <c r="A19" s="47">
        <v>14</v>
      </c>
      <c r="B19" s="47" t="s">
        <v>59</v>
      </c>
      <c r="C19" s="48" t="s">
        <v>60</v>
      </c>
      <c r="D19" s="49">
        <f>'1-Ogrenci'!D19</f>
        <v>71.48</v>
      </c>
      <c r="E19" s="60" t="s">
        <v>115</v>
      </c>
      <c r="F19" s="67" t="s">
        <v>112</v>
      </c>
      <c r="G19" s="60" t="s">
        <v>107</v>
      </c>
      <c r="H19" s="67" t="s">
        <v>109</v>
      </c>
      <c r="I19" s="60" t="s">
        <v>117</v>
      </c>
      <c r="J19" s="67" t="s">
        <v>116</v>
      </c>
      <c r="K19" s="60" t="s">
        <v>111</v>
      </c>
      <c r="L19" s="43"/>
      <c r="M19" s="44"/>
      <c r="N19" s="45"/>
      <c r="O19" s="46"/>
    </row>
    <row r="20" spans="1:15" ht="35.1" customHeight="1" x14ac:dyDescent="0.25">
      <c r="A20" s="33">
        <v>15</v>
      </c>
      <c r="B20" s="33" t="s">
        <v>63</v>
      </c>
      <c r="C20" s="34" t="s">
        <v>64</v>
      </c>
      <c r="D20" s="35">
        <f>'1-Ogrenci'!D20</f>
        <v>71.790000000000006</v>
      </c>
      <c r="E20" s="60" t="s">
        <v>115</v>
      </c>
      <c r="F20" s="67" t="s">
        <v>110</v>
      </c>
      <c r="G20" s="60" t="s">
        <v>107</v>
      </c>
      <c r="H20" s="67" t="s">
        <v>116</v>
      </c>
      <c r="I20" s="60" t="s">
        <v>117</v>
      </c>
      <c r="J20" s="41"/>
      <c r="K20" s="42"/>
      <c r="L20" s="43"/>
      <c r="M20" s="44"/>
      <c r="N20" s="45"/>
      <c r="O20" s="46"/>
    </row>
    <row r="21" spans="1:15" ht="35.1" customHeight="1" x14ac:dyDescent="0.25">
      <c r="A21" s="47">
        <v>16</v>
      </c>
      <c r="B21" s="47" t="s">
        <v>67</v>
      </c>
      <c r="C21" s="48" t="s">
        <v>68</v>
      </c>
      <c r="D21" s="49">
        <f>'1-Ogrenci'!D21</f>
        <v>63.71</v>
      </c>
      <c r="E21" s="60" t="s">
        <v>117</v>
      </c>
      <c r="F21" s="60" t="s">
        <v>107</v>
      </c>
      <c r="G21" s="67" t="s">
        <v>116</v>
      </c>
      <c r="H21" s="67" t="s">
        <v>109</v>
      </c>
      <c r="I21" s="40"/>
      <c r="J21" s="41"/>
      <c r="K21" s="42"/>
      <c r="L21" s="43"/>
      <c r="M21" s="44"/>
      <c r="N21" s="45"/>
      <c r="O21" s="46"/>
    </row>
    <row r="22" spans="1:15" ht="35.1" customHeight="1" x14ac:dyDescent="0.25">
      <c r="A22" s="33">
        <v>17</v>
      </c>
      <c r="B22" s="33" t="s">
        <v>69</v>
      </c>
      <c r="C22" s="34" t="s">
        <v>70</v>
      </c>
      <c r="D22" s="35">
        <f>'1-Ogrenci'!D22</f>
        <v>63.45</v>
      </c>
      <c r="E22" s="60" t="s">
        <v>115</v>
      </c>
      <c r="F22" s="67" t="s">
        <v>110</v>
      </c>
      <c r="G22" s="60" t="s">
        <v>113</v>
      </c>
      <c r="H22" s="60" t="s">
        <v>107</v>
      </c>
      <c r="I22" s="67" t="s">
        <v>109</v>
      </c>
      <c r="J22" s="67" t="s">
        <v>112</v>
      </c>
      <c r="K22" s="42"/>
      <c r="L22" s="43"/>
      <c r="M22" s="44"/>
      <c r="N22" s="45"/>
      <c r="O22" s="46"/>
    </row>
    <row r="23" spans="1:15" ht="35.1" customHeight="1" x14ac:dyDescent="0.25">
      <c r="A23" s="47">
        <v>18</v>
      </c>
      <c r="B23" s="47" t="s">
        <v>71</v>
      </c>
      <c r="C23" s="48" t="s">
        <v>72</v>
      </c>
      <c r="D23" s="49">
        <f>'1-Ogrenci'!D23</f>
        <v>68.900000000000006</v>
      </c>
      <c r="E23" s="60" t="s">
        <v>115</v>
      </c>
      <c r="F23" s="67" t="s">
        <v>110</v>
      </c>
      <c r="G23" s="60" t="s">
        <v>113</v>
      </c>
      <c r="H23" s="60" t="s">
        <v>107</v>
      </c>
      <c r="I23" s="67" t="s">
        <v>114</v>
      </c>
      <c r="J23" s="67" t="s">
        <v>109</v>
      </c>
      <c r="K23" s="60" t="s">
        <v>117</v>
      </c>
      <c r="L23" s="67" t="s">
        <v>116</v>
      </c>
      <c r="M23" s="67" t="s">
        <v>112</v>
      </c>
      <c r="N23" s="60" t="s">
        <v>111</v>
      </c>
      <c r="O23" s="46"/>
    </row>
    <row r="24" spans="1:15" ht="35.1" customHeight="1" x14ac:dyDescent="0.25">
      <c r="A24" s="33">
        <v>19</v>
      </c>
      <c r="B24" s="33" t="s">
        <v>73</v>
      </c>
      <c r="C24" s="34" t="s">
        <v>74</v>
      </c>
      <c r="D24" s="35">
        <f>'1-Ogrenci'!D24</f>
        <v>64.53</v>
      </c>
      <c r="E24" s="60" t="s">
        <v>113</v>
      </c>
      <c r="F24" s="67" t="s">
        <v>110</v>
      </c>
      <c r="G24" s="67" t="s">
        <v>116</v>
      </c>
      <c r="H24" s="67" t="s">
        <v>112</v>
      </c>
      <c r="I24" s="60" t="s">
        <v>117</v>
      </c>
      <c r="J24" s="60" t="s">
        <v>107</v>
      </c>
      <c r="K24" s="67" t="s">
        <v>109</v>
      </c>
      <c r="L24" s="60" t="s">
        <v>115</v>
      </c>
      <c r="M24" s="44"/>
      <c r="N24" s="45"/>
      <c r="O24" s="46"/>
    </row>
    <row r="25" spans="1:15" ht="35.1" customHeight="1" x14ac:dyDescent="0.25">
      <c r="A25" s="47">
        <v>20</v>
      </c>
      <c r="B25" s="47" t="s">
        <v>75</v>
      </c>
      <c r="C25" s="48" t="s">
        <v>76</v>
      </c>
      <c r="D25" s="49">
        <f>'1-Ogrenci'!D25</f>
        <v>67.900000000000006</v>
      </c>
      <c r="E25" s="60" t="s">
        <v>107</v>
      </c>
      <c r="F25" s="37"/>
      <c r="G25" s="38"/>
      <c r="H25" s="39"/>
      <c r="I25" s="40"/>
      <c r="J25" s="41"/>
      <c r="K25" s="42"/>
      <c r="L25" s="43"/>
      <c r="M25" s="44"/>
      <c r="N25" s="45"/>
      <c r="O25" s="46"/>
    </row>
    <row r="26" spans="1:15" ht="35.1" customHeight="1" x14ac:dyDescent="0.25">
      <c r="A26" s="33">
        <v>21</v>
      </c>
      <c r="B26" s="33" t="s">
        <v>77</v>
      </c>
      <c r="C26" s="34" t="s">
        <v>78</v>
      </c>
      <c r="D26" s="35">
        <f>'1-Ogrenci'!D26</f>
        <v>75.05</v>
      </c>
      <c r="E26" s="60" t="s">
        <v>115</v>
      </c>
      <c r="F26" s="67" t="s">
        <v>110</v>
      </c>
      <c r="G26" s="67" t="s">
        <v>112</v>
      </c>
      <c r="H26" s="60" t="s">
        <v>107</v>
      </c>
      <c r="I26" s="67" t="s">
        <v>109</v>
      </c>
      <c r="J26" s="60" t="s">
        <v>117</v>
      </c>
      <c r="K26" s="42"/>
      <c r="L26" s="43"/>
      <c r="M26" s="44"/>
      <c r="N26" s="45"/>
      <c r="O26" s="46"/>
    </row>
    <row r="27" spans="1:15" ht="35.1" customHeight="1" x14ac:dyDescent="0.25">
      <c r="A27" s="47">
        <v>22</v>
      </c>
      <c r="B27" s="47"/>
      <c r="C27" s="50"/>
      <c r="D27" s="49">
        <f>'1-Ogrenci'!D27</f>
        <v>0</v>
      </c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2"/>
    </row>
    <row r="28" spans="1:15" ht="35.1" customHeight="1" x14ac:dyDescent="0.25">
      <c r="A28" s="33">
        <v>23</v>
      </c>
      <c r="B28" s="33"/>
      <c r="C28" s="37"/>
      <c r="D28" s="35">
        <f>'1-Ogrenci'!D28</f>
        <v>0</v>
      </c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2"/>
    </row>
    <row r="29" spans="1:15" ht="35.1" customHeight="1" x14ac:dyDescent="0.25">
      <c r="A29" s="47">
        <v>24</v>
      </c>
      <c r="B29" s="47"/>
      <c r="C29" s="50"/>
      <c r="D29" s="49">
        <f>'1-Ogrenci'!D29</f>
        <v>0</v>
      </c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2"/>
    </row>
    <row r="30" spans="1:15" ht="35.1" customHeight="1" x14ac:dyDescent="0.25">
      <c r="A30" s="33">
        <v>25</v>
      </c>
      <c r="B30" s="33"/>
      <c r="C30" s="37"/>
      <c r="D30" s="35">
        <f>'1-Ogrenci'!D30</f>
        <v>0</v>
      </c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2"/>
    </row>
    <row r="31" spans="1:15" ht="35.1" customHeight="1" x14ac:dyDescent="0.25">
      <c r="A31" s="47">
        <v>26</v>
      </c>
      <c r="B31" s="47"/>
      <c r="C31" s="50"/>
      <c r="D31" s="49">
        <f>'1-Ogrenci'!D31</f>
        <v>0</v>
      </c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2"/>
    </row>
    <row r="32" spans="1:15" ht="35.1" customHeight="1" x14ac:dyDescent="0.25">
      <c r="A32" s="33">
        <v>27</v>
      </c>
      <c r="B32" s="33"/>
      <c r="C32" s="37"/>
      <c r="D32" s="35">
        <f>'1-Ogrenci'!D32</f>
        <v>0</v>
      </c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2"/>
    </row>
    <row r="33" spans="1:15" ht="35.1" customHeight="1" x14ac:dyDescent="0.25">
      <c r="A33" s="47">
        <v>28</v>
      </c>
      <c r="B33" s="47"/>
      <c r="C33" s="50"/>
      <c r="D33" s="49">
        <f>'1-Ogrenci'!D33</f>
        <v>0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2"/>
    </row>
    <row r="34" spans="1:15" ht="35.1" customHeight="1" x14ac:dyDescent="0.25">
      <c r="A34" s="33">
        <v>29</v>
      </c>
      <c r="B34" s="33"/>
      <c r="C34" s="37"/>
      <c r="D34" s="35">
        <f>'1-Ogrenci'!D34</f>
        <v>0</v>
      </c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2"/>
    </row>
    <row r="35" spans="1:15" ht="35.1" customHeight="1" x14ac:dyDescent="0.25">
      <c r="A35" s="47">
        <v>30</v>
      </c>
      <c r="B35" s="47"/>
      <c r="C35" s="50"/>
      <c r="D35" s="49">
        <f>'1-Ogrenci'!D35</f>
        <v>0</v>
      </c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2"/>
    </row>
    <row r="36" spans="1:15" ht="35.1" customHeight="1" x14ac:dyDescent="0.25">
      <c r="A36" s="33">
        <v>31</v>
      </c>
      <c r="B36" s="33"/>
      <c r="C36" s="37"/>
      <c r="D36" s="35">
        <f>'1-Ogrenci'!D36</f>
        <v>0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2"/>
    </row>
    <row r="37" spans="1:15" ht="35.1" customHeight="1" x14ac:dyDescent="0.25">
      <c r="A37" s="47">
        <v>32</v>
      </c>
      <c r="B37" s="47"/>
      <c r="C37" s="50"/>
      <c r="D37" s="49">
        <f>'1-Ogrenci'!D37</f>
        <v>0</v>
      </c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2"/>
    </row>
    <row r="38" spans="1:15" ht="7.5" customHeight="1" x14ac:dyDescent="0.25"/>
    <row r="39" spans="1:15" ht="24" customHeight="1" x14ac:dyDescent="0.25">
      <c r="A39" s="108" t="s">
        <v>3</v>
      </c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</row>
    <row r="40" spans="1:15" ht="31.5" customHeight="1" x14ac:dyDescent="0.25">
      <c r="A40" s="30" t="s">
        <v>4</v>
      </c>
      <c r="B40" s="30" t="s">
        <v>5</v>
      </c>
      <c r="C40" s="30" t="s">
        <v>6</v>
      </c>
      <c r="D40" s="30" t="s">
        <v>84</v>
      </c>
      <c r="E40" s="22" t="s">
        <v>85</v>
      </c>
      <c r="F40" s="23" t="s">
        <v>86</v>
      </c>
      <c r="G40" s="24" t="s">
        <v>87</v>
      </c>
      <c r="H40" s="25" t="s">
        <v>88</v>
      </c>
      <c r="I40" s="26" t="s">
        <v>89</v>
      </c>
      <c r="J40" s="27" t="s">
        <v>90</v>
      </c>
      <c r="K40" s="28" t="s">
        <v>91</v>
      </c>
      <c r="L40" s="29" t="s">
        <v>92</v>
      </c>
      <c r="M40" s="30" t="s">
        <v>93</v>
      </c>
      <c r="N40" s="31" t="s">
        <v>94</v>
      </c>
      <c r="O40" s="32" t="s">
        <v>95</v>
      </c>
    </row>
    <row r="41" spans="1:15" ht="35.1" customHeight="1" x14ac:dyDescent="0.25">
      <c r="A41" s="53">
        <v>1</v>
      </c>
      <c r="B41" s="53" t="s">
        <v>11</v>
      </c>
      <c r="C41" s="54" t="s">
        <v>12</v>
      </c>
      <c r="D41" s="55">
        <f>'1-Ogrenci'!J6</f>
        <v>60.79</v>
      </c>
      <c r="E41" s="60" t="s">
        <v>115</v>
      </c>
      <c r="F41" s="67" t="s">
        <v>110</v>
      </c>
      <c r="G41" s="60" t="s">
        <v>117</v>
      </c>
      <c r="H41" s="67" t="s">
        <v>112</v>
      </c>
      <c r="I41" s="60" t="s">
        <v>113</v>
      </c>
      <c r="J41" s="60" t="s">
        <v>111</v>
      </c>
      <c r="K41" s="67" t="s">
        <v>116</v>
      </c>
      <c r="L41" s="60" t="s">
        <v>107</v>
      </c>
      <c r="M41" s="67" t="s">
        <v>109</v>
      </c>
      <c r="N41" s="67" t="s">
        <v>114</v>
      </c>
      <c r="O41" s="46"/>
    </row>
    <row r="42" spans="1:15" ht="35.1" customHeight="1" x14ac:dyDescent="0.25">
      <c r="A42" s="47">
        <v>2</v>
      </c>
      <c r="B42" s="47"/>
      <c r="C42" s="48"/>
      <c r="D42" s="56"/>
      <c r="E42" s="36"/>
      <c r="F42" s="37"/>
      <c r="G42" s="38"/>
      <c r="H42" s="39"/>
      <c r="I42" s="40"/>
      <c r="J42" s="41"/>
      <c r="K42" s="42"/>
      <c r="L42" s="43"/>
      <c r="M42" s="44"/>
      <c r="N42" s="45"/>
      <c r="O42" s="46"/>
    </row>
    <row r="43" spans="1:15" ht="35.1" customHeight="1" x14ac:dyDescent="0.25">
      <c r="A43" s="53">
        <v>3</v>
      </c>
      <c r="B43" s="53" t="s">
        <v>17</v>
      </c>
      <c r="C43" s="54" t="s">
        <v>18</v>
      </c>
      <c r="D43" s="55">
        <f>'1-Ogrenci'!J8</f>
        <v>62.67</v>
      </c>
      <c r="E43" s="60" t="s">
        <v>115</v>
      </c>
      <c r="F43" s="67" t="s">
        <v>114</v>
      </c>
      <c r="G43" s="60" t="s">
        <v>107</v>
      </c>
      <c r="H43" s="60" t="s">
        <v>117</v>
      </c>
      <c r="I43" s="67" t="s">
        <v>109</v>
      </c>
      <c r="J43" s="67" t="s">
        <v>112</v>
      </c>
      <c r="K43" s="67" t="s">
        <v>116</v>
      </c>
      <c r="L43" s="67" t="s">
        <v>110</v>
      </c>
      <c r="M43" s="60" t="s">
        <v>111</v>
      </c>
      <c r="N43" s="60" t="s">
        <v>113</v>
      </c>
      <c r="O43" s="46"/>
    </row>
    <row r="44" spans="1:15" ht="35.1" customHeight="1" x14ac:dyDescent="0.25">
      <c r="A44" s="47">
        <v>4</v>
      </c>
      <c r="B44" s="47" t="s">
        <v>21</v>
      </c>
      <c r="C44" s="48" t="s">
        <v>22</v>
      </c>
      <c r="D44" s="56">
        <f>'1-Ogrenci'!J9</f>
        <v>66.239999999999995</v>
      </c>
      <c r="E44" s="60" t="s">
        <v>115</v>
      </c>
      <c r="F44" s="67" t="s">
        <v>110</v>
      </c>
      <c r="G44" s="60" t="s">
        <v>113</v>
      </c>
      <c r="H44" s="60" t="s">
        <v>107</v>
      </c>
      <c r="I44" s="60" t="s">
        <v>111</v>
      </c>
      <c r="J44" s="67" t="s">
        <v>114</v>
      </c>
      <c r="K44" s="42"/>
      <c r="L44" s="43"/>
      <c r="M44" s="44"/>
      <c r="N44" s="45"/>
      <c r="O44" s="46"/>
    </row>
    <row r="45" spans="1:15" ht="35.1" customHeight="1" x14ac:dyDescent="0.25">
      <c r="A45" s="53">
        <v>5</v>
      </c>
      <c r="B45" s="53" t="s">
        <v>25</v>
      </c>
      <c r="C45" s="54" t="s">
        <v>26</v>
      </c>
      <c r="D45" s="55">
        <f>'1-Ogrenci'!J10</f>
        <v>79.08</v>
      </c>
      <c r="E45" s="60" t="s">
        <v>115</v>
      </c>
      <c r="F45" s="67" t="s">
        <v>110</v>
      </c>
      <c r="G45" s="60" t="s">
        <v>113</v>
      </c>
      <c r="H45" s="60" t="s">
        <v>107</v>
      </c>
      <c r="I45" s="67" t="s">
        <v>109</v>
      </c>
      <c r="J45" s="67" t="s">
        <v>116</v>
      </c>
      <c r="K45" s="60" t="s">
        <v>117</v>
      </c>
      <c r="L45" s="43"/>
      <c r="M45" s="44"/>
      <c r="N45" s="45"/>
      <c r="O45" s="46"/>
    </row>
    <row r="46" spans="1:15" ht="35.1" customHeight="1" x14ac:dyDescent="0.25">
      <c r="A46" s="47">
        <v>6</v>
      </c>
      <c r="B46" s="47" t="s">
        <v>29</v>
      </c>
      <c r="C46" s="48" t="s">
        <v>30</v>
      </c>
      <c r="D46" s="56">
        <f>'1-Ogrenci'!J11</f>
        <v>73.2</v>
      </c>
      <c r="E46" s="60" t="s">
        <v>115</v>
      </c>
      <c r="F46" s="67" t="s">
        <v>110</v>
      </c>
      <c r="G46" s="60" t="s">
        <v>107</v>
      </c>
      <c r="H46" s="67" t="s">
        <v>112</v>
      </c>
      <c r="I46" s="60" t="s">
        <v>111</v>
      </c>
      <c r="J46" s="67" t="s">
        <v>114</v>
      </c>
      <c r="K46" s="60" t="s">
        <v>113</v>
      </c>
      <c r="L46" s="67" t="s">
        <v>116</v>
      </c>
      <c r="M46" s="60" t="s">
        <v>117</v>
      </c>
      <c r="N46" s="67" t="s">
        <v>109</v>
      </c>
      <c r="O46" s="46"/>
    </row>
    <row r="47" spans="1:15" ht="35.1" customHeight="1" x14ac:dyDescent="0.25">
      <c r="A47" s="53">
        <v>7</v>
      </c>
      <c r="B47" s="53" t="s">
        <v>33</v>
      </c>
      <c r="C47" s="54" t="s">
        <v>34</v>
      </c>
      <c r="D47" s="55">
        <f>'1-Ogrenci'!J12</f>
        <v>71.22</v>
      </c>
      <c r="E47" s="60" t="s">
        <v>113</v>
      </c>
      <c r="F47" s="60" t="s">
        <v>115</v>
      </c>
      <c r="G47" s="67" t="s">
        <v>110</v>
      </c>
      <c r="H47" s="60" t="s">
        <v>107</v>
      </c>
      <c r="I47" s="67" t="s">
        <v>114</v>
      </c>
      <c r="J47" s="41"/>
      <c r="K47" s="42"/>
      <c r="L47" s="43"/>
      <c r="M47" s="44"/>
      <c r="N47" s="45"/>
      <c r="O47" s="46"/>
    </row>
    <row r="48" spans="1:15" ht="35.1" customHeight="1" x14ac:dyDescent="0.25">
      <c r="A48" s="47">
        <v>8</v>
      </c>
      <c r="B48" s="47" t="s">
        <v>37</v>
      </c>
      <c r="C48" s="48" t="s">
        <v>38</v>
      </c>
      <c r="D48" s="56">
        <f>'1-Ogrenci'!J13</f>
        <v>69.260000000000005</v>
      </c>
      <c r="E48" s="60" t="s">
        <v>113</v>
      </c>
      <c r="F48" s="60" t="s">
        <v>107</v>
      </c>
      <c r="G48" s="67" t="s">
        <v>112</v>
      </c>
      <c r="H48" s="67" t="s">
        <v>114</v>
      </c>
      <c r="I48" s="60" t="s">
        <v>115</v>
      </c>
      <c r="J48" s="60" t="s">
        <v>117</v>
      </c>
      <c r="K48" s="67" t="s">
        <v>109</v>
      </c>
      <c r="L48" s="60" t="s">
        <v>111</v>
      </c>
      <c r="M48" s="67" t="s">
        <v>116</v>
      </c>
      <c r="N48" s="67" t="s">
        <v>110</v>
      </c>
      <c r="O48" s="46"/>
    </row>
    <row r="49" spans="1:15" ht="35.1" customHeight="1" x14ac:dyDescent="0.25">
      <c r="A49" s="53">
        <v>9</v>
      </c>
      <c r="B49" s="53" t="s">
        <v>41</v>
      </c>
      <c r="C49" s="54" t="s">
        <v>42</v>
      </c>
      <c r="D49" s="55">
        <f>'1-Ogrenci'!J14</f>
        <v>73.36</v>
      </c>
      <c r="E49" s="60" t="s">
        <v>115</v>
      </c>
      <c r="F49" s="60" t="s">
        <v>117</v>
      </c>
      <c r="G49" s="60" t="s">
        <v>107</v>
      </c>
      <c r="H49" s="67" t="s">
        <v>112</v>
      </c>
      <c r="I49" s="67" t="s">
        <v>109</v>
      </c>
      <c r="J49" s="67" t="s">
        <v>116</v>
      </c>
      <c r="K49" s="60" t="s">
        <v>111</v>
      </c>
      <c r="L49" s="67" t="s">
        <v>114</v>
      </c>
      <c r="M49" s="60" t="s">
        <v>113</v>
      </c>
      <c r="N49" s="67" t="s">
        <v>110</v>
      </c>
      <c r="O49" s="46"/>
    </row>
    <row r="50" spans="1:15" ht="38.25" customHeight="1" x14ac:dyDescent="0.25">
      <c r="A50" s="47">
        <v>10</v>
      </c>
      <c r="B50" s="47" t="s">
        <v>45</v>
      </c>
      <c r="C50" s="48" t="s">
        <v>46</v>
      </c>
      <c r="D50" s="56">
        <f>'1-Ogrenci'!J15</f>
        <v>73.08</v>
      </c>
      <c r="E50" s="67" t="s">
        <v>110</v>
      </c>
      <c r="F50" s="60" t="s">
        <v>107</v>
      </c>
      <c r="G50" s="67" t="s">
        <v>112</v>
      </c>
      <c r="H50" s="60" t="s">
        <v>113</v>
      </c>
      <c r="I50" s="60" t="s">
        <v>115</v>
      </c>
      <c r="J50" s="67" t="s">
        <v>116</v>
      </c>
      <c r="K50" s="60" t="s">
        <v>117</v>
      </c>
      <c r="L50" s="60" t="s">
        <v>111</v>
      </c>
      <c r="M50" s="67" t="s">
        <v>109</v>
      </c>
      <c r="N50" s="67" t="s">
        <v>114</v>
      </c>
      <c r="O50" s="46"/>
    </row>
    <row r="51" spans="1:15" ht="35.1" customHeight="1" x14ac:dyDescent="0.25">
      <c r="A51" s="53">
        <v>11</v>
      </c>
      <c r="B51" s="53" t="s">
        <v>49</v>
      </c>
      <c r="C51" s="54" t="s">
        <v>50</v>
      </c>
      <c r="D51" s="55">
        <f>'1-Ogrenci'!J16</f>
        <v>68.41</v>
      </c>
      <c r="E51" s="60" t="s">
        <v>115</v>
      </c>
      <c r="F51" s="60" t="s">
        <v>107</v>
      </c>
      <c r="G51" s="60" t="s">
        <v>113</v>
      </c>
      <c r="H51" s="67" t="s">
        <v>112</v>
      </c>
      <c r="I51" s="60" t="s">
        <v>117</v>
      </c>
      <c r="J51" s="60" t="s">
        <v>111</v>
      </c>
      <c r="K51" s="67" t="s">
        <v>114</v>
      </c>
      <c r="L51" s="67" t="s">
        <v>110</v>
      </c>
      <c r="M51" s="67" t="s">
        <v>109</v>
      </c>
      <c r="N51" s="67" t="s">
        <v>116</v>
      </c>
      <c r="O51" s="46"/>
    </row>
    <row r="52" spans="1:15" ht="35.1" customHeight="1" x14ac:dyDescent="0.25">
      <c r="A52" s="47">
        <v>12</v>
      </c>
      <c r="B52" s="47" t="s">
        <v>53</v>
      </c>
      <c r="C52" s="48" t="s">
        <v>54</v>
      </c>
      <c r="D52" s="56">
        <f>'1-Ogrenci'!J17</f>
        <v>62.81</v>
      </c>
      <c r="E52" s="60" t="s">
        <v>115</v>
      </c>
      <c r="F52" s="60" t="s">
        <v>113</v>
      </c>
      <c r="G52" s="67" t="s">
        <v>110</v>
      </c>
      <c r="H52" s="67" t="s">
        <v>112</v>
      </c>
      <c r="I52" s="60" t="s">
        <v>111</v>
      </c>
      <c r="J52" s="60" t="s">
        <v>107</v>
      </c>
      <c r="K52" s="67" t="s">
        <v>114</v>
      </c>
      <c r="L52" s="67" t="s">
        <v>109</v>
      </c>
      <c r="M52" s="60" t="s">
        <v>117</v>
      </c>
      <c r="N52" s="67" t="s">
        <v>116</v>
      </c>
      <c r="O52" s="46"/>
    </row>
    <row r="53" spans="1:15" ht="35.1" customHeight="1" x14ac:dyDescent="0.25">
      <c r="A53" s="53">
        <v>13</v>
      </c>
      <c r="B53" s="53" t="s">
        <v>57</v>
      </c>
      <c r="C53" s="54" t="s">
        <v>58</v>
      </c>
      <c r="D53" s="55">
        <f>'1-Ogrenci'!J18</f>
        <v>79.98</v>
      </c>
      <c r="E53" s="60" t="s">
        <v>115</v>
      </c>
      <c r="F53" s="67" t="s">
        <v>110</v>
      </c>
      <c r="G53" s="60" t="s">
        <v>107</v>
      </c>
      <c r="H53" s="60" t="s">
        <v>113</v>
      </c>
      <c r="I53" s="67" t="s">
        <v>112</v>
      </c>
      <c r="J53" s="67" t="s">
        <v>109</v>
      </c>
      <c r="K53" s="67" t="s">
        <v>116</v>
      </c>
      <c r="L53" s="60" t="s">
        <v>117</v>
      </c>
      <c r="M53" s="60" t="s">
        <v>111</v>
      </c>
      <c r="N53" s="67" t="s">
        <v>114</v>
      </c>
      <c r="O53" s="46"/>
    </row>
    <row r="54" spans="1:15" ht="35.1" customHeight="1" x14ac:dyDescent="0.25">
      <c r="A54" s="47">
        <v>14</v>
      </c>
      <c r="B54" s="47" t="s">
        <v>61</v>
      </c>
      <c r="C54" s="48" t="s">
        <v>62</v>
      </c>
      <c r="D54" s="56">
        <f>'1-Ogrenci'!J19</f>
        <v>65.89</v>
      </c>
      <c r="E54" s="60" t="s">
        <v>115</v>
      </c>
      <c r="F54" s="60" t="s">
        <v>107</v>
      </c>
      <c r="G54" s="60" t="s">
        <v>113</v>
      </c>
      <c r="H54" s="67" t="s">
        <v>110</v>
      </c>
      <c r="I54" s="67" t="s">
        <v>109</v>
      </c>
      <c r="J54" s="60" t="s">
        <v>117</v>
      </c>
      <c r="K54" s="42"/>
      <c r="L54" s="43"/>
      <c r="M54" s="44"/>
      <c r="N54" s="45"/>
      <c r="O54" s="46"/>
    </row>
    <row r="55" spans="1:15" ht="35.1" customHeight="1" x14ac:dyDescent="0.25">
      <c r="A55" s="53">
        <v>15</v>
      </c>
      <c r="B55" s="53" t="s">
        <v>65</v>
      </c>
      <c r="C55" s="54" t="s">
        <v>66</v>
      </c>
      <c r="D55" s="55">
        <f>'1-Ogrenci'!J20</f>
        <v>77.010000000000005</v>
      </c>
      <c r="E55" s="60" t="s">
        <v>107</v>
      </c>
      <c r="F55" s="67" t="s">
        <v>110</v>
      </c>
      <c r="G55" s="60" t="s">
        <v>113</v>
      </c>
      <c r="H55" s="39"/>
      <c r="I55" s="40"/>
      <c r="J55" s="41"/>
      <c r="K55" s="42"/>
      <c r="L55" s="43"/>
      <c r="M55" s="44"/>
      <c r="N55" s="45"/>
      <c r="O55" s="46"/>
    </row>
    <row r="56" spans="1:15" ht="35.1" customHeight="1" x14ac:dyDescent="0.25">
      <c r="A56" s="47">
        <v>16</v>
      </c>
      <c r="B56" s="47"/>
      <c r="C56" s="50"/>
      <c r="D56" s="56">
        <f>'1-Ogrenci'!J21</f>
        <v>0</v>
      </c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2"/>
    </row>
    <row r="57" spans="1:15" ht="35.1" customHeight="1" x14ac:dyDescent="0.25">
      <c r="A57" s="53">
        <v>17</v>
      </c>
      <c r="B57" s="53"/>
      <c r="C57" s="36"/>
      <c r="D57" s="55">
        <f>'1-Ogrenci'!J22</f>
        <v>0</v>
      </c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2"/>
    </row>
    <row r="58" spans="1:15" ht="35.1" customHeight="1" x14ac:dyDescent="0.25">
      <c r="A58" s="47">
        <v>18</v>
      </c>
      <c r="B58" s="47"/>
      <c r="C58" s="50"/>
      <c r="D58" s="56">
        <f>'1-Ogrenci'!J23</f>
        <v>0</v>
      </c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2"/>
    </row>
    <row r="59" spans="1:15" ht="35.1" customHeight="1" x14ac:dyDescent="0.25">
      <c r="A59" s="53">
        <v>19</v>
      </c>
      <c r="B59" s="53"/>
      <c r="C59" s="36"/>
      <c r="D59" s="55">
        <f>'1-Ogrenci'!J24</f>
        <v>0</v>
      </c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2"/>
    </row>
    <row r="60" spans="1:15" ht="35.1" customHeight="1" x14ac:dyDescent="0.25">
      <c r="A60" s="47">
        <v>20</v>
      </c>
      <c r="B60" s="47"/>
      <c r="C60" s="50"/>
      <c r="D60" s="56">
        <f>'1-Ogrenci'!J25</f>
        <v>0</v>
      </c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2"/>
    </row>
    <row r="61" spans="1:15" ht="35.1" customHeight="1" x14ac:dyDescent="0.25">
      <c r="A61" s="53">
        <v>21</v>
      </c>
      <c r="B61" s="53"/>
      <c r="C61" s="36"/>
      <c r="D61" s="55">
        <f>'1-Ogrenci'!J26</f>
        <v>0</v>
      </c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2"/>
    </row>
    <row r="62" spans="1:15" ht="35.1" customHeight="1" x14ac:dyDescent="0.25">
      <c r="A62" s="47">
        <v>22</v>
      </c>
      <c r="B62" s="47"/>
      <c r="C62" s="50"/>
      <c r="D62" s="56">
        <f>'1-Ogrenci'!J27</f>
        <v>0</v>
      </c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2"/>
    </row>
    <row r="63" spans="1:15" ht="35.1" customHeight="1" x14ac:dyDescent="0.25">
      <c r="A63" s="53">
        <v>23</v>
      </c>
      <c r="B63" s="53"/>
      <c r="C63" s="36"/>
      <c r="D63" s="55">
        <f>'1-Ogrenci'!J28</f>
        <v>0</v>
      </c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2"/>
    </row>
    <row r="64" spans="1:15" ht="35.1" customHeight="1" x14ac:dyDescent="0.25">
      <c r="A64" s="47">
        <v>24</v>
      </c>
      <c r="B64" s="47"/>
      <c r="C64" s="50"/>
      <c r="D64" s="56">
        <f>'1-Ogrenci'!J29</f>
        <v>0</v>
      </c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2"/>
    </row>
    <row r="65" spans="1:15" ht="35.1" customHeight="1" x14ac:dyDescent="0.25">
      <c r="A65" s="53">
        <v>25</v>
      </c>
      <c r="B65" s="53"/>
      <c r="C65" s="36"/>
      <c r="D65" s="55">
        <f>'1-Ogrenci'!J30</f>
        <v>0</v>
      </c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2"/>
    </row>
    <row r="66" spans="1:15" ht="35.1" customHeight="1" x14ac:dyDescent="0.25">
      <c r="A66" s="47">
        <v>26</v>
      </c>
      <c r="B66" s="47"/>
      <c r="C66" s="50"/>
      <c r="D66" s="56">
        <f>'1-Ogrenci'!J31</f>
        <v>0</v>
      </c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2"/>
    </row>
    <row r="67" spans="1:15" ht="35.1" customHeight="1" x14ac:dyDescent="0.25">
      <c r="A67" s="53">
        <v>27</v>
      </c>
      <c r="B67" s="53"/>
      <c r="C67" s="36"/>
      <c r="D67" s="55">
        <f>'1-Ogrenci'!J32</f>
        <v>0</v>
      </c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2"/>
    </row>
    <row r="68" spans="1:15" ht="35.1" customHeight="1" x14ac:dyDescent="0.25">
      <c r="A68" s="47">
        <v>28</v>
      </c>
      <c r="B68" s="47"/>
      <c r="C68" s="50"/>
      <c r="D68" s="56">
        <f>'1-Ogrenci'!J33</f>
        <v>0</v>
      </c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2"/>
    </row>
    <row r="69" spans="1:15" ht="35.1" customHeight="1" x14ac:dyDescent="0.25">
      <c r="A69" s="53">
        <v>29</v>
      </c>
      <c r="B69" s="53"/>
      <c r="C69" s="36"/>
      <c r="D69" s="55">
        <f>'1-Ogrenci'!J34</f>
        <v>0</v>
      </c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2"/>
    </row>
    <row r="70" spans="1:15" ht="35.1" customHeight="1" x14ac:dyDescent="0.25">
      <c r="A70" s="47">
        <v>30</v>
      </c>
      <c r="B70" s="47"/>
      <c r="C70" s="50"/>
      <c r="D70" s="56">
        <f>'1-Ogrenci'!J35</f>
        <v>0</v>
      </c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2"/>
    </row>
    <row r="71" spans="1:15" ht="35.1" customHeight="1" x14ac:dyDescent="0.25">
      <c r="A71" s="53">
        <v>31</v>
      </c>
      <c r="B71" s="53"/>
      <c r="C71" s="36"/>
      <c r="D71" s="55">
        <f>'1-Ogrenci'!J36</f>
        <v>0</v>
      </c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2"/>
    </row>
    <row r="72" spans="1:15" ht="35.1" customHeight="1" x14ac:dyDescent="0.25">
      <c r="A72" s="47">
        <v>32</v>
      </c>
      <c r="B72" s="47"/>
      <c r="C72" s="50"/>
      <c r="D72" s="56">
        <f>'1-Ogrenci'!J37</f>
        <v>0</v>
      </c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2"/>
    </row>
    <row r="73" spans="1:15" ht="35.1" customHeight="1" x14ac:dyDescent="0.25"/>
    <row r="74" spans="1:15" ht="24" customHeight="1" x14ac:dyDescent="0.25">
      <c r="A74" s="111" t="s">
        <v>96</v>
      </c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</row>
  </sheetData>
  <mergeCells count="5">
    <mergeCell ref="A1:O1"/>
    <mergeCell ref="A2:O2"/>
    <mergeCell ref="A4:O4"/>
    <mergeCell ref="A39:O39"/>
    <mergeCell ref="A74:O7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/>
  <dimension ref="A1:H27"/>
  <sheetViews>
    <sheetView showGridLines="0" zoomScaleNormal="100" workbookViewId="0">
      <selection activeCell="F18" sqref="F18"/>
    </sheetView>
  </sheetViews>
  <sheetFormatPr defaultColWidth="8.7109375" defaultRowHeight="15" x14ac:dyDescent="0.25"/>
  <cols>
    <col min="1" max="1" width="5" customWidth="1"/>
    <col min="2" max="2" width="48" customWidth="1"/>
    <col min="3" max="6" width="12" customWidth="1"/>
    <col min="7" max="7" width="36" customWidth="1"/>
    <col min="8" max="8" width="26" customWidth="1"/>
  </cols>
  <sheetData>
    <row r="1" spans="1:8" ht="31.5" customHeight="1" x14ac:dyDescent="0.25">
      <c r="A1" s="105" t="s">
        <v>97</v>
      </c>
      <c r="B1" s="105"/>
      <c r="C1" s="105"/>
      <c r="D1" s="105"/>
      <c r="E1" s="105"/>
      <c r="F1" s="105"/>
      <c r="G1" s="105"/>
      <c r="H1" s="105"/>
    </row>
    <row r="2" spans="1:8" ht="21.75" customHeight="1" x14ac:dyDescent="0.25">
      <c r="A2" s="109" t="s">
        <v>98</v>
      </c>
      <c r="B2" s="109"/>
      <c r="C2" s="109"/>
      <c r="D2" s="109"/>
      <c r="E2" s="109"/>
      <c r="F2" s="109"/>
      <c r="G2" s="109"/>
      <c r="H2" s="109"/>
    </row>
    <row r="3" spans="1:8" ht="19.5" customHeight="1" x14ac:dyDescent="0.25">
      <c r="A3" s="112" t="s">
        <v>99</v>
      </c>
      <c r="B3" s="112"/>
      <c r="C3" s="112"/>
      <c r="D3" s="112"/>
      <c r="E3" s="112"/>
      <c r="F3" s="112"/>
      <c r="G3" s="112"/>
      <c r="H3" s="112"/>
    </row>
    <row r="4" spans="1:8" ht="37.5" customHeight="1" x14ac:dyDescent="0.25">
      <c r="A4" s="57" t="s">
        <v>4</v>
      </c>
      <c r="B4" s="57" t="s">
        <v>100</v>
      </c>
      <c r="C4" s="57" t="s">
        <v>101</v>
      </c>
      <c r="D4" s="57" t="s">
        <v>102</v>
      </c>
      <c r="E4" s="57" t="s">
        <v>103</v>
      </c>
      <c r="F4" s="57" t="s">
        <v>104</v>
      </c>
      <c r="G4" s="58" t="s">
        <v>105</v>
      </c>
      <c r="H4" s="58" t="s">
        <v>106</v>
      </c>
    </row>
    <row r="5" spans="1:8" ht="24" customHeight="1" x14ac:dyDescent="0.25">
      <c r="A5" s="59">
        <v>1</v>
      </c>
      <c r="B5" s="60" t="s">
        <v>115</v>
      </c>
      <c r="C5" s="61">
        <v>5</v>
      </c>
      <c r="D5" s="62">
        <v>5</v>
      </c>
      <c r="E5" s="63">
        <f t="shared" ref="E5:E17" si="0">IFERROR(IF(C5+D5=0,"",C5+D5),"")</f>
        <v>10</v>
      </c>
      <c r="F5" s="64" t="s">
        <v>108</v>
      </c>
      <c r="G5" s="100"/>
      <c r="H5" s="65"/>
    </row>
    <row r="6" spans="1:8" ht="30.75" customHeight="1" x14ac:dyDescent="0.25">
      <c r="A6" s="66">
        <v>2</v>
      </c>
      <c r="B6" s="67" t="s">
        <v>110</v>
      </c>
      <c r="C6" s="61">
        <v>3</v>
      </c>
      <c r="D6" s="62">
        <v>2</v>
      </c>
      <c r="E6" s="63">
        <f t="shared" si="0"/>
        <v>5</v>
      </c>
      <c r="F6" s="64" t="s">
        <v>108</v>
      </c>
      <c r="G6" s="98" t="s">
        <v>168</v>
      </c>
      <c r="H6" s="65" t="s">
        <v>164</v>
      </c>
    </row>
    <row r="7" spans="1:8" ht="25.5" x14ac:dyDescent="0.25">
      <c r="A7" s="59">
        <v>3</v>
      </c>
      <c r="B7" s="60" t="s">
        <v>113</v>
      </c>
      <c r="C7" s="61">
        <v>2</v>
      </c>
      <c r="D7" s="62">
        <v>2</v>
      </c>
      <c r="E7" s="63">
        <f t="shared" si="0"/>
        <v>4</v>
      </c>
      <c r="F7" s="64" t="s">
        <v>108</v>
      </c>
      <c r="G7" s="96" t="s">
        <v>171</v>
      </c>
      <c r="H7" s="65" t="s">
        <v>164</v>
      </c>
    </row>
    <row r="8" spans="1:8" ht="24" customHeight="1" x14ac:dyDescent="0.25">
      <c r="A8" s="66">
        <v>4</v>
      </c>
      <c r="B8" s="60" t="s">
        <v>111</v>
      </c>
      <c r="C8" s="61">
        <v>0</v>
      </c>
      <c r="D8" s="62">
        <v>0</v>
      </c>
      <c r="E8" s="63" t="str">
        <f t="shared" si="0"/>
        <v/>
      </c>
      <c r="F8" s="64" t="s">
        <v>108</v>
      </c>
      <c r="G8" s="65"/>
      <c r="H8" s="65"/>
    </row>
    <row r="9" spans="1:8" ht="24" customHeight="1" x14ac:dyDescent="0.25">
      <c r="A9" s="59">
        <v>5</v>
      </c>
      <c r="B9" s="67" t="s">
        <v>114</v>
      </c>
      <c r="C9" s="61">
        <v>0</v>
      </c>
      <c r="D9" s="62">
        <v>0</v>
      </c>
      <c r="E9" s="63" t="str">
        <f t="shared" si="0"/>
        <v/>
      </c>
      <c r="F9" s="64" t="s">
        <v>108</v>
      </c>
      <c r="G9" s="65"/>
      <c r="H9" s="65"/>
    </row>
    <row r="10" spans="1:8" ht="24" customHeight="1" x14ac:dyDescent="0.25">
      <c r="A10" s="66">
        <v>6</v>
      </c>
      <c r="B10" s="67" t="s">
        <v>112</v>
      </c>
      <c r="C10" s="61">
        <v>2</v>
      </c>
      <c r="D10" s="62">
        <v>2</v>
      </c>
      <c r="E10" s="63">
        <f t="shared" si="0"/>
        <v>4</v>
      </c>
      <c r="F10" s="64" t="s">
        <v>108</v>
      </c>
      <c r="G10" s="65" t="s">
        <v>172</v>
      </c>
      <c r="H10" s="96" t="s">
        <v>164</v>
      </c>
    </row>
    <row r="11" spans="1:8" ht="25.5" x14ac:dyDescent="0.25">
      <c r="A11" s="59">
        <v>7</v>
      </c>
      <c r="B11" s="60" t="s">
        <v>107</v>
      </c>
      <c r="C11" s="61">
        <v>3</v>
      </c>
      <c r="D11" s="62">
        <v>2</v>
      </c>
      <c r="E11" s="63">
        <f t="shared" si="0"/>
        <v>5</v>
      </c>
      <c r="F11" s="64" t="s">
        <v>108</v>
      </c>
      <c r="G11" s="96" t="s">
        <v>163</v>
      </c>
      <c r="H11" s="65" t="s">
        <v>164</v>
      </c>
    </row>
    <row r="12" spans="1:8" ht="24" customHeight="1" x14ac:dyDescent="0.25">
      <c r="A12" s="66">
        <v>8</v>
      </c>
      <c r="B12" s="67" t="s">
        <v>109</v>
      </c>
      <c r="C12" s="61">
        <v>1</v>
      </c>
      <c r="D12" s="62">
        <v>0</v>
      </c>
      <c r="E12" s="63">
        <f t="shared" si="0"/>
        <v>1</v>
      </c>
      <c r="F12" s="64" t="s">
        <v>108</v>
      </c>
      <c r="G12" s="65"/>
      <c r="H12" s="65"/>
    </row>
    <row r="13" spans="1:8" ht="24" customHeight="1" x14ac:dyDescent="0.25">
      <c r="A13" s="59">
        <v>9</v>
      </c>
      <c r="B13" s="67" t="s">
        <v>116</v>
      </c>
      <c r="C13" s="61">
        <v>1</v>
      </c>
      <c r="D13" s="62">
        <v>1</v>
      </c>
      <c r="E13" s="63">
        <f t="shared" si="0"/>
        <v>2</v>
      </c>
      <c r="F13" s="64" t="s">
        <v>108</v>
      </c>
      <c r="G13" s="65"/>
      <c r="H13" s="65"/>
    </row>
    <row r="14" spans="1:8" ht="24" customHeight="1" x14ac:dyDescent="0.25">
      <c r="A14" s="66">
        <v>10</v>
      </c>
      <c r="B14" s="60" t="s">
        <v>117</v>
      </c>
      <c r="C14" s="61">
        <v>1</v>
      </c>
      <c r="D14" s="62">
        <v>0</v>
      </c>
      <c r="E14" s="63">
        <f t="shared" si="0"/>
        <v>1</v>
      </c>
      <c r="F14" s="64" t="s">
        <v>108</v>
      </c>
      <c r="G14" s="65"/>
      <c r="H14" s="65"/>
    </row>
    <row r="15" spans="1:8" ht="24" customHeight="1" x14ac:dyDescent="0.25">
      <c r="A15" s="59">
        <v>11</v>
      </c>
      <c r="B15" s="60" t="s">
        <v>160</v>
      </c>
      <c r="C15" s="61">
        <v>1</v>
      </c>
      <c r="D15" s="62">
        <v>0</v>
      </c>
      <c r="E15" s="63">
        <f t="shared" si="0"/>
        <v>1</v>
      </c>
      <c r="F15" s="64" t="s">
        <v>108</v>
      </c>
      <c r="G15" s="65" t="s">
        <v>56</v>
      </c>
      <c r="H15" s="65" t="s">
        <v>164</v>
      </c>
    </row>
    <row r="16" spans="1:8" ht="31.5" customHeight="1" x14ac:dyDescent="0.25">
      <c r="A16" s="66">
        <v>12</v>
      </c>
      <c r="B16" s="60" t="s">
        <v>161</v>
      </c>
      <c r="C16" s="61">
        <v>1</v>
      </c>
      <c r="D16" s="62">
        <v>0</v>
      </c>
      <c r="E16" s="63">
        <f t="shared" si="0"/>
        <v>1</v>
      </c>
      <c r="F16" s="64" t="s">
        <v>108</v>
      </c>
      <c r="G16" s="96" t="s">
        <v>70</v>
      </c>
      <c r="H16" s="65" t="s">
        <v>164</v>
      </c>
    </row>
    <row r="17" spans="1:8" ht="24" customHeight="1" x14ac:dyDescent="0.25">
      <c r="A17" s="59">
        <v>13</v>
      </c>
      <c r="B17" s="67" t="s">
        <v>162</v>
      </c>
      <c r="C17" s="61">
        <v>1</v>
      </c>
      <c r="D17" s="62">
        <v>0</v>
      </c>
      <c r="E17" s="63">
        <f t="shared" si="0"/>
        <v>1</v>
      </c>
      <c r="F17" s="64" t="s">
        <v>108</v>
      </c>
      <c r="G17" s="65" t="s">
        <v>16</v>
      </c>
      <c r="H17" s="65" t="s">
        <v>164</v>
      </c>
    </row>
    <row r="18" spans="1:8" ht="19.5" customHeight="1" x14ac:dyDescent="0.25">
      <c r="A18" s="66">
        <v>14</v>
      </c>
      <c r="B18" s="60"/>
      <c r="C18" s="61">
        <v>0</v>
      </c>
      <c r="D18" s="62">
        <v>0</v>
      </c>
      <c r="E18" s="63" t="str">
        <f t="shared" ref="E18:E24" si="1">IFERROR(IF(C18+D18=0,"",C18+D18),"")</f>
        <v/>
      </c>
      <c r="F18" s="64" t="s">
        <v>108</v>
      </c>
      <c r="G18" s="65"/>
      <c r="H18" s="65"/>
    </row>
    <row r="19" spans="1:8" ht="19.5" customHeight="1" x14ac:dyDescent="0.25">
      <c r="A19" s="59">
        <v>15</v>
      </c>
      <c r="B19" s="67"/>
      <c r="C19" s="61">
        <v>0</v>
      </c>
      <c r="D19" s="62">
        <v>0</v>
      </c>
      <c r="E19" s="63" t="str">
        <f t="shared" si="1"/>
        <v/>
      </c>
      <c r="F19" s="64" t="s">
        <v>108</v>
      </c>
      <c r="G19" s="65"/>
      <c r="H19" s="65"/>
    </row>
    <row r="20" spans="1:8" ht="19.5" customHeight="1" x14ac:dyDescent="0.25">
      <c r="A20" s="66">
        <v>16</v>
      </c>
      <c r="B20" s="60"/>
      <c r="C20" s="61">
        <v>0</v>
      </c>
      <c r="D20" s="62">
        <v>0</v>
      </c>
      <c r="E20" s="63" t="str">
        <f t="shared" si="1"/>
        <v/>
      </c>
      <c r="F20" s="64" t="s">
        <v>108</v>
      </c>
      <c r="G20" s="65"/>
      <c r="H20" s="65"/>
    </row>
    <row r="21" spans="1:8" ht="19.5" customHeight="1" x14ac:dyDescent="0.25">
      <c r="A21" s="59">
        <v>17</v>
      </c>
      <c r="B21" s="67"/>
      <c r="C21" s="61">
        <v>0</v>
      </c>
      <c r="D21" s="62">
        <v>0</v>
      </c>
      <c r="E21" s="63" t="str">
        <f t="shared" si="1"/>
        <v/>
      </c>
      <c r="F21" s="64" t="s">
        <v>108</v>
      </c>
      <c r="G21" s="65"/>
      <c r="H21" s="65"/>
    </row>
    <row r="22" spans="1:8" ht="19.5" customHeight="1" x14ac:dyDescent="0.25">
      <c r="A22" s="66">
        <v>18</v>
      </c>
      <c r="B22" s="60"/>
      <c r="C22" s="61">
        <v>0</v>
      </c>
      <c r="D22" s="62">
        <v>0</v>
      </c>
      <c r="E22" s="63" t="str">
        <f t="shared" si="1"/>
        <v/>
      </c>
      <c r="F22" s="64" t="s">
        <v>108</v>
      </c>
      <c r="G22" s="65"/>
      <c r="H22" s="65"/>
    </row>
    <row r="23" spans="1:8" ht="19.5" customHeight="1" x14ac:dyDescent="0.25">
      <c r="A23" s="59">
        <v>19</v>
      </c>
      <c r="B23" s="67"/>
      <c r="C23" s="61">
        <v>0</v>
      </c>
      <c r="D23" s="62">
        <v>0</v>
      </c>
      <c r="E23" s="63" t="str">
        <f t="shared" si="1"/>
        <v/>
      </c>
      <c r="F23" s="64" t="s">
        <v>108</v>
      </c>
      <c r="G23" s="65"/>
      <c r="H23" s="65"/>
    </row>
    <row r="24" spans="1:8" ht="19.5" customHeight="1" x14ac:dyDescent="0.25">
      <c r="A24" s="66">
        <v>20</v>
      </c>
      <c r="B24" s="60"/>
      <c r="C24" s="61">
        <v>0</v>
      </c>
      <c r="D24" s="62">
        <v>0</v>
      </c>
      <c r="E24" s="63" t="str">
        <f t="shared" si="1"/>
        <v/>
      </c>
      <c r="F24" s="64" t="s">
        <v>108</v>
      </c>
      <c r="G24" s="65"/>
      <c r="H24" s="65"/>
    </row>
    <row r="25" spans="1:8" ht="24" customHeight="1" x14ac:dyDescent="0.25">
      <c r="A25" s="107" t="s">
        <v>118</v>
      </c>
      <c r="B25" s="107"/>
      <c r="C25" s="68">
        <f>SUM(C5:C24)</f>
        <v>21</v>
      </c>
      <c r="D25" s="68">
        <f>SUM(D5:D24)</f>
        <v>14</v>
      </c>
      <c r="E25" s="68">
        <f>SUM(E5:E24)</f>
        <v>35</v>
      </c>
      <c r="F25" s="69"/>
      <c r="G25" s="69"/>
      <c r="H25" s="69"/>
    </row>
    <row r="26" spans="1:8" ht="7.5" customHeight="1" x14ac:dyDescent="0.25"/>
    <row r="27" spans="1:8" ht="19.5" customHeight="1" x14ac:dyDescent="0.25">
      <c r="A27" s="104" t="s">
        <v>119</v>
      </c>
      <c r="B27" s="104"/>
      <c r="C27" s="104"/>
      <c r="D27" s="104"/>
      <c r="E27" s="104"/>
      <c r="F27" s="104"/>
      <c r="G27" s="104"/>
      <c r="H27" s="104"/>
    </row>
  </sheetData>
  <mergeCells count="5">
    <mergeCell ref="A1:H1"/>
    <mergeCell ref="A2:H2"/>
    <mergeCell ref="A3:H3"/>
    <mergeCell ref="A25:B25"/>
    <mergeCell ref="A27:H2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4">
    <pageSetUpPr fitToPage="1"/>
  </sheetPr>
  <dimension ref="A1:R94"/>
  <sheetViews>
    <sheetView showGridLines="0" tabSelected="1" zoomScaleNormal="100" workbookViewId="0">
      <selection activeCell="Y44" sqref="Y44"/>
    </sheetView>
  </sheetViews>
  <sheetFormatPr defaultColWidth="8.7109375" defaultRowHeight="15" x14ac:dyDescent="0.25"/>
  <cols>
    <col min="1" max="1" width="4" customWidth="1"/>
    <col min="2" max="2" width="8" customWidth="1"/>
    <col min="3" max="3" width="28" customWidth="1"/>
    <col min="4" max="4" width="6" customWidth="1"/>
    <col min="5" max="5" width="8" customWidth="1"/>
    <col min="6" max="15" width="2.7109375" customWidth="1"/>
    <col min="16" max="16" width="42" customWidth="1"/>
    <col min="17" max="17" width="19.140625" customWidth="1"/>
    <col min="18" max="18" width="18" customWidth="1"/>
  </cols>
  <sheetData>
    <row r="1" spans="1:18" ht="31.5" customHeight="1" x14ac:dyDescent="0.25">
      <c r="A1" s="105" t="s">
        <v>120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</row>
    <row r="2" spans="1:18" ht="21.75" customHeight="1" x14ac:dyDescent="0.25">
      <c r="A2" s="109" t="s">
        <v>121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ht="19.5" customHeight="1" x14ac:dyDescent="0.25">
      <c r="A3" s="113" t="s">
        <v>122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</row>
    <row r="4" spans="1:18" ht="6" customHeight="1" x14ac:dyDescent="0.25"/>
    <row r="5" spans="1:18" ht="24" customHeight="1" x14ac:dyDescent="0.25">
      <c r="A5" s="107" t="s">
        <v>123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</row>
    <row r="6" spans="1:18" ht="31.5" customHeight="1" x14ac:dyDescent="0.25">
      <c r="A6" s="23" t="s">
        <v>124</v>
      </c>
      <c r="B6" s="23" t="s">
        <v>5</v>
      </c>
      <c r="C6" s="23" t="s">
        <v>6</v>
      </c>
      <c r="D6" s="23" t="s">
        <v>125</v>
      </c>
      <c r="E6" s="23" t="s">
        <v>126</v>
      </c>
      <c r="F6" s="23" t="s">
        <v>127</v>
      </c>
      <c r="G6" s="23" t="s">
        <v>128</v>
      </c>
      <c r="H6" s="23" t="s">
        <v>129</v>
      </c>
      <c r="I6" s="23" t="s">
        <v>130</v>
      </c>
      <c r="J6" s="23" t="s">
        <v>131</v>
      </c>
      <c r="K6" s="23" t="s">
        <v>132</v>
      </c>
      <c r="L6" s="23" t="s">
        <v>133</v>
      </c>
      <c r="M6" s="23" t="s">
        <v>134</v>
      </c>
      <c r="N6" s="23" t="s">
        <v>135</v>
      </c>
      <c r="O6" s="23" t="s">
        <v>136</v>
      </c>
      <c r="P6" s="23" t="s">
        <v>137</v>
      </c>
      <c r="Q6" s="23" t="s">
        <v>138</v>
      </c>
      <c r="R6" s="23" t="s">
        <v>139</v>
      </c>
    </row>
    <row r="7" spans="1:18" ht="19.5" customHeight="1" x14ac:dyDescent="0.25">
      <c r="A7" s="33">
        <f>IF('1-Ogrenci'!C6&lt;&gt;"",1,"")</f>
        <v>1</v>
      </c>
      <c r="B7" s="33" t="str">
        <f>IF('1-Ogrenci'!C6&lt;&gt;"",'1-Ogrenci'!B6,"")</f>
        <v>1008</v>
      </c>
      <c r="C7" s="34" t="str">
        <f>IF('1-Ogrenci'!C6&lt;&gt;"",'1-Ogrenci'!C6,"")</f>
        <v>ZAFER SARI</v>
      </c>
      <c r="D7" s="33" t="str">
        <f>IF('1-Ogrenci'!C6&lt;&gt;"","MBO","")</f>
        <v>MBO</v>
      </c>
      <c r="E7" s="35">
        <f>'1-Ogrenci'!D6</f>
        <v>74.819999999999993</v>
      </c>
      <c r="F7" s="70" t="str">
        <f>'2-Tercih'!E7</f>
        <v>TKI EGE LINYITLERI ISLETMESI MUDURLUGU</v>
      </c>
      <c r="G7" s="71" t="str">
        <f>'2-Tercih'!F7</f>
        <v>IMBAT MADENCILIK</v>
      </c>
      <c r="H7" s="72" t="str">
        <f>'2-Tercih'!G7</f>
        <v>DEFAS MADENCILIK SAN. VE TIC. A.S. (DEMIR EXPORT)</v>
      </c>
      <c r="I7" s="73" t="str">
        <f>'2-Tercih'!H7</f>
        <v>HIDRO-GEN ENERJI</v>
      </c>
      <c r="J7" s="74" t="str">
        <f>'2-Tercih'!I7</f>
        <v>ZIRVE MAKINA</v>
      </c>
      <c r="K7" s="75">
        <f>'2-Tercih'!J7</f>
        <v>0</v>
      </c>
      <c r="L7" s="76">
        <f>'2-Tercih'!K7</f>
        <v>0</v>
      </c>
      <c r="M7" s="77">
        <f>'2-Tercih'!L7</f>
        <v>0</v>
      </c>
      <c r="N7" s="78">
        <f>'2-Tercih'!M7</f>
        <v>0</v>
      </c>
      <c r="O7" s="79">
        <f>'2-Tercih'!N7</f>
        <v>0</v>
      </c>
      <c r="P7" s="85" t="s">
        <v>115</v>
      </c>
      <c r="Q7" s="86" t="s">
        <v>85</v>
      </c>
      <c r="R7" s="86" t="s">
        <v>165</v>
      </c>
    </row>
    <row r="8" spans="1:18" ht="19.5" customHeight="1" x14ac:dyDescent="0.25">
      <c r="A8" s="47">
        <f>IF('1-Ogrenci'!C7&lt;&gt;"",2,"")</f>
        <v>2</v>
      </c>
      <c r="B8" s="47" t="str">
        <f>IF('1-Ogrenci'!C7&lt;&gt;"",'1-Ogrenci'!B7,"")</f>
        <v>23014</v>
      </c>
      <c r="C8" s="48" t="str">
        <f>IF('1-Ogrenci'!C7&lt;&gt;"",'1-Ogrenci'!C7,"")</f>
        <v>RAMAZAN OVEK</v>
      </c>
      <c r="D8" s="47" t="str">
        <f>IF('1-Ogrenci'!C7&lt;&gt;"","MBO","")</f>
        <v>MBO</v>
      </c>
      <c r="E8" s="49">
        <f>'1-Ogrenci'!D7</f>
        <v>78.88</v>
      </c>
      <c r="F8" s="70" t="str">
        <f>'2-Tercih'!E8</f>
        <v>UYSAL TORNA (MUHAMMET UYSAL)</v>
      </c>
      <c r="G8" s="71" t="str">
        <f>'2-Tercih'!F8</f>
        <v>TKI EGE LINYITLERI ISLETMESI MUDURLUGU</v>
      </c>
      <c r="H8" s="72" t="str">
        <f>'2-Tercih'!G8</f>
        <v>DEFAS MADENCILIK SAN. VE TIC. A.S. (DEMIR EXPORT)</v>
      </c>
      <c r="I8" s="73" t="str">
        <f>'2-Tercih'!H8</f>
        <v>IMBAT MADENCILIK</v>
      </c>
      <c r="J8" s="74">
        <f>'2-Tercih'!I8</f>
        <v>0</v>
      </c>
      <c r="K8" s="75">
        <f>'2-Tercih'!J8</f>
        <v>0</v>
      </c>
      <c r="L8" s="76">
        <f>'2-Tercih'!K8</f>
        <v>0</v>
      </c>
      <c r="M8" s="77">
        <f>'2-Tercih'!L8</f>
        <v>0</v>
      </c>
      <c r="N8" s="78">
        <f>'2-Tercih'!M8</f>
        <v>0</v>
      </c>
      <c r="O8" s="79">
        <f>'2-Tercih'!N8</f>
        <v>0</v>
      </c>
      <c r="P8" s="85" t="s">
        <v>115</v>
      </c>
      <c r="Q8" s="86" t="s">
        <v>85</v>
      </c>
      <c r="R8" s="86" t="s">
        <v>165</v>
      </c>
    </row>
    <row r="9" spans="1:18" ht="19.5" customHeight="1" x14ac:dyDescent="0.25">
      <c r="A9" s="33">
        <f>IF('1-Ogrenci'!C8&lt;&gt;"",3,"")</f>
        <v>3</v>
      </c>
      <c r="B9" s="33" t="str">
        <f>IF('1-Ogrenci'!C8&lt;&gt;"",'1-Ogrenci'!B8,"")</f>
        <v>23015</v>
      </c>
      <c r="C9" s="34" t="str">
        <f>IF('1-Ogrenci'!C8&lt;&gt;"",'1-Ogrenci'!C8,"")</f>
        <v>ISMAIL SIVRI</v>
      </c>
      <c r="D9" s="33" t="str">
        <f>IF('1-Ogrenci'!C8&lt;&gt;"","MBO","")</f>
        <v>MBO</v>
      </c>
      <c r="E9" s="35">
        <f>'1-Ogrenci'!D8</f>
        <v>77.56</v>
      </c>
      <c r="F9" s="70" t="str">
        <f>'2-Tercih'!E9</f>
        <v>TKI EGE LINYITLERI ISLETMESI MUDURLUGU</v>
      </c>
      <c r="G9" s="71" t="str">
        <f>'2-Tercih'!F9</f>
        <v>HIDRO-GEN ENERJI</v>
      </c>
      <c r="H9" s="72" t="str">
        <f>'2-Tercih'!G9</f>
        <v>IMBAT MADENCILIK</v>
      </c>
      <c r="I9" s="73" t="str">
        <f>'2-Tercih'!H9</f>
        <v>DEFAS MADENCILIK SAN. VE TIC. A.S. (DEMIR EXPORT)</v>
      </c>
      <c r="J9" s="74" t="str">
        <f>'2-Tercih'!I9</f>
        <v>ARIKSAN METAL</v>
      </c>
      <c r="K9" s="75" t="str">
        <f>'2-Tercih'!J9</f>
        <v>E SINERJI MUHENDISLIK</v>
      </c>
      <c r="L9" s="76">
        <f>'2-Tercih'!K9</f>
        <v>0</v>
      </c>
      <c r="M9" s="77">
        <f>'2-Tercih'!L9</f>
        <v>0</v>
      </c>
      <c r="N9" s="78">
        <f>'2-Tercih'!M9</f>
        <v>0</v>
      </c>
      <c r="O9" s="79">
        <f>'2-Tercih'!N9</f>
        <v>0</v>
      </c>
      <c r="P9" s="87" t="s">
        <v>162</v>
      </c>
      <c r="Q9" s="88" t="s">
        <v>166</v>
      </c>
      <c r="R9" s="88" t="s">
        <v>167</v>
      </c>
    </row>
    <row r="10" spans="1:18" ht="19.5" customHeight="1" x14ac:dyDescent="0.25">
      <c r="A10" s="47">
        <f>IF('1-Ogrenci'!C9&lt;&gt;"",4,"")</f>
        <v>4</v>
      </c>
      <c r="B10" s="47" t="str">
        <f>IF('1-Ogrenci'!C9&lt;&gt;"",'1-Ogrenci'!B9,"")</f>
        <v>23034</v>
      </c>
      <c r="C10" s="48" t="str">
        <f>IF('1-Ogrenci'!C9&lt;&gt;"",'1-Ogrenci'!C9,"")</f>
        <v>ALI YILMAZ</v>
      </c>
      <c r="D10" s="47" t="str">
        <f>IF('1-Ogrenci'!C9&lt;&gt;"","MBO","")</f>
        <v>MBO</v>
      </c>
      <c r="E10" s="49">
        <f>'1-Ogrenci'!D9</f>
        <v>70.33</v>
      </c>
      <c r="F10" s="70" t="str">
        <f>'2-Tercih'!E10</f>
        <v>HIDRO-GEN ENERJI</v>
      </c>
      <c r="G10" s="71" t="str">
        <f>'2-Tercih'!F10</f>
        <v>TKI EGE LINYITLERI ISLETMESI MUDURLUGU</v>
      </c>
      <c r="H10" s="72" t="str">
        <f>'2-Tercih'!G10</f>
        <v>DEFAS MADENCILIK SAN. VE TIC. A.S. (DEMIR EXPORT)</v>
      </c>
      <c r="I10" s="73" t="str">
        <f>'2-Tercih'!H10</f>
        <v>IMBAT MADENCILIK</v>
      </c>
      <c r="J10" s="74" t="str">
        <f>'2-Tercih'!I10</f>
        <v>MODERANS METAL YAPI</v>
      </c>
      <c r="K10" s="75">
        <f>'2-Tercih'!J10</f>
        <v>0</v>
      </c>
      <c r="L10" s="76">
        <f>'2-Tercih'!K10</f>
        <v>0</v>
      </c>
      <c r="M10" s="77">
        <f>'2-Tercih'!L10</f>
        <v>0</v>
      </c>
      <c r="N10" s="78">
        <f>'2-Tercih'!M10</f>
        <v>0</v>
      </c>
      <c r="O10" s="79">
        <f>'2-Tercih'!N10</f>
        <v>0</v>
      </c>
      <c r="P10" s="101" t="s">
        <v>110</v>
      </c>
      <c r="Q10" s="88" t="s">
        <v>88</v>
      </c>
      <c r="R10" s="88" t="s">
        <v>165</v>
      </c>
    </row>
    <row r="11" spans="1:18" ht="19.5" customHeight="1" x14ac:dyDescent="0.25">
      <c r="A11" s="33">
        <f>IF('1-Ogrenci'!C10&lt;&gt;"",5,"")</f>
        <v>5</v>
      </c>
      <c r="B11" s="33" t="str">
        <f>IF('1-Ogrenci'!C10&lt;&gt;"",'1-Ogrenci'!B10,"")</f>
        <v>23046</v>
      </c>
      <c r="C11" s="34" t="str">
        <f>IF('1-Ogrenci'!C10&lt;&gt;"",'1-Ogrenci'!C10,"")</f>
        <v>TUNAHAN TEKER</v>
      </c>
      <c r="D11" s="33" t="str">
        <f>IF('1-Ogrenci'!C10&lt;&gt;"","MBO","")</f>
        <v>MBO</v>
      </c>
      <c r="E11" s="35">
        <f>'1-Ogrenci'!D10</f>
        <v>71.599999999999994</v>
      </c>
      <c r="F11" s="70" t="str">
        <f>'2-Tercih'!E11</f>
        <v>ARIKSAN METAL</v>
      </c>
      <c r="G11" s="71" t="str">
        <f>'2-Tercih'!F11</f>
        <v>TKI EGE LINYITLERI ISLETMESI MUDURLUGU</v>
      </c>
      <c r="H11" s="72">
        <f>'2-Tercih'!G11</f>
        <v>0</v>
      </c>
      <c r="I11" s="73">
        <f>'2-Tercih'!H11</f>
        <v>0</v>
      </c>
      <c r="J11" s="74">
        <f>'2-Tercih'!I11</f>
        <v>0</v>
      </c>
      <c r="K11" s="75">
        <f>'2-Tercih'!J11</f>
        <v>0</v>
      </c>
      <c r="L11" s="76">
        <f>'2-Tercih'!K11</f>
        <v>0</v>
      </c>
      <c r="M11" s="77">
        <f>'2-Tercih'!L11</f>
        <v>0</v>
      </c>
      <c r="N11" s="78">
        <f>'2-Tercih'!M11</f>
        <v>0</v>
      </c>
      <c r="O11" s="79">
        <f>'2-Tercih'!N11</f>
        <v>0</v>
      </c>
      <c r="P11" s="87" t="s">
        <v>112</v>
      </c>
      <c r="Q11" s="88" t="s">
        <v>166</v>
      </c>
      <c r="R11" s="88" t="s">
        <v>167</v>
      </c>
    </row>
    <row r="12" spans="1:18" ht="19.5" customHeight="1" x14ac:dyDescent="0.25">
      <c r="A12" s="47">
        <f>IF('1-Ogrenci'!C11&lt;&gt;"",6,"")</f>
        <v>6</v>
      </c>
      <c r="B12" s="47" t="str">
        <f>IF('1-Ogrenci'!C11&lt;&gt;"",'1-Ogrenci'!B11,"")</f>
        <v>23050</v>
      </c>
      <c r="C12" s="48" t="str">
        <f>IF('1-Ogrenci'!C11&lt;&gt;"",'1-Ogrenci'!C11,"")</f>
        <v>YASAR ARDA CAL</v>
      </c>
      <c r="D12" s="47" t="str">
        <f>IF('1-Ogrenci'!C11&lt;&gt;"","MBO","")</f>
        <v>MBO</v>
      </c>
      <c r="E12" s="49">
        <f>'1-Ogrenci'!D11</f>
        <v>78.75</v>
      </c>
      <c r="F12" s="70" t="str">
        <f>'2-Tercih'!E12</f>
        <v>DEFAS MADENCILIK SAN. VE TIC. A.S. (DEMIR EXPORT)</v>
      </c>
      <c r="G12" s="71" t="str">
        <f>'2-Tercih'!F12</f>
        <v>TKI EGE LINYITLERI ISLETMESI MUDURLUGU</v>
      </c>
      <c r="H12" s="72" t="str">
        <f>'2-Tercih'!G12</f>
        <v>IMBAT MADENCILIK</v>
      </c>
      <c r="I12" s="73" t="str">
        <f>'2-Tercih'!H12</f>
        <v>HIDRO-GEN ENERJI</v>
      </c>
      <c r="J12" s="74" t="str">
        <f>'2-Tercih'!I12</f>
        <v>ARIKSAN METAL</v>
      </c>
      <c r="K12" s="75">
        <f>'2-Tercih'!J12</f>
        <v>0</v>
      </c>
      <c r="L12" s="76">
        <f>'2-Tercih'!K12</f>
        <v>0</v>
      </c>
      <c r="M12" s="77">
        <f>'2-Tercih'!L12</f>
        <v>0</v>
      </c>
      <c r="N12" s="78">
        <f>'2-Tercih'!M12</f>
        <v>0</v>
      </c>
      <c r="O12" s="79">
        <f>'2-Tercih'!N12</f>
        <v>0</v>
      </c>
      <c r="P12" s="87" t="s">
        <v>107</v>
      </c>
      <c r="Q12" s="88" t="s">
        <v>166</v>
      </c>
      <c r="R12" s="88" t="s">
        <v>167</v>
      </c>
    </row>
    <row r="13" spans="1:18" ht="19.5" customHeight="1" x14ac:dyDescent="0.25">
      <c r="A13" s="33">
        <f>IF('1-Ogrenci'!C12&lt;&gt;"",7,"")</f>
        <v>7</v>
      </c>
      <c r="B13" s="33" t="str">
        <f>IF('1-Ogrenci'!C12&lt;&gt;"",'1-Ogrenci'!B12,"")</f>
        <v>23060</v>
      </c>
      <c r="C13" s="34" t="str">
        <f>IF('1-Ogrenci'!C12&lt;&gt;"",'1-Ogrenci'!C12,"")</f>
        <v>MEHMET KAZIM UZUN</v>
      </c>
      <c r="D13" s="33" t="str">
        <f>IF('1-Ogrenci'!C12&lt;&gt;"","MBO","")</f>
        <v>MBO</v>
      </c>
      <c r="E13" s="35">
        <f>'1-Ogrenci'!D12</f>
        <v>69.150000000000006</v>
      </c>
      <c r="F13" s="70" t="str">
        <f>'2-Tercih'!E13</f>
        <v>TKI EGE LINYITLERI ISLETMESI MUDURLUGU</v>
      </c>
      <c r="G13" s="71" t="str">
        <f>'2-Tercih'!F13</f>
        <v>DEFAS MADENCILIK SAN. VE TIC. A.S. (DEMIR EXPORT)</v>
      </c>
      <c r="H13" s="72" t="str">
        <f>'2-Tercih'!G13</f>
        <v>HIDRO-GEN ENERJI</v>
      </c>
      <c r="I13" s="73" t="str">
        <f>'2-Tercih'!H13</f>
        <v>IMBAT MADENCILIK</v>
      </c>
      <c r="J13" s="74" t="str">
        <f>'2-Tercih'!I13</f>
        <v>ARIKSAN METAL</v>
      </c>
      <c r="K13" s="75">
        <f>'2-Tercih'!J13</f>
        <v>0</v>
      </c>
      <c r="L13" s="76">
        <f>'2-Tercih'!K13</f>
        <v>0</v>
      </c>
      <c r="M13" s="77">
        <f>'2-Tercih'!L13</f>
        <v>0</v>
      </c>
      <c r="N13" s="78">
        <f>'2-Tercih'!M13</f>
        <v>0</v>
      </c>
      <c r="O13" s="79">
        <f>'2-Tercih'!N13</f>
        <v>0</v>
      </c>
      <c r="P13" s="87" t="s">
        <v>110</v>
      </c>
      <c r="Q13" s="88" t="s">
        <v>166</v>
      </c>
      <c r="R13" s="88" t="s">
        <v>167</v>
      </c>
    </row>
    <row r="14" spans="1:18" ht="19.5" customHeight="1" x14ac:dyDescent="0.25">
      <c r="A14" s="47">
        <f>IF('1-Ogrenci'!C13&lt;&gt;"",8,"")</f>
        <v>8</v>
      </c>
      <c r="B14" s="47" t="str">
        <f>IF('1-Ogrenci'!C13&lt;&gt;"",'1-Ogrenci'!B13,"")</f>
        <v>23068</v>
      </c>
      <c r="C14" s="48" t="str">
        <f>IF('1-Ogrenci'!C13&lt;&gt;"",'1-Ogrenci'!C13,"")</f>
        <v>SADETTIN AKSU</v>
      </c>
      <c r="D14" s="47" t="str">
        <f>IF('1-Ogrenci'!C13&lt;&gt;"","MBO","")</f>
        <v>MBO</v>
      </c>
      <c r="E14" s="49">
        <f>'1-Ogrenci'!D13</f>
        <v>70.569999999999993</v>
      </c>
      <c r="F14" s="70" t="str">
        <f>'2-Tercih'!E14</f>
        <v>HIDRO-GEN ENERJI</v>
      </c>
      <c r="G14" s="71" t="str">
        <f>'2-Tercih'!F14</f>
        <v>TKI EGE LINYITLERI ISLETMESI MUDURLUGU</v>
      </c>
      <c r="H14" s="72" t="str">
        <f>'2-Tercih'!G14</f>
        <v>DEFAS MADENCILIK SAN. VE TIC. A.S. (DEMIR EXPORT)</v>
      </c>
      <c r="I14" s="73" t="str">
        <f>'2-Tercih'!H14</f>
        <v>IMBAT MADENCILIK</v>
      </c>
      <c r="J14" s="74" t="str">
        <f>'2-Tercih'!I14</f>
        <v>MODERANS METAL YAPI</v>
      </c>
      <c r="K14" s="75">
        <f>'2-Tercih'!J14</f>
        <v>0</v>
      </c>
      <c r="L14" s="76">
        <f>'2-Tercih'!K14</f>
        <v>0</v>
      </c>
      <c r="M14" s="77">
        <f>'2-Tercih'!L14</f>
        <v>0</v>
      </c>
      <c r="N14" s="78">
        <f>'2-Tercih'!M14</f>
        <v>0</v>
      </c>
      <c r="O14" s="79">
        <f>'2-Tercih'!N14</f>
        <v>0</v>
      </c>
      <c r="P14" s="102" t="s">
        <v>116</v>
      </c>
      <c r="Q14" s="103" t="s">
        <v>169</v>
      </c>
      <c r="R14" s="103" t="s">
        <v>170</v>
      </c>
    </row>
    <row r="15" spans="1:18" ht="19.5" customHeight="1" x14ac:dyDescent="0.25">
      <c r="A15" s="33">
        <f>IF('1-Ogrenci'!C14&lt;&gt;"",9,"")</f>
        <v>9</v>
      </c>
      <c r="B15" s="33" t="str">
        <f>IF('1-Ogrenci'!C14&lt;&gt;"",'1-Ogrenci'!B14,"")</f>
        <v>23077</v>
      </c>
      <c r="C15" s="34" t="str">
        <f>IF('1-Ogrenci'!C14&lt;&gt;"",'1-Ogrenci'!C14,"")</f>
        <v>CENGIZHAN GEZGIN</v>
      </c>
      <c r="D15" s="33" t="str">
        <f>IF('1-Ogrenci'!C14&lt;&gt;"","MBO","")</f>
        <v>MBO</v>
      </c>
      <c r="E15" s="35">
        <f>'1-Ogrenci'!D14</f>
        <v>72.010000000000005</v>
      </c>
      <c r="F15" s="70" t="str">
        <f>'2-Tercih'!E15</f>
        <v>DEFAS MADENCILIK SAN. VE TIC. A.S. (DEMIR EXPORT)</v>
      </c>
      <c r="G15" s="71" t="str">
        <f>'2-Tercih'!F15</f>
        <v>TKI EGE LINYITLERI ISLETMESI MUDURLUGU</v>
      </c>
      <c r="H15" s="72">
        <f>'2-Tercih'!G15</f>
        <v>0</v>
      </c>
      <c r="I15" s="73">
        <f>'2-Tercih'!H15</f>
        <v>0</v>
      </c>
      <c r="J15" s="74">
        <f>'2-Tercih'!I15</f>
        <v>0</v>
      </c>
      <c r="K15" s="75">
        <f>'2-Tercih'!J15</f>
        <v>0</v>
      </c>
      <c r="L15" s="76">
        <f>'2-Tercih'!K15</f>
        <v>0</v>
      </c>
      <c r="M15" s="77">
        <f>'2-Tercih'!L15</f>
        <v>0</v>
      </c>
      <c r="N15" s="78">
        <f>'2-Tercih'!M15</f>
        <v>0</v>
      </c>
      <c r="O15" s="79">
        <f>'2-Tercih'!N15</f>
        <v>0</v>
      </c>
      <c r="P15" s="85" t="s">
        <v>112</v>
      </c>
      <c r="Q15" s="86" t="s">
        <v>85</v>
      </c>
      <c r="R15" s="86" t="s">
        <v>165</v>
      </c>
    </row>
    <row r="16" spans="1:18" ht="19.5" customHeight="1" x14ac:dyDescent="0.25">
      <c r="A16" s="47">
        <f>IF('1-Ogrenci'!C15&lt;&gt;"",10,"")</f>
        <v>10</v>
      </c>
      <c r="B16" s="47" t="str">
        <f>IF('1-Ogrenci'!C15&lt;&gt;"",'1-Ogrenci'!B15,"")</f>
        <v>23081</v>
      </c>
      <c r="C16" s="48" t="str">
        <f>IF('1-Ogrenci'!C15&lt;&gt;"",'1-Ogrenci'!C15,"")</f>
        <v>BATIKAN ALEMDAR TASPINAR</v>
      </c>
      <c r="D16" s="47" t="str">
        <f>IF('1-Ogrenci'!C15&lt;&gt;"","MBO","")</f>
        <v>MBO</v>
      </c>
      <c r="E16" s="49">
        <f>'1-Ogrenci'!D15</f>
        <v>66.67</v>
      </c>
      <c r="F16" s="70" t="str">
        <f>'2-Tercih'!E16</f>
        <v>ARIKSAN METAL</v>
      </c>
      <c r="G16" s="71" t="str">
        <f>'2-Tercih'!F16</f>
        <v>TKI EGE LINYITLERI ISLETMESI MUDURLUGU</v>
      </c>
      <c r="H16" s="72">
        <f>'2-Tercih'!G16</f>
        <v>0</v>
      </c>
      <c r="I16" s="73">
        <f>'2-Tercih'!H16</f>
        <v>0</v>
      </c>
      <c r="J16" s="74">
        <f>'2-Tercih'!I16</f>
        <v>0</v>
      </c>
      <c r="K16" s="75">
        <f>'2-Tercih'!J16</f>
        <v>0</v>
      </c>
      <c r="L16" s="76">
        <f>'2-Tercih'!K16</f>
        <v>0</v>
      </c>
      <c r="M16" s="77">
        <f>'2-Tercih'!L16</f>
        <v>0</v>
      </c>
      <c r="N16" s="78">
        <f>'2-Tercih'!M16</f>
        <v>0</v>
      </c>
      <c r="O16" s="79">
        <f>'2-Tercih'!N16</f>
        <v>0</v>
      </c>
      <c r="P16" s="87" t="s">
        <v>110</v>
      </c>
      <c r="Q16" s="88" t="s">
        <v>166</v>
      </c>
      <c r="R16" s="88" t="s">
        <v>167</v>
      </c>
    </row>
    <row r="17" spans="1:18" ht="19.5" customHeight="1" x14ac:dyDescent="0.25">
      <c r="A17" s="33">
        <f>IF('1-Ogrenci'!C16&lt;&gt;"",11,"")</f>
        <v>11</v>
      </c>
      <c r="B17" s="33" t="str">
        <f>IF('1-Ogrenci'!C16&lt;&gt;"",'1-Ogrenci'!B16,"")</f>
        <v>23087</v>
      </c>
      <c r="C17" s="34" t="str">
        <f>IF('1-Ogrenci'!C16&lt;&gt;"",'1-Ogrenci'!C16,"")</f>
        <v>YUSUF EFE CAL</v>
      </c>
      <c r="D17" s="33" t="str">
        <f>IF('1-Ogrenci'!C16&lt;&gt;"","MBO","")</f>
        <v>MBO</v>
      </c>
      <c r="E17" s="35">
        <f>'1-Ogrenci'!D16</f>
        <v>77</v>
      </c>
      <c r="F17" s="70" t="str">
        <f>'2-Tercih'!E17</f>
        <v>TKI EGE LINYITLERI ISLETMESI MUDURLUGU</v>
      </c>
      <c r="G17" s="71" t="str">
        <f>'2-Tercih'!F17</f>
        <v>DEFAS MADENCILIK SAN. VE TIC. A.S. (DEMIR EXPORT)</v>
      </c>
      <c r="H17" s="72" t="str">
        <f>'2-Tercih'!G17</f>
        <v>IMBAT MADENCILIK</v>
      </c>
      <c r="I17" s="73" t="str">
        <f>'2-Tercih'!H17</f>
        <v>HIDRO-GEN ENERJI</v>
      </c>
      <c r="J17" s="74">
        <f>'2-Tercih'!I17</f>
        <v>0</v>
      </c>
      <c r="K17" s="75">
        <f>'2-Tercih'!J17</f>
        <v>0</v>
      </c>
      <c r="L17" s="76">
        <f>'2-Tercih'!K17</f>
        <v>0</v>
      </c>
      <c r="M17" s="77">
        <f>'2-Tercih'!L17</f>
        <v>0</v>
      </c>
      <c r="N17" s="78">
        <f>'2-Tercih'!M17</f>
        <v>0</v>
      </c>
      <c r="O17" s="79">
        <f>'2-Tercih'!N17</f>
        <v>0</v>
      </c>
      <c r="P17" s="87" t="s">
        <v>107</v>
      </c>
      <c r="Q17" s="88" t="s">
        <v>166</v>
      </c>
      <c r="R17" s="88" t="s">
        <v>167</v>
      </c>
    </row>
    <row r="18" spans="1:18" ht="19.5" customHeight="1" x14ac:dyDescent="0.25">
      <c r="A18" s="47">
        <f>IF('1-Ogrenci'!C17&lt;&gt;"",12,"")</f>
        <v>12</v>
      </c>
      <c r="B18" s="47" t="str">
        <f>IF('1-Ogrenci'!C17&lt;&gt;"",'1-Ogrenci'!B17,"")</f>
        <v>23100</v>
      </c>
      <c r="C18" s="48" t="str">
        <f>IF('1-Ogrenci'!C17&lt;&gt;"",'1-Ogrenci'!C17,"")</f>
        <v>MERT KOCABIYIK</v>
      </c>
      <c r="D18" s="47" t="str">
        <f>IF('1-Ogrenci'!C17&lt;&gt;"","MBO","")</f>
        <v>MBO</v>
      </c>
      <c r="E18" s="49">
        <f>'1-Ogrenci'!D17</f>
        <v>75.150000000000006</v>
      </c>
      <c r="F18" s="70" t="str">
        <f>'2-Tercih'!E18</f>
        <v>TKI EGE LINYITLERI ISLETMESI MUDURLUGU</v>
      </c>
      <c r="G18" s="71" t="str">
        <f>'2-Tercih'!F18</f>
        <v>BULUT METAL</v>
      </c>
      <c r="H18" s="72" t="str">
        <f>'2-Tercih'!G18</f>
        <v>ZINBA MAKINA SANAYI</v>
      </c>
      <c r="I18" s="73" t="str">
        <f>'2-Tercih'!H18</f>
        <v>ARIKSAN METAL</v>
      </c>
      <c r="J18" s="74" t="str">
        <f>'2-Tercih'!I18</f>
        <v>MODERANS METAL YAPI</v>
      </c>
      <c r="K18" s="75" t="str">
        <f>'2-Tercih'!J18</f>
        <v>ZIRVE MAKINA</v>
      </c>
      <c r="L18" s="76" t="str">
        <f>'2-Tercih'!K18</f>
        <v>DEFAS MADENCILIK SAN. VE TIC. A.S. (DEMIR EXPORT)</v>
      </c>
      <c r="M18" s="77" t="str">
        <f>'2-Tercih'!L18</f>
        <v>HIDRO-GEN ENERJI</v>
      </c>
      <c r="N18" s="78" t="str">
        <f>'2-Tercih'!M18</f>
        <v>IMBAT MADENCILIK</v>
      </c>
      <c r="O18" s="79" t="str">
        <f>'2-Tercih'!N18</f>
        <v>E SINERJI MUHENDISLIK</v>
      </c>
      <c r="P18" s="85" t="s">
        <v>115</v>
      </c>
      <c r="Q18" s="86" t="s">
        <v>85</v>
      </c>
      <c r="R18" s="86" t="s">
        <v>165</v>
      </c>
    </row>
    <row r="19" spans="1:18" ht="19.5" customHeight="1" x14ac:dyDescent="0.25">
      <c r="A19" s="33">
        <f>IF('1-Ogrenci'!C18&lt;&gt;"",13,"")</f>
        <v>13</v>
      </c>
      <c r="B19" s="33" t="str">
        <f>IF('1-Ogrenci'!C18&lt;&gt;"",'1-Ogrenci'!B18,"")</f>
        <v>23102</v>
      </c>
      <c r="C19" s="34" t="str">
        <f>IF('1-Ogrenci'!C18&lt;&gt;"",'1-Ogrenci'!C18,"")</f>
        <v>HUSEYIN YEKTA SENLIK</v>
      </c>
      <c r="D19" s="33" t="str">
        <f>IF('1-Ogrenci'!C18&lt;&gt;"","MBO","")</f>
        <v>MBO</v>
      </c>
      <c r="E19" s="35">
        <f>'1-Ogrenci'!D18</f>
        <v>68.540000000000006</v>
      </c>
      <c r="F19" s="70" t="str">
        <f>'2-Tercih'!E19</f>
        <v>TKI EGE LINYITLERI ISLETMESI MUDURLUGU</v>
      </c>
      <c r="G19" s="71" t="str">
        <f>'2-Tercih'!F19</f>
        <v>HIDRO-GEN ENERJI</v>
      </c>
      <c r="H19" s="72" t="str">
        <f>'2-Tercih'!G19</f>
        <v>ARIKSAN METAL</v>
      </c>
      <c r="I19" s="73" t="str">
        <f>'2-Tercih'!H19</f>
        <v>BULUT METAL</v>
      </c>
      <c r="J19" s="74" t="str">
        <f>'2-Tercih'!I19</f>
        <v>ZIRVE MAKINA</v>
      </c>
      <c r="K19" s="75" t="str">
        <f>'2-Tercih'!J19</f>
        <v>ZINBA MAKINA SANAYI</v>
      </c>
      <c r="L19" s="76" t="str">
        <f>'2-Tercih'!K19</f>
        <v>E SINERJI MUHENDISLIK</v>
      </c>
      <c r="M19" s="77">
        <f>'2-Tercih'!L19</f>
        <v>0</v>
      </c>
      <c r="N19" s="78">
        <f>'2-Tercih'!M19</f>
        <v>0</v>
      </c>
      <c r="O19" s="79">
        <f>'2-Tercih'!N19</f>
        <v>0</v>
      </c>
      <c r="P19" s="87" t="s">
        <v>160</v>
      </c>
      <c r="Q19" s="88" t="s">
        <v>166</v>
      </c>
      <c r="R19" s="88" t="s">
        <v>167</v>
      </c>
    </row>
    <row r="20" spans="1:18" ht="19.5" customHeight="1" x14ac:dyDescent="0.25">
      <c r="A20" s="47">
        <f>IF('1-Ogrenci'!C19&lt;&gt;"",14,"")</f>
        <v>14</v>
      </c>
      <c r="B20" s="47" t="str">
        <f>IF('1-Ogrenci'!C19&lt;&gt;"",'1-Ogrenci'!B19,"")</f>
        <v>23104</v>
      </c>
      <c r="C20" s="48" t="str">
        <f>IF('1-Ogrenci'!C19&lt;&gt;"",'1-Ogrenci'!C19,"")</f>
        <v>ALI HAN CELIK</v>
      </c>
      <c r="D20" s="47" t="str">
        <f>IF('1-Ogrenci'!C19&lt;&gt;"","MBO","")</f>
        <v>MBO</v>
      </c>
      <c r="E20" s="49">
        <f>'1-Ogrenci'!D19</f>
        <v>71.48</v>
      </c>
      <c r="F20" s="70" t="str">
        <f>'2-Tercih'!E20</f>
        <v>TKI EGE LINYITLERI ISLETMESI MUDURLUGU</v>
      </c>
      <c r="G20" s="71" t="str">
        <f>'2-Tercih'!F20</f>
        <v>DEFAS MADENCILIK SAN. VE TIC. A.S. (DEMIR EXPORT)</v>
      </c>
      <c r="H20" s="72" t="str">
        <f>'2-Tercih'!G20</f>
        <v>ARIKSAN METAL</v>
      </c>
      <c r="I20" s="73" t="str">
        <f>'2-Tercih'!H20</f>
        <v>ZINBA MAKINA SANAYI</v>
      </c>
      <c r="J20" s="74" t="str">
        <f>'2-Tercih'!I20</f>
        <v>ZIRVE MAKINA</v>
      </c>
      <c r="K20" s="75">
        <f>'2-Tercih'!J20</f>
        <v>0</v>
      </c>
      <c r="L20" s="76">
        <f>'2-Tercih'!K20</f>
        <v>0</v>
      </c>
      <c r="M20" s="77">
        <f>'2-Tercih'!L20</f>
        <v>0</v>
      </c>
      <c r="N20" s="78">
        <f>'2-Tercih'!M20</f>
        <v>0</v>
      </c>
      <c r="O20" s="79">
        <f>'2-Tercih'!N20</f>
        <v>0</v>
      </c>
      <c r="P20" s="87" t="s">
        <v>113</v>
      </c>
      <c r="Q20" s="88" t="s">
        <v>166</v>
      </c>
      <c r="R20" s="88" t="s">
        <v>167</v>
      </c>
    </row>
    <row r="21" spans="1:18" ht="19.5" customHeight="1" x14ac:dyDescent="0.25">
      <c r="A21" s="33">
        <f>IF('1-Ogrenci'!C20&lt;&gt;"",15,"")</f>
        <v>15</v>
      </c>
      <c r="B21" s="33" t="str">
        <f>IF('1-Ogrenci'!C20&lt;&gt;"",'1-Ogrenci'!B20,"")</f>
        <v>23107</v>
      </c>
      <c r="C21" s="34" t="str">
        <f>IF('1-Ogrenci'!C20&lt;&gt;"",'1-Ogrenci'!C20,"")</f>
        <v>HASAN MERT ANAC</v>
      </c>
      <c r="D21" s="33" t="str">
        <f>IF('1-Ogrenci'!C20&lt;&gt;"","MBO","")</f>
        <v>MBO</v>
      </c>
      <c r="E21" s="35">
        <f>'1-Ogrenci'!D20</f>
        <v>71.790000000000006</v>
      </c>
      <c r="F21" s="70" t="str">
        <f>'2-Tercih'!E21</f>
        <v>ZIRVE MAKINA</v>
      </c>
      <c r="G21" s="71" t="str">
        <f>'2-Tercih'!F21</f>
        <v>ARIKSAN METAL</v>
      </c>
      <c r="H21" s="72" t="str">
        <f>'2-Tercih'!G21</f>
        <v>ZINBA MAKINA SANAYI</v>
      </c>
      <c r="I21" s="73" t="str">
        <f>'2-Tercih'!H21</f>
        <v>BULUT METAL</v>
      </c>
      <c r="J21" s="74">
        <f>'2-Tercih'!I21</f>
        <v>0</v>
      </c>
      <c r="K21" s="75">
        <f>'2-Tercih'!J21</f>
        <v>0</v>
      </c>
      <c r="L21" s="76">
        <f>'2-Tercih'!K21</f>
        <v>0</v>
      </c>
      <c r="M21" s="77">
        <f>'2-Tercih'!L21</f>
        <v>0</v>
      </c>
      <c r="N21" s="78">
        <f>'2-Tercih'!M21</f>
        <v>0</v>
      </c>
      <c r="O21" s="79">
        <f>'2-Tercih'!N21</f>
        <v>0</v>
      </c>
      <c r="P21" s="85" t="s">
        <v>115</v>
      </c>
      <c r="Q21" s="86" t="s">
        <v>85</v>
      </c>
      <c r="R21" s="86" t="s">
        <v>165</v>
      </c>
    </row>
    <row r="22" spans="1:18" ht="19.5" customHeight="1" x14ac:dyDescent="0.25">
      <c r="A22" s="47">
        <f>IF('1-Ogrenci'!C21&lt;&gt;"",16,"")</f>
        <v>16</v>
      </c>
      <c r="B22" s="47" t="str">
        <f>IF('1-Ogrenci'!C21&lt;&gt;"",'1-Ogrenci'!B21,"")</f>
        <v>23110</v>
      </c>
      <c r="C22" s="48" t="str">
        <f>IF('1-Ogrenci'!C21&lt;&gt;"",'1-Ogrenci'!C21,"")</f>
        <v>SULEYMAN COBAN</v>
      </c>
      <c r="D22" s="47" t="str">
        <f>IF('1-Ogrenci'!C21&lt;&gt;"","MBO","")</f>
        <v>MBO</v>
      </c>
      <c r="E22" s="49">
        <f>'1-Ogrenci'!D21</f>
        <v>63.71</v>
      </c>
      <c r="F22" s="70" t="str">
        <f>'2-Tercih'!E22</f>
        <v>TKI EGE LINYITLERI ISLETMESI MUDURLUGU</v>
      </c>
      <c r="G22" s="71" t="str">
        <f>'2-Tercih'!F22</f>
        <v>DEFAS MADENCILIK SAN. VE TIC. A.S. (DEMIR EXPORT)</v>
      </c>
      <c r="H22" s="72" t="str">
        <f>'2-Tercih'!G22</f>
        <v>IMBAT MADENCILIK</v>
      </c>
      <c r="I22" s="73" t="str">
        <f>'2-Tercih'!H22</f>
        <v>ARIKSAN METAL</v>
      </c>
      <c r="J22" s="74" t="str">
        <f>'2-Tercih'!I22</f>
        <v>BULUT METAL</v>
      </c>
      <c r="K22" s="75" t="str">
        <f>'2-Tercih'!J22</f>
        <v>HIDRO-GEN ENERJI</v>
      </c>
      <c r="L22" s="76">
        <f>'2-Tercih'!K22</f>
        <v>0</v>
      </c>
      <c r="M22" s="77">
        <f>'2-Tercih'!L22</f>
        <v>0</v>
      </c>
      <c r="N22" s="78">
        <f>'2-Tercih'!M22</f>
        <v>0</v>
      </c>
      <c r="O22" s="79">
        <f>'2-Tercih'!N22</f>
        <v>0</v>
      </c>
      <c r="P22" s="85" t="s">
        <v>117</v>
      </c>
      <c r="Q22" s="86" t="s">
        <v>85</v>
      </c>
      <c r="R22" s="86" t="s">
        <v>165</v>
      </c>
    </row>
    <row r="23" spans="1:18" ht="19.5" customHeight="1" x14ac:dyDescent="0.25">
      <c r="A23" s="33">
        <f>IF('1-Ogrenci'!C22&lt;&gt;"",17,"")</f>
        <v>17</v>
      </c>
      <c r="B23" s="33" t="str">
        <f>IF('1-Ogrenci'!C22&lt;&gt;"",'1-Ogrenci'!B22,"")</f>
        <v>23112</v>
      </c>
      <c r="C23" s="34" t="str">
        <f>IF('1-Ogrenci'!C22&lt;&gt;"",'1-Ogrenci'!C22,"")</f>
        <v>EMIRHAN ERTURK</v>
      </c>
      <c r="D23" s="33" t="str">
        <f>IF('1-Ogrenci'!C22&lt;&gt;"","MBO","")</f>
        <v>MBO</v>
      </c>
      <c r="E23" s="35">
        <f>'1-Ogrenci'!D22</f>
        <v>63.45</v>
      </c>
      <c r="F23" s="70" t="str">
        <f>'2-Tercih'!E23</f>
        <v>TKI EGE LINYITLERI ISLETMESI MUDURLUGU</v>
      </c>
      <c r="G23" s="71" t="str">
        <f>'2-Tercih'!F23</f>
        <v>DEFAS MADENCILIK SAN. VE TIC. A.S. (DEMIR EXPORT)</v>
      </c>
      <c r="H23" s="72" t="str">
        <f>'2-Tercih'!G23</f>
        <v>IMBAT MADENCILIK</v>
      </c>
      <c r="I23" s="73" t="str">
        <f>'2-Tercih'!H23</f>
        <v>ARIKSAN METAL</v>
      </c>
      <c r="J23" s="74" t="str">
        <f>'2-Tercih'!I23</f>
        <v>MODERANS METAL YAPI</v>
      </c>
      <c r="K23" s="75" t="str">
        <f>'2-Tercih'!J23</f>
        <v>BULUT METAL</v>
      </c>
      <c r="L23" s="76" t="str">
        <f>'2-Tercih'!K23</f>
        <v>ZIRVE MAKINA</v>
      </c>
      <c r="M23" s="77" t="str">
        <f>'2-Tercih'!L23</f>
        <v>ZINBA MAKINA SANAYI</v>
      </c>
      <c r="N23" s="78" t="str">
        <f>'2-Tercih'!M23</f>
        <v>HIDRO-GEN ENERJI</v>
      </c>
      <c r="O23" s="79" t="str">
        <f>'2-Tercih'!N23</f>
        <v>E SINERJI MUHENDISLIK</v>
      </c>
      <c r="P23" s="87" t="s">
        <v>161</v>
      </c>
      <c r="Q23" s="88" t="s">
        <v>166</v>
      </c>
      <c r="R23" s="88" t="s">
        <v>167</v>
      </c>
    </row>
    <row r="24" spans="1:18" ht="19.5" customHeight="1" x14ac:dyDescent="0.25">
      <c r="A24" s="47">
        <f>IF('1-Ogrenci'!C23&lt;&gt;"",18,"")</f>
        <v>18</v>
      </c>
      <c r="B24" s="47" t="str">
        <f>IF('1-Ogrenci'!C23&lt;&gt;"",'1-Ogrenci'!B23,"")</f>
        <v>23113</v>
      </c>
      <c r="C24" s="48" t="str">
        <f>IF('1-Ogrenci'!C23&lt;&gt;"",'1-Ogrenci'!C23,"")</f>
        <v>MUHAMMET EMIN KILIC</v>
      </c>
      <c r="D24" s="47" t="str">
        <f>IF('1-Ogrenci'!C23&lt;&gt;"","MBO","")</f>
        <v>MBO</v>
      </c>
      <c r="E24" s="49">
        <f>'1-Ogrenci'!D23</f>
        <v>68.900000000000006</v>
      </c>
      <c r="F24" s="70" t="str">
        <f>'2-Tercih'!E24</f>
        <v>IMBAT MADENCILIK</v>
      </c>
      <c r="G24" s="71" t="str">
        <f>'2-Tercih'!F24</f>
        <v>DEFAS MADENCILIK SAN. VE TIC. A.S. (DEMIR EXPORT)</v>
      </c>
      <c r="H24" s="72" t="str">
        <f>'2-Tercih'!G24</f>
        <v>ZINBA MAKINA SANAYI</v>
      </c>
      <c r="I24" s="73" t="str">
        <f>'2-Tercih'!H24</f>
        <v>HIDRO-GEN ENERJI</v>
      </c>
      <c r="J24" s="74" t="str">
        <f>'2-Tercih'!I24</f>
        <v>ZIRVE MAKINA</v>
      </c>
      <c r="K24" s="75" t="str">
        <f>'2-Tercih'!J24</f>
        <v>ARIKSAN METAL</v>
      </c>
      <c r="L24" s="76" t="str">
        <f>'2-Tercih'!K24</f>
        <v>BULUT METAL</v>
      </c>
      <c r="M24" s="77" t="str">
        <f>'2-Tercih'!L24</f>
        <v>TKI EGE LINYITLERI ISLETMESI MUDURLUGU</v>
      </c>
      <c r="N24" s="78">
        <f>'2-Tercih'!M24</f>
        <v>0</v>
      </c>
      <c r="O24" s="79">
        <f>'2-Tercih'!N24</f>
        <v>0</v>
      </c>
      <c r="P24" s="91" t="s">
        <v>109</v>
      </c>
      <c r="Q24" s="92" t="s">
        <v>90</v>
      </c>
      <c r="R24" s="92" t="s">
        <v>165</v>
      </c>
    </row>
    <row r="25" spans="1:18" ht="19.5" customHeight="1" x14ac:dyDescent="0.25">
      <c r="A25" s="33">
        <f>IF('1-Ogrenci'!C24&lt;&gt;"",19,"")</f>
        <v>19</v>
      </c>
      <c r="B25" s="33" t="str">
        <f>IF('1-Ogrenci'!C24&lt;&gt;"",'1-Ogrenci'!B24,"")</f>
        <v>23117</v>
      </c>
      <c r="C25" s="34" t="str">
        <f>IF('1-Ogrenci'!C24&lt;&gt;"",'1-Ogrenci'!C24,"")</f>
        <v>SALIH AGCIK</v>
      </c>
      <c r="D25" s="33" t="str">
        <f>IF('1-Ogrenci'!C24&lt;&gt;"","MBO","")</f>
        <v>MBO</v>
      </c>
      <c r="E25" s="35">
        <f>'1-Ogrenci'!D24</f>
        <v>64.53</v>
      </c>
      <c r="F25" s="70" t="str">
        <f>'2-Tercih'!E25</f>
        <v>ARIKSAN METAL</v>
      </c>
      <c r="G25" s="71">
        <f>'2-Tercih'!F25</f>
        <v>0</v>
      </c>
      <c r="H25" s="72">
        <f>'2-Tercih'!G25</f>
        <v>0</v>
      </c>
      <c r="I25" s="73">
        <f>'2-Tercih'!H25</f>
        <v>0</v>
      </c>
      <c r="J25" s="74">
        <f>'2-Tercih'!I25</f>
        <v>0</v>
      </c>
      <c r="K25" s="75">
        <f>'2-Tercih'!J25</f>
        <v>0</v>
      </c>
      <c r="L25" s="76">
        <f>'2-Tercih'!K25</f>
        <v>0</v>
      </c>
      <c r="M25" s="77">
        <f>'2-Tercih'!L25</f>
        <v>0</v>
      </c>
      <c r="N25" s="78">
        <f>'2-Tercih'!M25</f>
        <v>0</v>
      </c>
      <c r="O25" s="79">
        <f>'2-Tercih'!N25</f>
        <v>0</v>
      </c>
      <c r="P25" s="87" t="s">
        <v>113</v>
      </c>
      <c r="Q25" s="88" t="s">
        <v>166</v>
      </c>
      <c r="R25" s="88" t="s">
        <v>167</v>
      </c>
    </row>
    <row r="26" spans="1:18" ht="19.5" customHeight="1" x14ac:dyDescent="0.25">
      <c r="A26" s="47">
        <f>IF('1-Ogrenci'!C25&lt;&gt;"",20,"")</f>
        <v>20</v>
      </c>
      <c r="B26" s="47" t="str">
        <f>IF('1-Ogrenci'!C25&lt;&gt;"",'1-Ogrenci'!B25,"")</f>
        <v>23238</v>
      </c>
      <c r="C26" s="48" t="str">
        <f>IF('1-Ogrenci'!C25&lt;&gt;"",'1-Ogrenci'!C25,"")</f>
        <v>ARDA YILMAZ</v>
      </c>
      <c r="D26" s="47" t="str">
        <f>IF('1-Ogrenci'!C25&lt;&gt;"","MBO","")</f>
        <v>MBO</v>
      </c>
      <c r="E26" s="49">
        <f>'1-Ogrenci'!D25</f>
        <v>67.900000000000006</v>
      </c>
      <c r="F26" s="70" t="str">
        <f>'2-Tercih'!E26</f>
        <v>TKI EGE LINYITLERI ISLETMESI MUDURLUGU</v>
      </c>
      <c r="G26" s="71" t="str">
        <f>'2-Tercih'!F26</f>
        <v>DEFAS MADENCILIK SAN. VE TIC. A.S. (DEMIR EXPORT)</v>
      </c>
      <c r="H26" s="72" t="str">
        <f>'2-Tercih'!G26</f>
        <v>HIDRO-GEN ENERJI</v>
      </c>
      <c r="I26" s="73" t="str">
        <f>'2-Tercih'!H26</f>
        <v>ARIKSAN METAL</v>
      </c>
      <c r="J26" s="74" t="str">
        <f>'2-Tercih'!I26</f>
        <v>BULUT METAL</v>
      </c>
      <c r="K26" s="75" t="str">
        <f>'2-Tercih'!J26</f>
        <v>ZIRVE MAKINA</v>
      </c>
      <c r="L26" s="76">
        <f>'2-Tercih'!K26</f>
        <v>0</v>
      </c>
      <c r="M26" s="77">
        <f>'2-Tercih'!L26</f>
        <v>0</v>
      </c>
      <c r="N26" s="78">
        <f>'2-Tercih'!M26</f>
        <v>0</v>
      </c>
      <c r="O26" s="79">
        <f>'2-Tercih'!N26</f>
        <v>0</v>
      </c>
      <c r="P26" s="87" t="s">
        <v>107</v>
      </c>
      <c r="Q26" s="88" t="s">
        <v>166</v>
      </c>
      <c r="R26" s="88" t="s">
        <v>167</v>
      </c>
    </row>
    <row r="27" spans="1:18" ht="19.5" customHeight="1" x14ac:dyDescent="0.25">
      <c r="A27" s="33">
        <f>IF('1-Ogrenci'!C26&lt;&gt;"",21,"")</f>
        <v>21</v>
      </c>
      <c r="B27" s="33" t="str">
        <f>IF('1-Ogrenci'!C26&lt;&gt;"",'1-Ogrenci'!B26,"")</f>
        <v>23245</v>
      </c>
      <c r="C27" s="34" t="str">
        <f>IF('1-Ogrenci'!C26&lt;&gt;"",'1-Ogrenci'!C26,"")</f>
        <v>AHMET CEMIL YILDIZ</v>
      </c>
      <c r="D27" s="33" t="str">
        <f>IF('1-Ogrenci'!C26&lt;&gt;"","MBO","")</f>
        <v>MBO</v>
      </c>
      <c r="E27" s="35">
        <f>'1-Ogrenci'!D26</f>
        <v>75.05</v>
      </c>
      <c r="F27" s="70">
        <f>'2-Tercih'!E27</f>
        <v>0</v>
      </c>
      <c r="G27" s="71">
        <f>'2-Tercih'!F27</f>
        <v>0</v>
      </c>
      <c r="H27" s="72">
        <f>'2-Tercih'!G27</f>
        <v>0</v>
      </c>
      <c r="I27" s="73">
        <f>'2-Tercih'!H27</f>
        <v>0</v>
      </c>
      <c r="J27" s="74">
        <f>'2-Tercih'!I27</f>
        <v>0</v>
      </c>
      <c r="K27" s="75">
        <f>'2-Tercih'!J27</f>
        <v>0</v>
      </c>
      <c r="L27" s="76">
        <f>'2-Tercih'!K27</f>
        <v>0</v>
      </c>
      <c r="M27" s="77">
        <f>'2-Tercih'!L27</f>
        <v>0</v>
      </c>
      <c r="N27" s="78">
        <f>'2-Tercih'!M27</f>
        <v>0</v>
      </c>
      <c r="O27" s="79">
        <f>'2-Tercih'!N27</f>
        <v>0</v>
      </c>
      <c r="P27" s="85" t="s">
        <v>115</v>
      </c>
      <c r="Q27" s="86" t="s">
        <v>85</v>
      </c>
      <c r="R27" s="86" t="s">
        <v>165</v>
      </c>
    </row>
    <row r="28" spans="1:18" ht="19.5" customHeight="1" x14ac:dyDescent="0.25">
      <c r="A28" s="47" t="str">
        <f>IF('1-Ogrenci'!C27&lt;&gt;"",22,"")</f>
        <v/>
      </c>
      <c r="B28" s="47" t="str">
        <f>IF('1-Ogrenci'!C27&lt;&gt;"",'1-Ogrenci'!B27,"")</f>
        <v/>
      </c>
      <c r="C28" s="48" t="str">
        <f>IF('1-Ogrenci'!C27&lt;&gt;"",'1-Ogrenci'!C27,"")</f>
        <v/>
      </c>
      <c r="D28" s="47" t="str">
        <f>IF('1-Ogrenci'!C27&lt;&gt;"","MBO","")</f>
        <v/>
      </c>
      <c r="E28" s="49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1"/>
      <c r="Q28" s="82"/>
      <c r="R28" s="82"/>
    </row>
    <row r="29" spans="1:18" ht="19.5" customHeight="1" x14ac:dyDescent="0.25">
      <c r="A29" s="33" t="str">
        <f>IF('1-Ogrenci'!C28&lt;&gt;"",23,"")</f>
        <v/>
      </c>
      <c r="B29" s="33" t="str">
        <f>IF('1-Ogrenci'!C28&lt;&gt;"",'1-Ogrenci'!B28,"")</f>
        <v/>
      </c>
      <c r="C29" s="34" t="str">
        <f>IF('1-Ogrenci'!C28&lt;&gt;"",'1-Ogrenci'!C28,"")</f>
        <v/>
      </c>
      <c r="D29" s="33" t="str">
        <f>IF('1-Ogrenci'!C28&lt;&gt;"","MBO","")</f>
        <v/>
      </c>
      <c r="E29" s="35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1"/>
      <c r="Q29" s="82"/>
      <c r="R29" s="82"/>
    </row>
    <row r="30" spans="1:18" ht="19.5" customHeight="1" x14ac:dyDescent="0.25">
      <c r="A30" s="47" t="str">
        <f>IF('1-Ogrenci'!C29&lt;&gt;"",24,"")</f>
        <v/>
      </c>
      <c r="B30" s="47" t="str">
        <f>IF('1-Ogrenci'!C29&lt;&gt;"",'1-Ogrenci'!B29,"")</f>
        <v/>
      </c>
      <c r="C30" s="48" t="str">
        <f>IF('1-Ogrenci'!C29&lt;&gt;"",'1-Ogrenci'!C29,"")</f>
        <v/>
      </c>
      <c r="D30" s="47" t="str">
        <f>IF('1-Ogrenci'!C29&lt;&gt;"","MBO","")</f>
        <v/>
      </c>
      <c r="E30" s="49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1"/>
      <c r="Q30" s="82"/>
      <c r="R30" s="82"/>
    </row>
    <row r="31" spans="1:18" ht="19.5" customHeight="1" x14ac:dyDescent="0.25">
      <c r="A31" s="33" t="str">
        <f>IF('1-Ogrenci'!C30&lt;&gt;"",25,"")</f>
        <v/>
      </c>
      <c r="B31" s="33" t="str">
        <f>IF('1-Ogrenci'!C30&lt;&gt;"",'1-Ogrenci'!B30,"")</f>
        <v/>
      </c>
      <c r="C31" s="34" t="str">
        <f>IF('1-Ogrenci'!C30&lt;&gt;"",'1-Ogrenci'!C30,"")</f>
        <v/>
      </c>
      <c r="D31" s="33" t="str">
        <f>IF('1-Ogrenci'!C30&lt;&gt;"","MBO","")</f>
        <v/>
      </c>
      <c r="E31" s="35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1"/>
      <c r="Q31" s="82"/>
      <c r="R31" s="82"/>
    </row>
    <row r="32" spans="1:18" ht="19.5" customHeight="1" x14ac:dyDescent="0.25">
      <c r="A32" s="47" t="str">
        <f>IF('1-Ogrenci'!C31&lt;&gt;"",26,"")</f>
        <v/>
      </c>
      <c r="B32" s="47" t="str">
        <f>IF('1-Ogrenci'!C31&lt;&gt;"",'1-Ogrenci'!B31,"")</f>
        <v/>
      </c>
      <c r="C32" s="48" t="str">
        <f>IF('1-Ogrenci'!C31&lt;&gt;"",'1-Ogrenci'!C31,"")</f>
        <v/>
      </c>
      <c r="D32" s="47" t="str">
        <f>IF('1-Ogrenci'!C31&lt;&gt;"","MBO","")</f>
        <v/>
      </c>
      <c r="E32" s="49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1"/>
      <c r="Q32" s="82"/>
      <c r="R32" s="82"/>
    </row>
    <row r="33" spans="1:18" ht="19.5" customHeight="1" x14ac:dyDescent="0.25">
      <c r="A33" s="33" t="str">
        <f>IF('1-Ogrenci'!C32&lt;&gt;"",27,"")</f>
        <v/>
      </c>
      <c r="B33" s="33" t="str">
        <f>IF('1-Ogrenci'!C32&lt;&gt;"",'1-Ogrenci'!B32,"")</f>
        <v/>
      </c>
      <c r="C33" s="34" t="str">
        <f>IF('1-Ogrenci'!C32&lt;&gt;"",'1-Ogrenci'!C32,"")</f>
        <v/>
      </c>
      <c r="D33" s="33" t="str">
        <f>IF('1-Ogrenci'!C32&lt;&gt;"","MBO","")</f>
        <v/>
      </c>
      <c r="E33" s="35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1"/>
      <c r="Q33" s="82"/>
      <c r="R33" s="82"/>
    </row>
    <row r="34" spans="1:18" ht="19.5" customHeight="1" x14ac:dyDescent="0.25">
      <c r="A34" s="47" t="str">
        <f>IF('1-Ogrenci'!C33&lt;&gt;"",28,"")</f>
        <v/>
      </c>
      <c r="B34" s="47" t="str">
        <f>IF('1-Ogrenci'!C33&lt;&gt;"",'1-Ogrenci'!B33,"")</f>
        <v/>
      </c>
      <c r="C34" s="48" t="str">
        <f>IF('1-Ogrenci'!C33&lt;&gt;"",'1-Ogrenci'!C33,"")</f>
        <v/>
      </c>
      <c r="D34" s="47" t="str">
        <f>IF('1-Ogrenci'!C33&lt;&gt;"","MBO","")</f>
        <v/>
      </c>
      <c r="E34" s="49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1"/>
      <c r="Q34" s="82"/>
      <c r="R34" s="82"/>
    </row>
    <row r="35" spans="1:18" ht="19.5" customHeight="1" x14ac:dyDescent="0.25">
      <c r="A35" s="33" t="str">
        <f>IF('1-Ogrenci'!C34&lt;&gt;"",29,"")</f>
        <v/>
      </c>
      <c r="B35" s="33" t="str">
        <f>IF('1-Ogrenci'!C34&lt;&gt;"",'1-Ogrenci'!B34,"")</f>
        <v/>
      </c>
      <c r="C35" s="34" t="str">
        <f>IF('1-Ogrenci'!C34&lt;&gt;"",'1-Ogrenci'!C34,"")</f>
        <v/>
      </c>
      <c r="D35" s="33" t="str">
        <f>IF('1-Ogrenci'!C34&lt;&gt;"","MBO","")</f>
        <v/>
      </c>
      <c r="E35" s="35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1"/>
      <c r="Q35" s="82"/>
      <c r="R35" s="82"/>
    </row>
    <row r="36" spans="1:18" ht="19.5" customHeight="1" x14ac:dyDescent="0.25">
      <c r="A36" s="47" t="str">
        <f>IF('1-Ogrenci'!C35&lt;&gt;"",30,"")</f>
        <v/>
      </c>
      <c r="B36" s="47" t="str">
        <f>IF('1-Ogrenci'!C35&lt;&gt;"",'1-Ogrenci'!B35,"")</f>
        <v/>
      </c>
      <c r="C36" s="48" t="str">
        <f>IF('1-Ogrenci'!C35&lt;&gt;"",'1-Ogrenci'!C35,"")</f>
        <v/>
      </c>
      <c r="D36" s="47" t="str">
        <f>IF('1-Ogrenci'!C35&lt;&gt;"","MBO","")</f>
        <v/>
      </c>
      <c r="E36" s="49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1"/>
      <c r="Q36" s="82"/>
      <c r="R36" s="82"/>
    </row>
    <row r="37" spans="1:18" ht="19.5" customHeight="1" x14ac:dyDescent="0.25">
      <c r="A37" s="33" t="str">
        <f>IF('1-Ogrenci'!C36&lt;&gt;"",31,"")</f>
        <v/>
      </c>
      <c r="B37" s="33" t="str">
        <f>IF('1-Ogrenci'!C36&lt;&gt;"",'1-Ogrenci'!B36,"")</f>
        <v/>
      </c>
      <c r="C37" s="34" t="str">
        <f>IF('1-Ogrenci'!C36&lt;&gt;"",'1-Ogrenci'!C36,"")</f>
        <v/>
      </c>
      <c r="D37" s="33" t="str">
        <f>IF('1-Ogrenci'!C36&lt;&gt;"","MBO","")</f>
        <v/>
      </c>
      <c r="E37" s="35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1"/>
      <c r="Q37" s="82"/>
      <c r="R37" s="82"/>
    </row>
    <row r="38" spans="1:18" ht="19.5" customHeight="1" x14ac:dyDescent="0.25">
      <c r="A38" s="47" t="str">
        <f>IF('1-Ogrenci'!C37&lt;&gt;"",32,"")</f>
        <v/>
      </c>
      <c r="B38" s="47" t="str">
        <f>IF('1-Ogrenci'!C37&lt;&gt;"",'1-Ogrenci'!B37,"")</f>
        <v/>
      </c>
      <c r="C38" s="48" t="str">
        <f>IF('1-Ogrenci'!C37&lt;&gt;"",'1-Ogrenci'!C37,"")</f>
        <v/>
      </c>
      <c r="D38" s="47" t="str">
        <f>IF('1-Ogrenci'!C37&lt;&gt;"","MBO","")</f>
        <v/>
      </c>
      <c r="E38" s="49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1"/>
      <c r="Q38" s="82"/>
      <c r="R38" s="82"/>
    </row>
    <row r="39" spans="1:18" ht="7.5" customHeight="1" x14ac:dyDescent="0.25"/>
    <row r="40" spans="1:18" ht="24" customHeight="1" x14ac:dyDescent="0.25">
      <c r="A40" s="108" t="s">
        <v>140</v>
      </c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</row>
    <row r="41" spans="1:18" ht="31.5" customHeight="1" x14ac:dyDescent="0.25">
      <c r="A41" s="22" t="s">
        <v>124</v>
      </c>
      <c r="B41" s="22" t="s">
        <v>5</v>
      </c>
      <c r="C41" s="22" t="s">
        <v>6</v>
      </c>
      <c r="D41" s="22" t="s">
        <v>125</v>
      </c>
      <c r="E41" s="22" t="s">
        <v>126</v>
      </c>
      <c r="F41" s="22" t="s">
        <v>127</v>
      </c>
      <c r="G41" s="22" t="s">
        <v>128</v>
      </c>
      <c r="H41" s="22" t="s">
        <v>129</v>
      </c>
      <c r="I41" s="22" t="s">
        <v>130</v>
      </c>
      <c r="J41" s="22" t="s">
        <v>131</v>
      </c>
      <c r="K41" s="22" t="s">
        <v>132</v>
      </c>
      <c r="L41" s="22" t="s">
        <v>133</v>
      </c>
      <c r="M41" s="22" t="s">
        <v>134</v>
      </c>
      <c r="N41" s="22" t="s">
        <v>135</v>
      </c>
      <c r="O41" s="22" t="s">
        <v>136</v>
      </c>
      <c r="P41" s="22" t="s">
        <v>137</v>
      </c>
      <c r="Q41" s="22" t="s">
        <v>138</v>
      </c>
      <c r="R41" s="22" t="s">
        <v>139</v>
      </c>
    </row>
    <row r="42" spans="1:18" ht="19.5" customHeight="1" x14ac:dyDescent="0.25">
      <c r="A42" s="53">
        <f>IF('1-Ogrenci'!I6&lt;&gt;"",1,"")</f>
        <v>1</v>
      </c>
      <c r="B42" s="53" t="str">
        <f>IF('1-Ogrenci'!I6&lt;&gt;"",'1-Ogrenci'!H6,"")</f>
        <v>22102</v>
      </c>
      <c r="C42" s="54" t="str">
        <f>IF('1-Ogrenci'!I6&lt;&gt;"",'1-Ogrenci'!I6,"")</f>
        <v>RAMAZAN DOGANER</v>
      </c>
      <c r="D42" s="53" t="str">
        <f>IF('1-Ogrenci'!I6&lt;&gt;"","BMI","")</f>
        <v>BMI</v>
      </c>
      <c r="E42" s="55">
        <f>'1-Ogrenci'!J6</f>
        <v>60.79</v>
      </c>
      <c r="F42" s="70" t="str">
        <f>'2-Tercih'!E41</f>
        <v>TKI EGE LINYITLERI ISLETMESI MUDURLUGU</v>
      </c>
      <c r="G42" s="71" t="str">
        <f>'2-Tercih'!F41</f>
        <v>DEFAS MADENCILIK SAN. VE TIC. A.S. (DEMIR EXPORT)</v>
      </c>
      <c r="H42" s="72" t="str">
        <f>'2-Tercih'!G41</f>
        <v>ZIRVE MAKINA</v>
      </c>
      <c r="I42" s="73" t="str">
        <f>'2-Tercih'!H41</f>
        <v>HIDRO-GEN ENERJI</v>
      </c>
      <c r="J42" s="74" t="str">
        <f>'2-Tercih'!I41</f>
        <v>IMBAT MADENCILIK</v>
      </c>
      <c r="K42" s="75" t="str">
        <f>'2-Tercih'!J41</f>
        <v>E SINERJI MUHENDISLIK</v>
      </c>
      <c r="L42" s="76" t="str">
        <f>'2-Tercih'!K41</f>
        <v>ZINBA MAKINA SANAYI</v>
      </c>
      <c r="M42" s="77" t="str">
        <f>'2-Tercih'!L41</f>
        <v>ARIKSAN METAL</v>
      </c>
      <c r="N42" s="78" t="str">
        <f>'2-Tercih'!M41</f>
        <v>BULUT METAL</v>
      </c>
      <c r="O42" s="79" t="str">
        <f>'2-Tercih'!N41</f>
        <v>MODERANS METAL YAPI</v>
      </c>
      <c r="P42" s="93" t="s">
        <v>116</v>
      </c>
      <c r="Q42" s="94" t="s">
        <v>91</v>
      </c>
      <c r="R42" s="94" t="s">
        <v>165</v>
      </c>
    </row>
    <row r="43" spans="1:18" ht="19.5" customHeight="1" x14ac:dyDescent="0.25">
      <c r="A43" s="47" t="str">
        <f>IF('1-Ogrenci'!I7&lt;&gt;"",2,"")</f>
        <v/>
      </c>
      <c r="B43" s="47" t="str">
        <f>IF('1-Ogrenci'!I7&lt;&gt;"",'1-Ogrenci'!H7,"")</f>
        <v/>
      </c>
      <c r="C43" s="48" t="str">
        <f>IF('1-Ogrenci'!I7&lt;&gt;"",'1-Ogrenci'!I7,"")</f>
        <v/>
      </c>
      <c r="D43" s="47" t="str">
        <f>IF('1-Ogrenci'!I7&lt;&gt;"","BMI","")</f>
        <v/>
      </c>
      <c r="E43" s="56">
        <f>'1-Ogrenci'!J7</f>
        <v>0</v>
      </c>
      <c r="F43" s="70">
        <f>'2-Tercih'!E42</f>
        <v>0</v>
      </c>
      <c r="G43" s="71">
        <f>'2-Tercih'!F42</f>
        <v>0</v>
      </c>
      <c r="H43" s="72">
        <f>'2-Tercih'!G42</f>
        <v>0</v>
      </c>
      <c r="I43" s="73">
        <f>'2-Tercih'!H42</f>
        <v>0</v>
      </c>
      <c r="J43" s="74">
        <f>'2-Tercih'!I42</f>
        <v>0</v>
      </c>
      <c r="K43" s="75">
        <f>'2-Tercih'!J42</f>
        <v>0</v>
      </c>
      <c r="L43" s="76">
        <f>'2-Tercih'!K42</f>
        <v>0</v>
      </c>
      <c r="M43" s="77">
        <f>'2-Tercih'!L42</f>
        <v>0</v>
      </c>
      <c r="N43" s="78">
        <f>'2-Tercih'!M42</f>
        <v>0</v>
      </c>
      <c r="O43" s="79">
        <f>'2-Tercih'!N42</f>
        <v>0</v>
      </c>
      <c r="P43" s="83"/>
      <c r="Q43" s="84"/>
      <c r="R43" s="84"/>
    </row>
    <row r="44" spans="1:18" ht="19.5" customHeight="1" x14ac:dyDescent="0.25">
      <c r="A44" s="53">
        <f>IF('1-Ogrenci'!I8&lt;&gt;"",3,"")</f>
        <v>3</v>
      </c>
      <c r="B44" s="53" t="str">
        <f>IF('1-Ogrenci'!I8&lt;&gt;"",'1-Ogrenci'!H8,"")</f>
        <v>22117</v>
      </c>
      <c r="C44" s="54" t="str">
        <f>IF('1-Ogrenci'!I8&lt;&gt;"",'1-Ogrenci'!I8,"")</f>
        <v>HUSEYIN ANIL KOC</v>
      </c>
      <c r="D44" s="53" t="str">
        <f>IF('1-Ogrenci'!I8&lt;&gt;"","BMI","")</f>
        <v>BMI</v>
      </c>
      <c r="E44" s="55">
        <f>'1-Ogrenci'!J8</f>
        <v>62.67</v>
      </c>
      <c r="F44" s="70" t="str">
        <f>'2-Tercih'!E43</f>
        <v>TKI EGE LINYITLERI ISLETMESI MUDURLUGU</v>
      </c>
      <c r="G44" s="71" t="str">
        <f>'2-Tercih'!F43</f>
        <v>MODERANS METAL YAPI</v>
      </c>
      <c r="H44" s="72" t="str">
        <f>'2-Tercih'!G43</f>
        <v>ARIKSAN METAL</v>
      </c>
      <c r="I44" s="73" t="str">
        <f>'2-Tercih'!H43</f>
        <v>ZIRVE MAKINA</v>
      </c>
      <c r="J44" s="74" t="str">
        <f>'2-Tercih'!I43</f>
        <v>BULUT METAL</v>
      </c>
      <c r="K44" s="75" t="str">
        <f>'2-Tercih'!J43</f>
        <v>HIDRO-GEN ENERJI</v>
      </c>
      <c r="L44" s="76" t="str">
        <f>'2-Tercih'!K43</f>
        <v>ZINBA MAKINA SANAYI</v>
      </c>
      <c r="M44" s="77" t="str">
        <f>'2-Tercih'!L43</f>
        <v>DEFAS MADENCILIK SAN. VE TIC. A.S. (DEMIR EXPORT)</v>
      </c>
      <c r="N44" s="78" t="str">
        <f>'2-Tercih'!M43</f>
        <v>E SINERJI MUHENDISLIK</v>
      </c>
      <c r="O44" s="79" t="str">
        <f>'2-Tercih'!N43</f>
        <v>IMBAT MADENCILIK</v>
      </c>
      <c r="P44" s="91" t="s">
        <v>112</v>
      </c>
      <c r="Q44" s="92" t="s">
        <v>90</v>
      </c>
      <c r="R44" s="92" t="s">
        <v>165</v>
      </c>
    </row>
    <row r="45" spans="1:18" ht="19.5" customHeight="1" x14ac:dyDescent="0.25">
      <c r="A45" s="47">
        <f>IF('1-Ogrenci'!I9&lt;&gt;"",4,"")</f>
        <v>4</v>
      </c>
      <c r="B45" s="47" t="str">
        <f>IF('1-Ogrenci'!I9&lt;&gt;"",'1-Ogrenci'!H9,"")</f>
        <v>23007</v>
      </c>
      <c r="C45" s="48" t="str">
        <f>IF('1-Ogrenci'!I9&lt;&gt;"",'1-Ogrenci'!I9,"")</f>
        <v>TALHA OMER YAGMUR</v>
      </c>
      <c r="D45" s="47" t="str">
        <f>IF('1-Ogrenci'!I9&lt;&gt;"","BMI","")</f>
        <v>BMI</v>
      </c>
      <c r="E45" s="56">
        <f>'1-Ogrenci'!J9</f>
        <v>66.239999999999995</v>
      </c>
      <c r="F45" s="70" t="str">
        <f>'2-Tercih'!E44</f>
        <v>TKI EGE LINYITLERI ISLETMESI MUDURLUGU</v>
      </c>
      <c r="G45" s="71" t="str">
        <f>'2-Tercih'!F44</f>
        <v>DEFAS MADENCILIK SAN. VE TIC. A.S. (DEMIR EXPORT)</v>
      </c>
      <c r="H45" s="72" t="str">
        <f>'2-Tercih'!G44</f>
        <v>IMBAT MADENCILIK</v>
      </c>
      <c r="I45" s="73" t="str">
        <f>'2-Tercih'!H44</f>
        <v>ARIKSAN METAL</v>
      </c>
      <c r="J45" s="74" t="str">
        <f>'2-Tercih'!I44</f>
        <v>E SINERJI MUHENDISLIK</v>
      </c>
      <c r="K45" s="75" t="str">
        <f>'2-Tercih'!J44</f>
        <v>MODERANS METAL YAPI</v>
      </c>
      <c r="L45" s="76">
        <f>'2-Tercih'!K44</f>
        <v>0</v>
      </c>
      <c r="M45" s="77">
        <f>'2-Tercih'!L44</f>
        <v>0</v>
      </c>
      <c r="N45" s="78">
        <f>'2-Tercih'!M44</f>
        <v>0</v>
      </c>
      <c r="O45" s="79">
        <f>'2-Tercih'!N44</f>
        <v>0</v>
      </c>
      <c r="P45" s="89" t="s">
        <v>110</v>
      </c>
      <c r="Q45" s="90" t="s">
        <v>86</v>
      </c>
      <c r="R45" s="90" t="s">
        <v>165</v>
      </c>
    </row>
    <row r="46" spans="1:18" ht="19.5" customHeight="1" x14ac:dyDescent="0.25">
      <c r="A46" s="53">
        <f>IF('1-Ogrenci'!I10&lt;&gt;"",5,"")</f>
        <v>5</v>
      </c>
      <c r="B46" s="53" t="str">
        <f>IF('1-Ogrenci'!I10&lt;&gt;"",'1-Ogrenci'!H10,"")</f>
        <v>23010</v>
      </c>
      <c r="C46" s="54" t="str">
        <f>IF('1-Ogrenci'!I10&lt;&gt;"",'1-Ogrenci'!I10,"")</f>
        <v>EMIRHAN YASLAM</v>
      </c>
      <c r="D46" s="53" t="str">
        <f>IF('1-Ogrenci'!I10&lt;&gt;"","BMI","")</f>
        <v>BMI</v>
      </c>
      <c r="E46" s="55">
        <f>'1-Ogrenci'!J10</f>
        <v>79.08</v>
      </c>
      <c r="F46" s="70" t="str">
        <f>'2-Tercih'!E45</f>
        <v>TKI EGE LINYITLERI ISLETMESI MUDURLUGU</v>
      </c>
      <c r="G46" s="71" t="str">
        <f>'2-Tercih'!F45</f>
        <v>DEFAS MADENCILIK SAN. VE TIC. A.S. (DEMIR EXPORT)</v>
      </c>
      <c r="H46" s="72" t="str">
        <f>'2-Tercih'!G45</f>
        <v>IMBAT MADENCILIK</v>
      </c>
      <c r="I46" s="73" t="str">
        <f>'2-Tercih'!H45</f>
        <v>ARIKSAN METAL</v>
      </c>
      <c r="J46" s="74" t="str">
        <f>'2-Tercih'!I45</f>
        <v>BULUT METAL</v>
      </c>
      <c r="K46" s="75" t="str">
        <f>'2-Tercih'!J45</f>
        <v>ZINBA MAKINA SANAYI</v>
      </c>
      <c r="L46" s="76" t="str">
        <f>'2-Tercih'!K45</f>
        <v>ZIRVE MAKINA</v>
      </c>
      <c r="M46" s="77">
        <f>'2-Tercih'!L45</f>
        <v>0</v>
      </c>
      <c r="N46" s="78">
        <f>'2-Tercih'!M45</f>
        <v>0</v>
      </c>
      <c r="O46" s="79">
        <f>'2-Tercih'!N45</f>
        <v>0</v>
      </c>
      <c r="P46" s="85" t="s">
        <v>115</v>
      </c>
      <c r="Q46" s="86" t="s">
        <v>85</v>
      </c>
      <c r="R46" s="86" t="s">
        <v>165</v>
      </c>
    </row>
    <row r="47" spans="1:18" ht="19.5" customHeight="1" x14ac:dyDescent="0.25">
      <c r="A47" s="47">
        <f>IF('1-Ogrenci'!I11&lt;&gt;"",6,"")</f>
        <v>6</v>
      </c>
      <c r="B47" s="47" t="str">
        <f>IF('1-Ogrenci'!I11&lt;&gt;"",'1-Ogrenci'!H11,"")</f>
        <v>23021</v>
      </c>
      <c r="C47" s="48" t="str">
        <f>IF('1-Ogrenci'!I11&lt;&gt;"",'1-Ogrenci'!I11,"")</f>
        <v>YIGIT AFACAN</v>
      </c>
      <c r="D47" s="47" t="str">
        <f>IF('1-Ogrenci'!I11&lt;&gt;"","BMI","")</f>
        <v>BMI</v>
      </c>
      <c r="E47" s="56">
        <f>'1-Ogrenci'!J11</f>
        <v>73.2</v>
      </c>
      <c r="F47" s="70" t="str">
        <f>'2-Tercih'!E46</f>
        <v>TKI EGE LINYITLERI ISLETMESI MUDURLUGU</v>
      </c>
      <c r="G47" s="71" t="str">
        <f>'2-Tercih'!F46</f>
        <v>DEFAS MADENCILIK SAN. VE TIC. A.S. (DEMIR EXPORT)</v>
      </c>
      <c r="H47" s="72" t="str">
        <f>'2-Tercih'!G46</f>
        <v>ARIKSAN METAL</v>
      </c>
      <c r="I47" s="73" t="str">
        <f>'2-Tercih'!H46</f>
        <v>HIDRO-GEN ENERJI</v>
      </c>
      <c r="J47" s="74" t="str">
        <f>'2-Tercih'!I46</f>
        <v>E SINERJI MUHENDISLIK</v>
      </c>
      <c r="K47" s="75" t="str">
        <f>'2-Tercih'!J46</f>
        <v>MODERANS METAL YAPI</v>
      </c>
      <c r="L47" s="76" t="str">
        <f>'2-Tercih'!K46</f>
        <v>IMBAT MADENCILIK</v>
      </c>
      <c r="M47" s="77" t="str">
        <f>'2-Tercih'!L46</f>
        <v>ZINBA MAKINA SANAYI</v>
      </c>
      <c r="N47" s="78" t="str">
        <f>'2-Tercih'!M46</f>
        <v>ZIRVE MAKINA</v>
      </c>
      <c r="O47" s="79" t="str">
        <f>'2-Tercih'!N46</f>
        <v>BULUT METAL</v>
      </c>
      <c r="P47" s="85" t="s">
        <v>115</v>
      </c>
      <c r="Q47" s="86" t="s">
        <v>85</v>
      </c>
      <c r="R47" s="86" t="s">
        <v>165</v>
      </c>
    </row>
    <row r="48" spans="1:18" ht="19.5" customHeight="1" x14ac:dyDescent="0.25">
      <c r="A48" s="53">
        <f>IF('1-Ogrenci'!I12&lt;&gt;"",7,"")</f>
        <v>7</v>
      </c>
      <c r="B48" s="53" t="str">
        <f>IF('1-Ogrenci'!I12&lt;&gt;"",'1-Ogrenci'!H12,"")</f>
        <v>23026</v>
      </c>
      <c r="C48" s="54" t="str">
        <f>IF('1-Ogrenci'!I12&lt;&gt;"",'1-Ogrenci'!I12,"")</f>
        <v>YAGIZ SENHAN</v>
      </c>
      <c r="D48" s="53" t="str">
        <f>IF('1-Ogrenci'!I12&lt;&gt;"","BMI","")</f>
        <v>BMI</v>
      </c>
      <c r="E48" s="55">
        <f>'1-Ogrenci'!J12</f>
        <v>71.22</v>
      </c>
      <c r="F48" s="70" t="str">
        <f>'2-Tercih'!E47</f>
        <v>IMBAT MADENCILIK</v>
      </c>
      <c r="G48" s="71" t="str">
        <f>'2-Tercih'!F47</f>
        <v>TKI EGE LINYITLERI ISLETMESI MUDURLUGU</v>
      </c>
      <c r="H48" s="72" t="str">
        <f>'2-Tercih'!G47</f>
        <v>DEFAS MADENCILIK SAN. VE TIC. A.S. (DEMIR EXPORT)</v>
      </c>
      <c r="I48" s="73" t="str">
        <f>'2-Tercih'!H47</f>
        <v>ARIKSAN METAL</v>
      </c>
      <c r="J48" s="74" t="str">
        <f>'2-Tercih'!I47</f>
        <v>MODERANS METAL YAPI</v>
      </c>
      <c r="K48" s="75">
        <f>'2-Tercih'!J47</f>
        <v>0</v>
      </c>
      <c r="L48" s="76">
        <f>'2-Tercih'!K47</f>
        <v>0</v>
      </c>
      <c r="M48" s="77">
        <f>'2-Tercih'!L47</f>
        <v>0</v>
      </c>
      <c r="N48" s="78">
        <f>'2-Tercih'!M47</f>
        <v>0</v>
      </c>
      <c r="O48" s="79">
        <f>'2-Tercih'!N47</f>
        <v>0</v>
      </c>
      <c r="P48" s="89" t="s">
        <v>115</v>
      </c>
      <c r="Q48" s="90" t="s">
        <v>86</v>
      </c>
      <c r="R48" s="90" t="s">
        <v>165</v>
      </c>
    </row>
    <row r="49" spans="1:18" ht="19.5" customHeight="1" x14ac:dyDescent="0.25">
      <c r="A49" s="47">
        <f>IF('1-Ogrenci'!I13&lt;&gt;"",8,"")</f>
        <v>8</v>
      </c>
      <c r="B49" s="47" t="str">
        <f>IF('1-Ogrenci'!I13&lt;&gt;"",'1-Ogrenci'!H13,"")</f>
        <v>23053</v>
      </c>
      <c r="C49" s="48" t="str">
        <f>IF('1-Ogrenci'!I13&lt;&gt;"",'1-Ogrenci'!I13,"")</f>
        <v>MERT BERAT VARLI</v>
      </c>
      <c r="D49" s="47" t="str">
        <f>IF('1-Ogrenci'!I13&lt;&gt;"","BMI","")</f>
        <v>BMI</v>
      </c>
      <c r="E49" s="56">
        <f>'1-Ogrenci'!J13</f>
        <v>69.260000000000005</v>
      </c>
      <c r="F49" s="70" t="str">
        <f>'2-Tercih'!E48</f>
        <v>IMBAT MADENCILIK</v>
      </c>
      <c r="G49" s="71" t="str">
        <f>'2-Tercih'!F48</f>
        <v>ARIKSAN METAL</v>
      </c>
      <c r="H49" s="72" t="str">
        <f>'2-Tercih'!G48</f>
        <v>HIDRO-GEN ENERJI</v>
      </c>
      <c r="I49" s="73" t="str">
        <f>'2-Tercih'!H48</f>
        <v>MODERANS METAL YAPI</v>
      </c>
      <c r="J49" s="74" t="str">
        <f>'2-Tercih'!I48</f>
        <v>TKI EGE LINYITLERI ISLETMESI MUDURLUGU</v>
      </c>
      <c r="K49" s="75" t="str">
        <f>'2-Tercih'!J48</f>
        <v>ZIRVE MAKINA</v>
      </c>
      <c r="L49" s="76" t="str">
        <f>'2-Tercih'!K48</f>
        <v>BULUT METAL</v>
      </c>
      <c r="M49" s="77" t="str">
        <f>'2-Tercih'!L48</f>
        <v>E SINERJI MUHENDISLIK</v>
      </c>
      <c r="N49" s="78" t="str">
        <f>'2-Tercih'!M48</f>
        <v>ZINBA MAKINA SANAYI</v>
      </c>
      <c r="O49" s="79" t="str">
        <f>'2-Tercih'!N48</f>
        <v>DEFAS MADENCILIK SAN. VE TIC. A.S. (DEMIR EXPORT)</v>
      </c>
      <c r="P49" s="87" t="s">
        <v>113</v>
      </c>
      <c r="Q49" s="88" t="s">
        <v>166</v>
      </c>
      <c r="R49" s="88" t="s">
        <v>167</v>
      </c>
    </row>
    <row r="50" spans="1:18" ht="19.5" customHeight="1" x14ac:dyDescent="0.25">
      <c r="A50" s="53">
        <f>IF('1-Ogrenci'!I14&lt;&gt;"",9,"")</f>
        <v>9</v>
      </c>
      <c r="B50" s="53" t="str">
        <f>IF('1-Ogrenci'!I14&lt;&gt;"",'1-Ogrenci'!H14,"")</f>
        <v>23054</v>
      </c>
      <c r="C50" s="54" t="str">
        <f>IF('1-Ogrenci'!I14&lt;&gt;"",'1-Ogrenci'!I14,"")</f>
        <v>SAMET YALIN</v>
      </c>
      <c r="D50" s="53" t="str">
        <f>IF('1-Ogrenci'!I14&lt;&gt;"","BMI","")</f>
        <v>BMI</v>
      </c>
      <c r="E50" s="55">
        <f>'1-Ogrenci'!J14</f>
        <v>73.36</v>
      </c>
      <c r="F50" s="70" t="str">
        <f>'2-Tercih'!E49</f>
        <v>TKI EGE LINYITLERI ISLETMESI MUDURLUGU</v>
      </c>
      <c r="G50" s="71" t="str">
        <f>'2-Tercih'!F49</f>
        <v>ZIRVE MAKINA</v>
      </c>
      <c r="H50" s="72" t="str">
        <f>'2-Tercih'!G49</f>
        <v>ARIKSAN METAL</v>
      </c>
      <c r="I50" s="73" t="str">
        <f>'2-Tercih'!H49</f>
        <v>HIDRO-GEN ENERJI</v>
      </c>
      <c r="J50" s="74" t="str">
        <f>'2-Tercih'!I49</f>
        <v>BULUT METAL</v>
      </c>
      <c r="K50" s="75" t="str">
        <f>'2-Tercih'!J49</f>
        <v>ZINBA MAKINA SANAYI</v>
      </c>
      <c r="L50" s="76" t="str">
        <f>'2-Tercih'!K49</f>
        <v>E SINERJI MUHENDISLIK</v>
      </c>
      <c r="M50" s="77" t="str">
        <f>'2-Tercih'!L49</f>
        <v>MODERANS METAL YAPI</v>
      </c>
      <c r="N50" s="78" t="str">
        <f>'2-Tercih'!M49</f>
        <v>IMBAT MADENCILIK</v>
      </c>
      <c r="O50" s="79" t="str">
        <f>'2-Tercih'!N49</f>
        <v>DEFAS MADENCILIK SAN. VE TIC. A.S. (DEMIR EXPORT)</v>
      </c>
      <c r="P50" s="85" t="s">
        <v>115</v>
      </c>
      <c r="Q50" s="86" t="s">
        <v>85</v>
      </c>
      <c r="R50" s="86" t="s">
        <v>165</v>
      </c>
    </row>
    <row r="51" spans="1:18" ht="19.5" customHeight="1" x14ac:dyDescent="0.25">
      <c r="A51" s="47">
        <f>IF('1-Ogrenci'!I15&lt;&gt;"",10,"")</f>
        <v>10</v>
      </c>
      <c r="B51" s="47" t="str">
        <f>IF('1-Ogrenci'!I15&lt;&gt;"",'1-Ogrenci'!H15,"")</f>
        <v>23058</v>
      </c>
      <c r="C51" s="48" t="str">
        <f>IF('1-Ogrenci'!I15&lt;&gt;"",'1-Ogrenci'!I15,"")</f>
        <v>MEHMET CAN CELEBI</v>
      </c>
      <c r="D51" s="47" t="str">
        <f>IF('1-Ogrenci'!I15&lt;&gt;"","BMI","")</f>
        <v>BMI</v>
      </c>
      <c r="E51" s="56">
        <f>'1-Ogrenci'!J15</f>
        <v>73.08</v>
      </c>
      <c r="F51" s="70" t="str">
        <f>'2-Tercih'!E50</f>
        <v>DEFAS MADENCILIK SAN. VE TIC. A.S. (DEMIR EXPORT)</v>
      </c>
      <c r="G51" s="71" t="str">
        <f>'2-Tercih'!F50</f>
        <v>ARIKSAN METAL</v>
      </c>
      <c r="H51" s="72" t="str">
        <f>'2-Tercih'!G50</f>
        <v>HIDRO-GEN ENERJI</v>
      </c>
      <c r="I51" s="73" t="str">
        <f>'2-Tercih'!H50</f>
        <v>IMBAT MADENCILIK</v>
      </c>
      <c r="J51" s="74" t="str">
        <f>'2-Tercih'!I50</f>
        <v>TKI EGE LINYITLERI ISLETMESI MUDURLUGU</v>
      </c>
      <c r="K51" s="75" t="str">
        <f>'2-Tercih'!J50</f>
        <v>ZINBA MAKINA SANAYI</v>
      </c>
      <c r="L51" s="76" t="str">
        <f>'2-Tercih'!K50</f>
        <v>ZIRVE MAKINA</v>
      </c>
      <c r="M51" s="77" t="str">
        <f>'2-Tercih'!L50</f>
        <v>E SINERJI MUHENDISLIK</v>
      </c>
      <c r="N51" s="78" t="str">
        <f>'2-Tercih'!M50</f>
        <v>BULUT METAL</v>
      </c>
      <c r="O51" s="79" t="str">
        <f>'2-Tercih'!N50</f>
        <v>MODERANS METAL YAPI</v>
      </c>
      <c r="P51" s="85" t="s">
        <v>110</v>
      </c>
      <c r="Q51" s="86" t="s">
        <v>85</v>
      </c>
      <c r="R51" s="86" t="s">
        <v>165</v>
      </c>
    </row>
    <row r="52" spans="1:18" ht="19.5" customHeight="1" x14ac:dyDescent="0.25">
      <c r="A52" s="53">
        <f>IF('1-Ogrenci'!I16&lt;&gt;"",11,"")</f>
        <v>11</v>
      </c>
      <c r="B52" s="53" t="str">
        <f>IF('1-Ogrenci'!I16&lt;&gt;"",'1-Ogrenci'!H16,"")</f>
        <v>23085</v>
      </c>
      <c r="C52" s="54" t="str">
        <f>IF('1-Ogrenci'!I16&lt;&gt;"",'1-Ogrenci'!I16,"")</f>
        <v>MUHAMMET TOPRAK</v>
      </c>
      <c r="D52" s="53" t="str">
        <f>IF('1-Ogrenci'!I16&lt;&gt;"","BMI","")</f>
        <v>BMI</v>
      </c>
      <c r="E52" s="55">
        <f>'1-Ogrenci'!J16</f>
        <v>68.41</v>
      </c>
      <c r="F52" s="70" t="str">
        <f>'2-Tercih'!E51</f>
        <v>TKI EGE LINYITLERI ISLETMESI MUDURLUGU</v>
      </c>
      <c r="G52" s="71" t="str">
        <f>'2-Tercih'!F51</f>
        <v>ARIKSAN METAL</v>
      </c>
      <c r="H52" s="72" t="str">
        <f>'2-Tercih'!G51</f>
        <v>IMBAT MADENCILIK</v>
      </c>
      <c r="I52" s="73" t="str">
        <f>'2-Tercih'!H51</f>
        <v>HIDRO-GEN ENERJI</v>
      </c>
      <c r="J52" s="74" t="str">
        <f>'2-Tercih'!I51</f>
        <v>ZIRVE MAKINA</v>
      </c>
      <c r="K52" s="75" t="str">
        <f>'2-Tercih'!J51</f>
        <v>E SINERJI MUHENDISLIK</v>
      </c>
      <c r="L52" s="76" t="str">
        <f>'2-Tercih'!K51</f>
        <v>MODERANS METAL YAPI</v>
      </c>
      <c r="M52" s="77" t="str">
        <f>'2-Tercih'!L51</f>
        <v>DEFAS MADENCILIK SAN. VE TIC. A.S. (DEMIR EXPORT)</v>
      </c>
      <c r="N52" s="78" t="str">
        <f>'2-Tercih'!M51</f>
        <v>BULUT METAL</v>
      </c>
      <c r="O52" s="79" t="str">
        <f>'2-Tercih'!N51</f>
        <v>ZINBA MAKINA SANAYI</v>
      </c>
      <c r="P52" s="89" t="s">
        <v>107</v>
      </c>
      <c r="Q52" s="90" t="s">
        <v>86</v>
      </c>
      <c r="R52" s="90" t="s">
        <v>165</v>
      </c>
    </row>
    <row r="53" spans="1:18" ht="19.5" customHeight="1" x14ac:dyDescent="0.25">
      <c r="A53" s="47">
        <f>IF('1-Ogrenci'!I17&lt;&gt;"",12,"")</f>
        <v>12</v>
      </c>
      <c r="B53" s="47" t="str">
        <f>IF('1-Ogrenci'!I17&lt;&gt;"",'1-Ogrenci'!H17,"")</f>
        <v>23093</v>
      </c>
      <c r="C53" s="48" t="str">
        <f>IF('1-Ogrenci'!I17&lt;&gt;"",'1-Ogrenci'!I17,"")</f>
        <v>FAHRI CAN ILGAZ</v>
      </c>
      <c r="D53" s="47" t="str">
        <f>IF('1-Ogrenci'!I17&lt;&gt;"","BMI","")</f>
        <v>BMI</v>
      </c>
      <c r="E53" s="56">
        <f>'1-Ogrenci'!J17</f>
        <v>62.81</v>
      </c>
      <c r="F53" s="70" t="str">
        <f>'2-Tercih'!E52</f>
        <v>TKI EGE LINYITLERI ISLETMESI MUDURLUGU</v>
      </c>
      <c r="G53" s="71" t="str">
        <f>'2-Tercih'!F52</f>
        <v>IMBAT MADENCILIK</v>
      </c>
      <c r="H53" s="72" t="str">
        <f>'2-Tercih'!G52</f>
        <v>DEFAS MADENCILIK SAN. VE TIC. A.S. (DEMIR EXPORT)</v>
      </c>
      <c r="I53" s="73" t="str">
        <f>'2-Tercih'!H52</f>
        <v>HIDRO-GEN ENERJI</v>
      </c>
      <c r="J53" s="74" t="str">
        <f>'2-Tercih'!I52</f>
        <v>E SINERJI MUHENDISLIK</v>
      </c>
      <c r="K53" s="75" t="str">
        <f>'2-Tercih'!J52</f>
        <v>ARIKSAN METAL</v>
      </c>
      <c r="L53" s="76" t="str">
        <f>'2-Tercih'!K52</f>
        <v>MODERANS METAL YAPI</v>
      </c>
      <c r="M53" s="77" t="str">
        <f>'2-Tercih'!L52</f>
        <v>BULUT METAL</v>
      </c>
      <c r="N53" s="78" t="str">
        <f>'2-Tercih'!M52</f>
        <v>ZIRVE MAKINA</v>
      </c>
      <c r="O53" s="79" t="str">
        <f>'2-Tercih'!N52</f>
        <v>ZINBA MAKINA SANAYI</v>
      </c>
      <c r="P53" s="87" t="s">
        <v>113</v>
      </c>
      <c r="Q53" s="88" t="s">
        <v>166</v>
      </c>
      <c r="R53" s="88" t="s">
        <v>167</v>
      </c>
    </row>
    <row r="54" spans="1:18" ht="19.5" customHeight="1" x14ac:dyDescent="0.25">
      <c r="A54" s="53">
        <f>IF('1-Ogrenci'!I18&lt;&gt;"",13,"")</f>
        <v>13</v>
      </c>
      <c r="B54" s="53" t="str">
        <f>IF('1-Ogrenci'!I18&lt;&gt;"",'1-Ogrenci'!H18,"")</f>
        <v>23105</v>
      </c>
      <c r="C54" s="54" t="str">
        <f>IF('1-Ogrenci'!I18&lt;&gt;"",'1-Ogrenci'!I18,"")</f>
        <v>EFE ESREF OZDILKURAL</v>
      </c>
      <c r="D54" s="53" t="str">
        <f>IF('1-Ogrenci'!I18&lt;&gt;"","BMI","")</f>
        <v>BMI</v>
      </c>
      <c r="E54" s="55">
        <f>'1-Ogrenci'!J18</f>
        <v>79.98</v>
      </c>
      <c r="F54" s="70" t="str">
        <f>'2-Tercih'!E53</f>
        <v>TKI EGE LINYITLERI ISLETMESI MUDURLUGU</v>
      </c>
      <c r="G54" s="71" t="str">
        <f>'2-Tercih'!F53</f>
        <v>DEFAS MADENCILIK SAN. VE TIC. A.S. (DEMIR EXPORT)</v>
      </c>
      <c r="H54" s="72" t="str">
        <f>'2-Tercih'!G53</f>
        <v>ARIKSAN METAL</v>
      </c>
      <c r="I54" s="73" t="str">
        <f>'2-Tercih'!H53</f>
        <v>IMBAT MADENCILIK</v>
      </c>
      <c r="J54" s="74" t="str">
        <f>'2-Tercih'!I53</f>
        <v>HIDRO-GEN ENERJI</v>
      </c>
      <c r="K54" s="75" t="str">
        <f>'2-Tercih'!J53</f>
        <v>BULUT METAL</v>
      </c>
      <c r="L54" s="76" t="str">
        <f>'2-Tercih'!K53</f>
        <v>ZINBA MAKINA SANAYI</v>
      </c>
      <c r="M54" s="77" t="str">
        <f>'2-Tercih'!L53</f>
        <v>ZIRVE MAKINA</v>
      </c>
      <c r="N54" s="78" t="str">
        <f>'2-Tercih'!M53</f>
        <v>E SINERJI MUHENDISLIK</v>
      </c>
      <c r="O54" s="79" t="str">
        <f>'2-Tercih'!N53</f>
        <v>MODERANS METAL YAPI</v>
      </c>
      <c r="P54" s="85" t="s">
        <v>115</v>
      </c>
      <c r="Q54" s="86" t="s">
        <v>85</v>
      </c>
      <c r="R54" s="86" t="s">
        <v>165</v>
      </c>
    </row>
    <row r="55" spans="1:18" ht="19.5" customHeight="1" x14ac:dyDescent="0.25">
      <c r="A55" s="47">
        <f>IF('1-Ogrenci'!I19&lt;&gt;"",14,"")</f>
        <v>14</v>
      </c>
      <c r="B55" s="47" t="str">
        <f>IF('1-Ogrenci'!I19&lt;&gt;"",'1-Ogrenci'!H19,"")</f>
        <v>23109</v>
      </c>
      <c r="C55" s="48" t="str">
        <f>IF('1-Ogrenci'!I19&lt;&gt;"",'1-Ogrenci'!I19,"")</f>
        <v>EREN OLUM</v>
      </c>
      <c r="D55" s="47" t="str">
        <f>IF('1-Ogrenci'!I19&lt;&gt;"","BMI","")</f>
        <v>BMI</v>
      </c>
      <c r="E55" s="56">
        <f>'1-Ogrenci'!J19</f>
        <v>65.89</v>
      </c>
      <c r="F55" s="70" t="str">
        <f>'2-Tercih'!E54</f>
        <v>TKI EGE LINYITLERI ISLETMESI MUDURLUGU</v>
      </c>
      <c r="G55" s="71" t="str">
        <f>'2-Tercih'!F54</f>
        <v>ARIKSAN METAL</v>
      </c>
      <c r="H55" s="72" t="str">
        <f>'2-Tercih'!G54</f>
        <v>IMBAT MADENCILIK</v>
      </c>
      <c r="I55" s="73" t="str">
        <f>'2-Tercih'!H54</f>
        <v>DEFAS MADENCILIK SAN. VE TIC. A.S. (DEMIR EXPORT)</v>
      </c>
      <c r="J55" s="74" t="str">
        <f>'2-Tercih'!I54</f>
        <v>BULUT METAL</v>
      </c>
      <c r="K55" s="75" t="str">
        <f>'2-Tercih'!J54</f>
        <v>ZIRVE MAKINA</v>
      </c>
      <c r="L55" s="76">
        <f>'2-Tercih'!K54</f>
        <v>0</v>
      </c>
      <c r="M55" s="77">
        <f>'2-Tercih'!L54</f>
        <v>0</v>
      </c>
      <c r="N55" s="78">
        <f>'2-Tercih'!M54</f>
        <v>0</v>
      </c>
      <c r="O55" s="79">
        <f>'2-Tercih'!N54</f>
        <v>0</v>
      </c>
      <c r="P55" s="87" t="s">
        <v>112</v>
      </c>
      <c r="Q55" s="88" t="s">
        <v>166</v>
      </c>
      <c r="R55" s="88" t="s">
        <v>167</v>
      </c>
    </row>
    <row r="56" spans="1:18" ht="19.5" customHeight="1" x14ac:dyDescent="0.25">
      <c r="A56" s="53">
        <f>IF('1-Ogrenci'!I20&lt;&gt;"",15,"")</f>
        <v>15</v>
      </c>
      <c r="B56" s="53" t="str">
        <f>IF('1-Ogrenci'!I20&lt;&gt;"",'1-Ogrenci'!H20,"")</f>
        <v>23249</v>
      </c>
      <c r="C56" s="54" t="str">
        <f>IF('1-Ogrenci'!I20&lt;&gt;"",'1-Ogrenci'!I20,"")</f>
        <v>EGE GENC</v>
      </c>
      <c r="D56" s="53" t="str">
        <f>IF('1-Ogrenci'!I20&lt;&gt;"","BMI","")</f>
        <v>BMI</v>
      </c>
      <c r="E56" s="55">
        <f>'1-Ogrenci'!J20</f>
        <v>77.010000000000005</v>
      </c>
      <c r="F56" s="70" t="str">
        <f>'2-Tercih'!E55</f>
        <v>ARIKSAN METAL</v>
      </c>
      <c r="G56" s="71" t="str">
        <f>'2-Tercih'!F55</f>
        <v>DEFAS MADENCILIK SAN. VE TIC. A.S. (DEMIR EXPORT)</v>
      </c>
      <c r="H56" s="72" t="str">
        <f>'2-Tercih'!G55</f>
        <v>IMBAT MADENCILIK</v>
      </c>
      <c r="I56" s="73">
        <f>'2-Tercih'!H55</f>
        <v>0</v>
      </c>
      <c r="J56" s="74">
        <f>'2-Tercih'!I55</f>
        <v>0</v>
      </c>
      <c r="K56" s="75">
        <f>'2-Tercih'!J55</f>
        <v>0</v>
      </c>
      <c r="L56" s="76">
        <f>'2-Tercih'!K55</f>
        <v>0</v>
      </c>
      <c r="M56" s="77">
        <f>'2-Tercih'!L55</f>
        <v>0</v>
      </c>
      <c r="N56" s="78">
        <f>'2-Tercih'!M55</f>
        <v>0</v>
      </c>
      <c r="O56" s="79">
        <f>'2-Tercih'!N55</f>
        <v>0</v>
      </c>
      <c r="P56" s="85" t="s">
        <v>107</v>
      </c>
      <c r="Q56" s="86" t="s">
        <v>85</v>
      </c>
      <c r="R56" s="86" t="s">
        <v>165</v>
      </c>
    </row>
    <row r="57" spans="1:18" ht="19.5" customHeight="1" x14ac:dyDescent="0.25">
      <c r="A57" s="47" t="str">
        <f>IF('1-Ogrenci'!I21&lt;&gt;"",16,"")</f>
        <v/>
      </c>
      <c r="B57" s="47" t="str">
        <f>IF('1-Ogrenci'!I21&lt;&gt;"",'1-Ogrenci'!H21,"")</f>
        <v/>
      </c>
      <c r="C57" s="48" t="str">
        <f>IF('1-Ogrenci'!I21&lt;&gt;"",'1-Ogrenci'!I21,"")</f>
        <v/>
      </c>
      <c r="D57" s="47" t="str">
        <f>IF('1-Ogrenci'!I21&lt;&gt;"","BMI","")</f>
        <v/>
      </c>
      <c r="E57" s="56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1"/>
      <c r="Q57" s="82"/>
      <c r="R57" s="82"/>
    </row>
    <row r="58" spans="1:18" ht="19.5" customHeight="1" x14ac:dyDescent="0.25">
      <c r="A58" s="53" t="str">
        <f>IF('1-Ogrenci'!I22&lt;&gt;"",17,"")</f>
        <v/>
      </c>
      <c r="B58" s="53" t="str">
        <f>IF('1-Ogrenci'!I22&lt;&gt;"",'1-Ogrenci'!H22,"")</f>
        <v/>
      </c>
      <c r="C58" s="54" t="str">
        <f>IF('1-Ogrenci'!I22&lt;&gt;"",'1-Ogrenci'!I22,"")</f>
        <v/>
      </c>
      <c r="D58" s="53" t="str">
        <f>IF('1-Ogrenci'!I22&lt;&gt;"","BMI","")</f>
        <v/>
      </c>
      <c r="E58" s="55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1"/>
      <c r="Q58" s="82"/>
      <c r="R58" s="82"/>
    </row>
    <row r="59" spans="1:18" ht="19.5" customHeight="1" x14ac:dyDescent="0.25">
      <c r="A59" s="47" t="str">
        <f>IF('1-Ogrenci'!I23&lt;&gt;"",18,"")</f>
        <v/>
      </c>
      <c r="B59" s="47" t="str">
        <f>IF('1-Ogrenci'!I23&lt;&gt;"",'1-Ogrenci'!H23,"")</f>
        <v/>
      </c>
      <c r="C59" s="48" t="str">
        <f>IF('1-Ogrenci'!I23&lt;&gt;"",'1-Ogrenci'!I23,"")</f>
        <v/>
      </c>
      <c r="D59" s="47" t="str">
        <f>IF('1-Ogrenci'!I23&lt;&gt;"","BMI","")</f>
        <v/>
      </c>
      <c r="E59" s="56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1"/>
      <c r="Q59" s="82"/>
      <c r="R59" s="82"/>
    </row>
    <row r="60" spans="1:18" ht="19.5" customHeight="1" x14ac:dyDescent="0.25">
      <c r="A60" s="53" t="str">
        <f>IF('1-Ogrenci'!I24&lt;&gt;"",19,"")</f>
        <v/>
      </c>
      <c r="B60" s="53" t="str">
        <f>IF('1-Ogrenci'!I24&lt;&gt;"",'1-Ogrenci'!H24,"")</f>
        <v/>
      </c>
      <c r="C60" s="54" t="str">
        <f>IF('1-Ogrenci'!I24&lt;&gt;"",'1-Ogrenci'!I24,"")</f>
        <v/>
      </c>
      <c r="D60" s="53" t="str">
        <f>IF('1-Ogrenci'!I24&lt;&gt;"","BMI","")</f>
        <v/>
      </c>
      <c r="E60" s="55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1"/>
      <c r="Q60" s="82"/>
      <c r="R60" s="82"/>
    </row>
    <row r="61" spans="1:18" ht="19.5" customHeight="1" x14ac:dyDescent="0.25">
      <c r="A61" s="47" t="str">
        <f>IF('1-Ogrenci'!I25&lt;&gt;"",20,"")</f>
        <v/>
      </c>
      <c r="B61" s="47" t="str">
        <f>IF('1-Ogrenci'!I25&lt;&gt;"",'1-Ogrenci'!H25,"")</f>
        <v/>
      </c>
      <c r="C61" s="48" t="str">
        <f>IF('1-Ogrenci'!I25&lt;&gt;"",'1-Ogrenci'!I25,"")</f>
        <v/>
      </c>
      <c r="D61" s="47" t="str">
        <f>IF('1-Ogrenci'!I25&lt;&gt;"","BMI","")</f>
        <v/>
      </c>
      <c r="E61" s="56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1"/>
      <c r="Q61" s="82"/>
      <c r="R61" s="82"/>
    </row>
    <row r="62" spans="1:18" ht="19.5" customHeight="1" x14ac:dyDescent="0.25">
      <c r="A62" s="53" t="str">
        <f>IF('1-Ogrenci'!I26&lt;&gt;"",21,"")</f>
        <v/>
      </c>
      <c r="B62" s="53" t="str">
        <f>IF('1-Ogrenci'!I26&lt;&gt;"",'1-Ogrenci'!H26,"")</f>
        <v/>
      </c>
      <c r="C62" s="54" t="str">
        <f>IF('1-Ogrenci'!I26&lt;&gt;"",'1-Ogrenci'!I26,"")</f>
        <v/>
      </c>
      <c r="D62" s="53" t="str">
        <f>IF('1-Ogrenci'!I26&lt;&gt;"","BMI","")</f>
        <v/>
      </c>
      <c r="E62" s="55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1"/>
      <c r="Q62" s="82"/>
      <c r="R62" s="82"/>
    </row>
    <row r="63" spans="1:18" ht="19.5" customHeight="1" x14ac:dyDescent="0.25">
      <c r="A63" s="47" t="str">
        <f>IF('1-Ogrenci'!I27&lt;&gt;"",22,"")</f>
        <v/>
      </c>
      <c r="B63" s="47" t="str">
        <f>IF('1-Ogrenci'!I27&lt;&gt;"",'1-Ogrenci'!H27,"")</f>
        <v/>
      </c>
      <c r="C63" s="48" t="str">
        <f>IF('1-Ogrenci'!I27&lt;&gt;"",'1-Ogrenci'!I27,"")</f>
        <v/>
      </c>
      <c r="D63" s="47" t="str">
        <f>IF('1-Ogrenci'!I27&lt;&gt;"","BMI","")</f>
        <v/>
      </c>
      <c r="E63" s="56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1"/>
      <c r="Q63" s="82"/>
      <c r="R63" s="82"/>
    </row>
    <row r="64" spans="1:18" ht="19.5" customHeight="1" x14ac:dyDescent="0.25">
      <c r="A64" s="53" t="str">
        <f>IF('1-Ogrenci'!I28&lt;&gt;"",23,"")</f>
        <v/>
      </c>
      <c r="B64" s="53" t="str">
        <f>IF('1-Ogrenci'!I28&lt;&gt;"",'1-Ogrenci'!H28,"")</f>
        <v/>
      </c>
      <c r="C64" s="54" t="str">
        <f>IF('1-Ogrenci'!I28&lt;&gt;"",'1-Ogrenci'!I28,"")</f>
        <v/>
      </c>
      <c r="D64" s="53" t="str">
        <f>IF('1-Ogrenci'!I28&lt;&gt;"","BMI","")</f>
        <v/>
      </c>
      <c r="E64" s="55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1"/>
      <c r="Q64" s="82"/>
      <c r="R64" s="82"/>
    </row>
    <row r="65" spans="1:18" ht="19.5" customHeight="1" x14ac:dyDescent="0.25">
      <c r="A65" s="47" t="str">
        <f>IF('1-Ogrenci'!I29&lt;&gt;"",24,"")</f>
        <v/>
      </c>
      <c r="B65" s="47" t="str">
        <f>IF('1-Ogrenci'!I29&lt;&gt;"",'1-Ogrenci'!H29,"")</f>
        <v/>
      </c>
      <c r="C65" s="48" t="str">
        <f>IF('1-Ogrenci'!I29&lt;&gt;"",'1-Ogrenci'!I29,"")</f>
        <v/>
      </c>
      <c r="D65" s="47" t="str">
        <f>IF('1-Ogrenci'!I29&lt;&gt;"","BMI","")</f>
        <v/>
      </c>
      <c r="E65" s="56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1"/>
      <c r="Q65" s="82"/>
      <c r="R65" s="82"/>
    </row>
    <row r="66" spans="1:18" ht="19.5" customHeight="1" x14ac:dyDescent="0.25">
      <c r="A66" s="53" t="str">
        <f>IF('1-Ogrenci'!I30&lt;&gt;"",25,"")</f>
        <v/>
      </c>
      <c r="B66" s="53" t="str">
        <f>IF('1-Ogrenci'!I30&lt;&gt;"",'1-Ogrenci'!H30,"")</f>
        <v/>
      </c>
      <c r="C66" s="54" t="str">
        <f>IF('1-Ogrenci'!I30&lt;&gt;"",'1-Ogrenci'!I30,"")</f>
        <v/>
      </c>
      <c r="D66" s="53" t="str">
        <f>IF('1-Ogrenci'!I30&lt;&gt;"","BMI","")</f>
        <v/>
      </c>
      <c r="E66" s="55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1"/>
      <c r="Q66" s="82"/>
      <c r="R66" s="82"/>
    </row>
    <row r="67" spans="1:18" ht="19.5" customHeight="1" x14ac:dyDescent="0.25">
      <c r="A67" s="47" t="str">
        <f>IF('1-Ogrenci'!I31&lt;&gt;"",26,"")</f>
        <v/>
      </c>
      <c r="B67" s="47" t="str">
        <f>IF('1-Ogrenci'!I31&lt;&gt;"",'1-Ogrenci'!H31,"")</f>
        <v/>
      </c>
      <c r="C67" s="48" t="str">
        <f>IF('1-Ogrenci'!I31&lt;&gt;"",'1-Ogrenci'!I31,"")</f>
        <v/>
      </c>
      <c r="D67" s="47" t="str">
        <f>IF('1-Ogrenci'!I31&lt;&gt;"","BMI","")</f>
        <v/>
      </c>
      <c r="E67" s="56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1"/>
      <c r="Q67" s="82"/>
      <c r="R67" s="82"/>
    </row>
    <row r="68" spans="1:18" ht="19.5" customHeight="1" x14ac:dyDescent="0.25">
      <c r="A68" s="53" t="str">
        <f>IF('1-Ogrenci'!I32&lt;&gt;"",27,"")</f>
        <v/>
      </c>
      <c r="B68" s="53" t="str">
        <f>IF('1-Ogrenci'!I32&lt;&gt;"",'1-Ogrenci'!H32,"")</f>
        <v/>
      </c>
      <c r="C68" s="54" t="str">
        <f>IF('1-Ogrenci'!I32&lt;&gt;"",'1-Ogrenci'!I32,"")</f>
        <v/>
      </c>
      <c r="D68" s="53" t="str">
        <f>IF('1-Ogrenci'!I32&lt;&gt;"","BMI","")</f>
        <v/>
      </c>
      <c r="E68" s="55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1"/>
      <c r="Q68" s="82"/>
      <c r="R68" s="82"/>
    </row>
    <row r="69" spans="1:18" ht="19.5" customHeight="1" x14ac:dyDescent="0.25">
      <c r="A69" s="47" t="str">
        <f>IF('1-Ogrenci'!I33&lt;&gt;"",28,"")</f>
        <v/>
      </c>
      <c r="B69" s="47" t="str">
        <f>IF('1-Ogrenci'!I33&lt;&gt;"",'1-Ogrenci'!H33,"")</f>
        <v/>
      </c>
      <c r="C69" s="48" t="str">
        <f>IF('1-Ogrenci'!I33&lt;&gt;"",'1-Ogrenci'!I33,"")</f>
        <v/>
      </c>
      <c r="D69" s="47" t="str">
        <f>IF('1-Ogrenci'!I33&lt;&gt;"","BMI","")</f>
        <v/>
      </c>
      <c r="E69" s="56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1"/>
      <c r="Q69" s="82"/>
      <c r="R69" s="82"/>
    </row>
    <row r="70" spans="1:18" ht="19.5" customHeight="1" x14ac:dyDescent="0.25">
      <c r="A70" s="53" t="str">
        <f>IF('1-Ogrenci'!I34&lt;&gt;"",29,"")</f>
        <v/>
      </c>
      <c r="B70" s="53" t="str">
        <f>IF('1-Ogrenci'!I34&lt;&gt;"",'1-Ogrenci'!H34,"")</f>
        <v/>
      </c>
      <c r="C70" s="54" t="str">
        <f>IF('1-Ogrenci'!I34&lt;&gt;"",'1-Ogrenci'!I34,"")</f>
        <v/>
      </c>
      <c r="D70" s="53" t="str">
        <f>IF('1-Ogrenci'!I34&lt;&gt;"","BMI","")</f>
        <v/>
      </c>
      <c r="E70" s="55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1"/>
      <c r="Q70" s="82"/>
      <c r="R70" s="82"/>
    </row>
    <row r="71" spans="1:18" ht="19.5" customHeight="1" x14ac:dyDescent="0.25">
      <c r="A71" s="47" t="str">
        <f>IF('1-Ogrenci'!I35&lt;&gt;"",30,"")</f>
        <v/>
      </c>
      <c r="B71" s="47" t="str">
        <f>IF('1-Ogrenci'!I35&lt;&gt;"",'1-Ogrenci'!H35,"")</f>
        <v/>
      </c>
      <c r="C71" s="48" t="str">
        <f>IF('1-Ogrenci'!I35&lt;&gt;"",'1-Ogrenci'!I35,"")</f>
        <v/>
      </c>
      <c r="D71" s="47" t="str">
        <f>IF('1-Ogrenci'!I35&lt;&gt;"","BMI","")</f>
        <v/>
      </c>
      <c r="E71" s="56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1"/>
      <c r="Q71" s="82"/>
      <c r="R71" s="82"/>
    </row>
    <row r="72" spans="1:18" ht="19.5" customHeight="1" x14ac:dyDescent="0.25">
      <c r="A72" s="53" t="str">
        <f>IF('1-Ogrenci'!I36&lt;&gt;"",31,"")</f>
        <v/>
      </c>
      <c r="B72" s="53" t="str">
        <f>IF('1-Ogrenci'!I36&lt;&gt;"",'1-Ogrenci'!H36,"")</f>
        <v/>
      </c>
      <c r="C72" s="54" t="str">
        <f>IF('1-Ogrenci'!I36&lt;&gt;"",'1-Ogrenci'!I36,"")</f>
        <v/>
      </c>
      <c r="D72" s="53" t="str">
        <f>IF('1-Ogrenci'!I36&lt;&gt;"","BMI","")</f>
        <v/>
      </c>
      <c r="E72" s="55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1"/>
      <c r="Q72" s="82"/>
      <c r="R72" s="82"/>
    </row>
    <row r="73" spans="1:18" ht="19.5" customHeight="1" x14ac:dyDescent="0.25">
      <c r="A73" s="47" t="str">
        <f>IF('1-Ogrenci'!I37&lt;&gt;"",32,"")</f>
        <v/>
      </c>
      <c r="B73" s="47" t="str">
        <f>IF('1-Ogrenci'!I37&lt;&gt;"",'1-Ogrenci'!H37,"")</f>
        <v/>
      </c>
      <c r="C73" s="48" t="str">
        <f>IF('1-Ogrenci'!I37&lt;&gt;"",'1-Ogrenci'!I37,"")</f>
        <v/>
      </c>
      <c r="D73" s="47" t="str">
        <f>IF('1-Ogrenci'!I37&lt;&gt;"","BMI","")</f>
        <v/>
      </c>
      <c r="E73" s="56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1"/>
      <c r="Q73" s="82"/>
      <c r="R73" s="82"/>
    </row>
    <row r="75" spans="1:18" ht="7.5" customHeight="1" x14ac:dyDescent="0.25"/>
    <row r="76" spans="1:18" ht="25.5" customHeight="1" x14ac:dyDescent="0.25">
      <c r="A76" s="114" t="s">
        <v>141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</row>
    <row r="77" spans="1:18" ht="21.75" customHeight="1" x14ac:dyDescent="0.25">
      <c r="A77" s="115" t="s">
        <v>142</v>
      </c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6">
        <f>COUNTA(C7:C38)+COUNTA(C42:C73)</f>
        <v>64</v>
      </c>
      <c r="N77" s="116"/>
      <c r="O77" s="116"/>
      <c r="P77" s="116"/>
      <c r="Q77" s="116"/>
      <c r="R77" s="116"/>
    </row>
    <row r="78" spans="1:18" ht="21.75" customHeight="1" x14ac:dyDescent="0.25">
      <c r="A78" s="117" t="s">
        <v>143</v>
      </c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6">
        <f>COUNTA(C7:C38)</f>
        <v>32</v>
      </c>
      <c r="N78" s="116"/>
      <c r="O78" s="116"/>
      <c r="P78" s="116"/>
      <c r="Q78" s="116"/>
      <c r="R78" s="116"/>
    </row>
    <row r="79" spans="1:18" ht="21.75" customHeight="1" x14ac:dyDescent="0.25">
      <c r="A79" s="118" t="s">
        <v>144</v>
      </c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6">
        <f>COUNTA(C42:C73)</f>
        <v>32</v>
      </c>
      <c r="N79" s="116"/>
      <c r="O79" s="116"/>
      <c r="P79" s="116"/>
      <c r="Q79" s="116"/>
      <c r="R79" s="116"/>
    </row>
    <row r="80" spans="1:18" ht="21.75" customHeight="1" x14ac:dyDescent="0.25">
      <c r="A80" s="118" t="s">
        <v>145</v>
      </c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6">
        <f>COUNTIF(Q7:Q38,"1. Tercih")+COUNTIF(Q42:Q73,"1. Tercih")</f>
        <v>13</v>
      </c>
      <c r="N80" s="116"/>
      <c r="O80" s="116"/>
      <c r="P80" s="116"/>
      <c r="Q80" s="116"/>
      <c r="R80" s="116"/>
    </row>
    <row r="81" spans="1:18" ht="21.75" customHeight="1" x14ac:dyDescent="0.25">
      <c r="A81" s="115" t="s">
        <v>146</v>
      </c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6">
        <f>COUNTIF(Q7:Q38,"2. Tercih")+COUNTIF(Q42:Q73,"2. Tercih")</f>
        <v>3</v>
      </c>
      <c r="N81" s="116"/>
      <c r="O81" s="116"/>
      <c r="P81" s="116"/>
      <c r="Q81" s="116"/>
      <c r="R81" s="116"/>
    </row>
    <row r="82" spans="1:18" ht="21.75" customHeight="1" x14ac:dyDescent="0.25">
      <c r="A82" s="119" t="s">
        <v>147</v>
      </c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6">
        <f>COUNTIF(Q7:Q38,"3. Tercih")+COUNTIF(Q42:Q73,"3. Tercih")</f>
        <v>0</v>
      </c>
      <c r="N82" s="116"/>
      <c r="O82" s="116"/>
      <c r="P82" s="116"/>
      <c r="Q82" s="116"/>
      <c r="R82" s="116"/>
    </row>
    <row r="83" spans="1:18" ht="21.75" customHeight="1" x14ac:dyDescent="0.25">
      <c r="A83" s="120" t="s">
        <v>148</v>
      </c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16">
        <f>COUNTIF(Q7:Q38,"4. Tercih")+COUNTIF(Q42:Q73,"4. Tercih")</f>
        <v>1</v>
      </c>
      <c r="N83" s="116"/>
      <c r="O83" s="116"/>
      <c r="P83" s="116"/>
      <c r="Q83" s="116"/>
      <c r="R83" s="116"/>
    </row>
    <row r="84" spans="1:18" ht="21.75" customHeight="1" x14ac:dyDescent="0.25">
      <c r="A84" s="121" t="s">
        <v>149</v>
      </c>
      <c r="B84" s="121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16">
        <f>COUNTIF(Q7:Q38,"5. Tercih")+COUNTIF(Q42:Q73,"5. Tercih")</f>
        <v>0</v>
      </c>
      <c r="N84" s="116"/>
      <c r="O84" s="116"/>
      <c r="P84" s="116"/>
      <c r="Q84" s="116"/>
      <c r="R84" s="116"/>
    </row>
    <row r="85" spans="1:18" ht="21.75" customHeight="1" x14ac:dyDescent="0.25">
      <c r="A85" s="122" t="s">
        <v>150</v>
      </c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16">
        <f>COUNTIF(Q7:Q38,"6. Tercih")+COUNTIF(Q42:Q73,"6. Tercih")</f>
        <v>2</v>
      </c>
      <c r="N85" s="116"/>
      <c r="O85" s="116"/>
      <c r="P85" s="116"/>
      <c r="Q85" s="116"/>
      <c r="R85" s="116"/>
    </row>
    <row r="86" spans="1:18" ht="21.75" customHeight="1" x14ac:dyDescent="0.25">
      <c r="A86" s="123" t="s">
        <v>151</v>
      </c>
      <c r="B86" s="123"/>
      <c r="C86" s="123"/>
      <c r="D86" s="123"/>
      <c r="E86" s="123"/>
      <c r="F86" s="123"/>
      <c r="G86" s="123"/>
      <c r="H86" s="123"/>
      <c r="I86" s="123"/>
      <c r="J86" s="123"/>
      <c r="K86" s="123"/>
      <c r="L86" s="123"/>
      <c r="M86" s="116">
        <f>COUNTIF(Q7:Q38,"7. Tercih")+COUNTIF(Q42:Q73,"7. Tercih")</f>
        <v>1</v>
      </c>
      <c r="N86" s="116"/>
      <c r="O86" s="116"/>
      <c r="P86" s="116"/>
      <c r="Q86" s="116"/>
      <c r="R86" s="116"/>
    </row>
    <row r="87" spans="1:18" ht="21.75" customHeight="1" x14ac:dyDescent="0.25">
      <c r="A87" s="124" t="s">
        <v>152</v>
      </c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16">
        <f>COUNTIF(Q7:Q38,"8. Tercih")+COUNTIF(Q42:Q73,"8. Tercih")</f>
        <v>0</v>
      </c>
      <c r="N87" s="116"/>
      <c r="O87" s="116"/>
      <c r="P87" s="116"/>
      <c r="Q87" s="116"/>
      <c r="R87" s="116"/>
    </row>
    <row r="88" spans="1:18" ht="21.75" customHeight="1" x14ac:dyDescent="0.25">
      <c r="A88" s="125" t="s">
        <v>153</v>
      </c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16">
        <f>COUNTIF(Q7:Q38,"9. Tercih")+COUNTIF(Q42:Q73,"9. Tercih")</f>
        <v>0</v>
      </c>
      <c r="N88" s="116"/>
      <c r="O88" s="116"/>
      <c r="P88" s="116"/>
      <c r="Q88" s="116"/>
      <c r="R88" s="116"/>
    </row>
    <row r="89" spans="1:18" ht="21.75" customHeight="1" x14ac:dyDescent="0.25">
      <c r="A89" s="126" t="s">
        <v>154</v>
      </c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16">
        <f>COUNTIF(Q7:Q38,"10. Tercih")+COUNTIF(Q42:Q73,"10. Tercih")</f>
        <v>0</v>
      </c>
      <c r="N89" s="116"/>
      <c r="O89" s="116"/>
      <c r="P89" s="116"/>
      <c r="Q89" s="116"/>
      <c r="R89" s="116"/>
    </row>
    <row r="90" spans="1:18" ht="21.75" customHeight="1" x14ac:dyDescent="0.25">
      <c r="A90" s="127" t="s">
        <v>155</v>
      </c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16">
        <f>COUNTIF(Q7:Q38,"Isletme Talebi")+COUNTIF(Q42:Q73,"Isletme Talebi")</f>
        <v>14</v>
      </c>
      <c r="N90" s="116"/>
      <c r="O90" s="116"/>
      <c r="P90" s="116"/>
      <c r="Q90" s="116"/>
      <c r="R90" s="116"/>
    </row>
    <row r="91" spans="1:18" ht="21.75" customHeight="1" x14ac:dyDescent="0.25">
      <c r="A91" s="117" t="s">
        <v>156</v>
      </c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6">
        <f>COUNTIF(Q7:Q38,"Otomatik")+COUNTIF(Q42:Q73,"Otomatik")</f>
        <v>1</v>
      </c>
      <c r="N91" s="116"/>
      <c r="O91" s="116"/>
      <c r="P91" s="116"/>
      <c r="Q91" s="116"/>
      <c r="R91" s="116"/>
    </row>
    <row r="92" spans="1:18" ht="21.75" customHeight="1" x14ac:dyDescent="0.25">
      <c r="A92" s="129" t="s">
        <v>157</v>
      </c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16">
        <f>COUNTIF(Q7:Q38,"Zorunlu Atama")+COUNTIF(Q42:Q73,"Zorunlu Atama")</f>
        <v>0</v>
      </c>
      <c r="N92" s="116"/>
      <c r="O92" s="116"/>
      <c r="P92" s="116"/>
      <c r="Q92" s="116"/>
      <c r="R92" s="116"/>
    </row>
    <row r="93" spans="1:18" ht="21.75" customHeight="1" x14ac:dyDescent="0.25">
      <c r="A93" s="115" t="s">
        <v>158</v>
      </c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28">
        <f>IFERROR(AVERAGEIF(E7:E38,"&gt;0"),"")</f>
        <v>71.325714285714284</v>
      </c>
      <c r="N93" s="128"/>
      <c r="O93" s="128"/>
      <c r="P93" s="128"/>
      <c r="Q93" s="128"/>
      <c r="R93" s="128"/>
    </row>
    <row r="94" spans="1:18" ht="21.75" customHeight="1" x14ac:dyDescent="0.25">
      <c r="A94" s="118" t="s">
        <v>159</v>
      </c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28">
        <f>IFERROR(AVERAGEIF(E42:E73,"&gt;0"),"")</f>
        <v>70.214285714285708</v>
      </c>
      <c r="N94" s="128"/>
      <c r="O94" s="128"/>
      <c r="P94" s="128"/>
      <c r="Q94" s="128"/>
      <c r="R94" s="128"/>
    </row>
  </sheetData>
  <mergeCells count="42">
    <mergeCell ref="A94:L94"/>
    <mergeCell ref="M94:R94"/>
    <mergeCell ref="A91:L91"/>
    <mergeCell ref="M91:R91"/>
    <mergeCell ref="A92:L92"/>
    <mergeCell ref="M92:R92"/>
    <mergeCell ref="A93:L93"/>
    <mergeCell ref="M93:R93"/>
    <mergeCell ref="A88:L88"/>
    <mergeCell ref="M88:R88"/>
    <mergeCell ref="A89:L89"/>
    <mergeCell ref="M89:R89"/>
    <mergeCell ref="A90:L90"/>
    <mergeCell ref="M90:R90"/>
    <mergeCell ref="A85:L85"/>
    <mergeCell ref="M85:R85"/>
    <mergeCell ref="A86:L86"/>
    <mergeCell ref="M86:R86"/>
    <mergeCell ref="A87:L87"/>
    <mergeCell ref="M87:R87"/>
    <mergeCell ref="A82:L82"/>
    <mergeCell ref="M82:R82"/>
    <mergeCell ref="A83:L83"/>
    <mergeCell ref="M83:R83"/>
    <mergeCell ref="A84:L84"/>
    <mergeCell ref="M84:R84"/>
    <mergeCell ref="A79:L79"/>
    <mergeCell ref="M79:R79"/>
    <mergeCell ref="A80:L80"/>
    <mergeCell ref="M80:R80"/>
    <mergeCell ref="A81:L81"/>
    <mergeCell ref="M81:R81"/>
    <mergeCell ref="A76:R76"/>
    <mergeCell ref="A77:L77"/>
    <mergeCell ref="M77:R77"/>
    <mergeCell ref="A78:L78"/>
    <mergeCell ref="M78:R78"/>
    <mergeCell ref="A1:R1"/>
    <mergeCell ref="A2:R2"/>
    <mergeCell ref="A3:R3"/>
    <mergeCell ref="A5:R5"/>
    <mergeCell ref="A40:R40"/>
  </mergeCells>
  <pageMargins left="0.75" right="0.75" top="1" bottom="1" header="0.511811023622047" footer="0.511811023622047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2</vt:i4>
      </vt:variant>
    </vt:vector>
  </HeadingPairs>
  <TitlesOfParts>
    <vt:vector size="6" baseType="lpstr">
      <vt:lpstr>1-Ogrenci</vt:lpstr>
      <vt:lpstr>2-Tercih</vt:lpstr>
      <vt:lpstr>3-Isletme</vt:lpstr>
      <vt:lpstr>4-Sonuc</vt:lpstr>
      <vt:lpstr>'1-Ogrenci'!Yazdırma_Alanı</vt:lpstr>
      <vt:lpstr>'4-Sonuc'!Yazdırma_Alanı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makina</cp:lastModifiedBy>
  <cp:revision>0</cp:revision>
  <cp:lastPrinted>2026-05-20T05:57:34Z</cp:lastPrinted>
  <dcterms:created xsi:type="dcterms:W3CDTF">2026-03-19T22:23:47Z</dcterms:created>
  <dcterms:modified xsi:type="dcterms:W3CDTF">2026-05-20T05:58:04Z</dcterms:modified>
  <dc:language>en-US</dc:language>
</cp:coreProperties>
</file>