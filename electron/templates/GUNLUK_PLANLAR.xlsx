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3.xml.rels" ContentType="application/vnd.openxmlformats-package.relationships+xml"/>
  <Override PartName="/xl/worksheets/_rels/sheet7.xml.rels" ContentType="application/vnd.openxmlformats-package.relationships+xml"/>
  <Override PartName="/xl/worksheets/_rels/sheet12.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_rels/sheet15.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9.xml.rels" ContentType="application/vnd.openxmlformats-package.relationships+xml"/>
  <Override PartName="/xl/worksheets/_rels/sheet2.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_rels/drawing8.xml.rels" ContentType="application/vnd.openxmlformats-package.relationships+xml"/>
  <Override PartName="/xl/drawings/_rels/drawing17.xml.rels" ContentType="application/vnd.openxmlformats-package.relationships+xml"/>
  <Override PartName="/xl/drawings/_rels/drawing2.xml.rels" ContentType="application/vnd.openxmlformats-package.relationships+xml"/>
  <Override PartName="/xl/drawings/_rels/drawing7.xml.rels" ContentType="application/vnd.openxmlformats-package.relationships+xml"/>
  <Override PartName="/xl/drawings/_rels/drawing16.xml.rels" ContentType="application/vnd.openxmlformats-package.relationships+xml"/>
  <Override PartName="/xl/drawings/_rels/drawing11.xml.rels" ContentType="application/vnd.openxmlformats-package.relationships+xml"/>
  <Override PartName="/xl/drawings/_rels/drawing6.xml.rels" ContentType="application/vnd.openxmlformats-package.relationships+xml"/>
  <Override PartName="/xl/drawings/_rels/drawing13.xml.rels" ContentType="application/vnd.openxmlformats-package.relationships+xml"/>
  <Override PartName="/xl/drawings/_rels/drawing4.xml.rels" ContentType="application/vnd.openxmlformats-package.relationships+xml"/>
  <Override PartName="/xl/drawings/_rels/drawing9.xml.rels" ContentType="application/vnd.openxmlformats-package.relationships+xml"/>
  <Override PartName="/xl/drawings/_rels/drawing14.xml.rels" ContentType="application/vnd.openxmlformats-package.relationships+xml"/>
  <Override PartName="/xl/drawings/_rels/drawing18.xml.rels" ContentType="application/vnd.openxmlformats-package.relationships+xml"/>
  <Override PartName="/xl/drawings/_rels/drawing20.xml.rels" ContentType="application/vnd.openxmlformats-package.relationships+xml"/>
  <Override PartName="/xl/drawings/_rels/drawing3.xml.rels" ContentType="application/vnd.openxmlformats-package.relationships+xml"/>
  <Override PartName="/xl/drawings/_rels/drawing12.xml.rels" ContentType="application/vnd.openxmlformats-package.relationships+xml"/>
  <Override PartName="/xl/drawings/_rels/drawing19.xml.rels" ContentType="application/vnd.openxmlformats-package.relationships+xml"/>
  <Override PartName="/xl/drawings/_rels/drawing1.xml.rels" ContentType="application/vnd.openxmlformats-package.relationships+xml"/>
  <Override PartName="/xl/drawings/_rels/drawing5.xml.rels" ContentType="application/vnd.openxmlformats-package.relationships+xml"/>
  <Override PartName="/xl/drawings/_rels/drawing10.xml.rels" ContentType="application/vnd.openxmlformats-package.relationships+xml"/>
  <Override PartName="/xl/drawings/_rels/drawing15.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19.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17.xml" ContentType="application/vnd.openxmlformats-officedocument.drawing+xml"/>
  <Override PartName="/xl/drawings/drawing8.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KVİM" sheetId="1" state="visible" r:id="rId3"/>
    <sheet name="TEMEL İMALAT İŞLEM 9A" sheetId="2" state="visible" r:id="rId4"/>
    <sheet name="MESLEKİ GELİŞİM AT 9A" sheetId="3" state="visible" r:id="rId5"/>
    <sheet name="TEKNİK RESİM 9A" sheetId="4" state="visible" r:id="rId6"/>
    <sheet name="BAKIM ONARIM MESLE 10-A" sheetId="5" state="visible" r:id="rId7"/>
    <sheet name="MALZEME BİLGİSİ 10-A" sheetId="6" state="visible" r:id="rId8"/>
    <sheet name="ÖLÇME VE KONTROL 10-A" sheetId="7" state="visible" r:id="rId9"/>
    <sheet name="İMALAT YÖNTEMLERİ 10-A" sheetId="8" state="visible" r:id="rId10"/>
    <sheet name="SOSYAL MEDYA 11-A" sheetId="9" state="visible" r:id="rId11"/>
    <sheet name="WEB UYGULAMALARI 11-A" sheetId="10" state="visible" r:id="rId12"/>
    <sheet name="TEMEL ELEKTRİK BİL 11-A" sheetId="11" state="visible" r:id="rId13"/>
    <sheet name="MEKANİK BAKIM ONAR 11-A" sheetId="12" state="visible" r:id="rId14"/>
    <sheet name="MEKANİZMALAR 11-A" sheetId="13" state="visible" r:id="rId15"/>
    <sheet name="OTOMATİK KONTROL S 11-A" sheetId="14" state="visible" r:id="rId16"/>
    <sheet name="CNC TEZGÂHLARINDA  11-A" sheetId="15" state="visible" r:id="rId17"/>
    <sheet name="DİJİTAL TASARIM 11-A" sheetId="16" state="visible" r:id="rId18"/>
    <sheet name="KALIPLAMA TEKNİĞİ 11-A" sheetId="17" state="visible" r:id="rId19"/>
    <sheet name="MEKANİZMA ÇİZİMLER 12-A" sheetId="18" state="visible" r:id="rId20"/>
    <sheet name="HİDROLİK-PNÖMATİK 12-A" sheetId="19" state="visible" r:id="rId21"/>
    <sheet name="MAKİNE ELEMANLARI 12-A" sheetId="20" state="visible" r:id="rId22"/>
  </sheets>
  <definedNames>
    <definedName function="false" hidden="false" localSheetId="4" name="_xlnm.Print_Area" vbProcedure="false">'BAKIM ONARIM MESLE 10-A'!$A$1:$I$54</definedName>
    <definedName function="false" hidden="false" localSheetId="4" name="_xlnm.Print_Titles" vbProcedure="false">'BAKIM ONARIM MESLE 10-A'!$7:$7</definedName>
    <definedName function="false" hidden="false" localSheetId="14" name="_xlnm.Print_Area" vbProcedure="false">'CNC TEZGÂHLARINDA  11-A'!$A$1:$I$54</definedName>
    <definedName function="false" hidden="false" localSheetId="14" name="_xlnm.Print_Titles" vbProcedure="false">'CNC TEZGÂHLARINDA  11-A'!$7:$7</definedName>
    <definedName function="false" hidden="false" localSheetId="15" name="_xlnm.Print_Area" vbProcedure="false">'DİJİTAL TASARIM 11-A'!$A$1:$I$54</definedName>
    <definedName function="false" hidden="false" localSheetId="15" name="_xlnm.Print_Titles" vbProcedure="false">'DİJİTAL TASARIM 11-A'!$7:$7</definedName>
    <definedName function="false" hidden="false" localSheetId="18" name="_xlnm.Print_Area" vbProcedure="false">'HİDROLİK-PNÖMATİK 12-A'!$A$1:$I$54</definedName>
    <definedName function="false" hidden="false" localSheetId="18" name="_xlnm.Print_Titles" vbProcedure="false">'HİDROLİK-PNÖMATİK 12-A'!$7:$7</definedName>
    <definedName function="false" hidden="false" localSheetId="7" name="_xlnm.Print_Area" vbProcedure="false">'İMALAT YÖNTEMLERİ 10-A'!$A$1:$I$54</definedName>
    <definedName function="false" hidden="false" localSheetId="7" name="_xlnm.Print_Titles" vbProcedure="false">'İMALAT YÖNTEMLERİ 10-A'!$7:$7</definedName>
    <definedName function="false" hidden="false" localSheetId="16" name="_xlnm.Print_Area" vbProcedure="false">'KALIPLAMA TEKNİĞİ 11-A'!$A$1:$I$54</definedName>
    <definedName function="false" hidden="false" localSheetId="16" name="_xlnm.Print_Titles" vbProcedure="false">'KALIPLAMA TEKNİĞİ 11-A'!$7:$7</definedName>
    <definedName function="false" hidden="false" localSheetId="19" name="_xlnm.Print_Area" vbProcedure="false">'MAKİNE ELEMANLARI 12-A'!$A$1:$I$54</definedName>
    <definedName function="false" hidden="false" localSheetId="19" name="_xlnm.Print_Titles" vbProcedure="false">'MAKİNE ELEMANLARI 12-A'!$7:$7</definedName>
    <definedName function="false" hidden="false" localSheetId="5" name="_xlnm.Print_Area" vbProcedure="false">'MALZEME BİLGİSİ 10-A'!$A$1:$I$54</definedName>
    <definedName function="false" hidden="false" localSheetId="5" name="_xlnm.Print_Titles" vbProcedure="false">'MALZEME BİLGİSİ 10-A'!$7:$7</definedName>
    <definedName function="false" hidden="false" localSheetId="11" name="_xlnm.Print_Area" vbProcedure="false">'MEKANİK BAKIM ONAR 11-A'!$A$1:$I$54</definedName>
    <definedName function="false" hidden="false" localSheetId="11" name="_xlnm.Print_Titles" vbProcedure="false">'MEKANİK BAKIM ONAR 11-A'!$7:$7</definedName>
    <definedName function="false" hidden="false" localSheetId="17" name="_xlnm.Print_Area" vbProcedure="false">'MEKANİZMA ÇİZİMLER 12-A'!$A$1:$I$54</definedName>
    <definedName function="false" hidden="false" localSheetId="17" name="_xlnm.Print_Titles" vbProcedure="false">'MEKANİZMA ÇİZİMLER 12-A'!$7:$7</definedName>
    <definedName function="false" hidden="false" localSheetId="12" name="_xlnm.Print_Area" vbProcedure="false">'MEKANİZMALAR 11-A'!$A$1:$I$54</definedName>
    <definedName function="false" hidden="false" localSheetId="12" name="_xlnm.Print_Titles" vbProcedure="false">'MEKANİZMALAR 11-A'!$7:$7</definedName>
    <definedName function="false" hidden="false" localSheetId="2" name="_xlnm.Print_Area" vbProcedure="false">'MESLEKİ GELİŞİM AT 9A'!$A$1:$I$54</definedName>
    <definedName function="false" hidden="false" localSheetId="2" name="_xlnm.Print_Titles" vbProcedure="false">'MESLEKİ GELİŞİM AT 9A'!$7:$7</definedName>
    <definedName function="false" hidden="false" localSheetId="6" name="_xlnm.Print_Area" vbProcedure="false">'ÖLÇME VE KONTROL 10-A'!$A$1:$I$54</definedName>
    <definedName function="false" hidden="false" localSheetId="6" name="_xlnm.Print_Titles" vbProcedure="false">'ÖLÇME VE KONTROL 10-A'!$7:$7</definedName>
    <definedName function="false" hidden="false" localSheetId="13" name="_xlnm.Print_Area" vbProcedure="false">'OTOMATİK KONTROL S 11-A'!$A$1:$I$54</definedName>
    <definedName function="false" hidden="false" localSheetId="13" name="_xlnm.Print_Titles" vbProcedure="false">'OTOMATİK KONTROL S 11-A'!$7:$7</definedName>
    <definedName function="false" hidden="false" localSheetId="8" name="_xlnm.Print_Area" vbProcedure="false">'SOSYAL MEDYA 11-A'!$A$1:$I$54</definedName>
    <definedName function="false" hidden="false" localSheetId="8" name="_xlnm.Print_Titles" vbProcedure="false">'SOSYAL MEDYA 11-A'!$7:$7</definedName>
    <definedName function="false" hidden="false" localSheetId="0" name="_xlnm.Print_Area" vbProcedure="false">TAKVİM!$A$1:$F$49</definedName>
    <definedName function="false" hidden="false" localSheetId="3" name="_xlnm.Print_Area" vbProcedure="false">'TEKNİK RESİM 9A'!$A$1:$I$54</definedName>
    <definedName function="false" hidden="false" localSheetId="3" name="_xlnm.Print_Titles" vbProcedure="false">'TEKNİK RESİM 9A'!$7:$7</definedName>
    <definedName function="false" hidden="false" localSheetId="10" name="_xlnm.Print_Area" vbProcedure="false">'TEMEL ELEKTRİK BİL 11-A'!$A$1:$I$54</definedName>
    <definedName function="false" hidden="false" localSheetId="10" name="_xlnm.Print_Titles" vbProcedure="false">'TEMEL ELEKTRİK BİL 11-A'!$7:$7</definedName>
    <definedName function="false" hidden="false" localSheetId="1" name="_xlnm.Print_Area" vbProcedure="false">'TEMEL İMALAT İŞLEM 9A'!$A$1:$I$54</definedName>
    <definedName function="false" hidden="false" localSheetId="1" name="_xlnm.Print_Titles" vbProcedure="false">'TEMEL İMALAT İŞLEM 9A'!$7:$7</definedName>
    <definedName function="false" hidden="false" localSheetId="9" name="_xlnm.Print_Area" vbProcedure="false">'WEB UYGULAMALARI 11-A'!$A$1:$I$54</definedName>
    <definedName function="false" hidden="false" localSheetId="9" name="_xlnm.Print_Titles" vbProcedure="false">'WEB UYGULAMALARI 11-A'!$7:$7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<sst xmlns="http://schemas.openxmlformats.org/spreadsheetml/2006/main" count="5566" uniqueCount="3189">
  <si>
    <t xml:space="preserve">TAKVİM — Öğretim yılını seçin; tüm ders sayfalarındaki tarihler otomatik hesaplanır</t>
  </si>
  <si>
    <t xml:space="preserve">OKUL</t>
  </si>
  <si>
    <t xml:space="preserve">Soma Mesleki ve Teknik Anadolu Lisesi</t>
  </si>
  <si>
    <t xml:space="preserve">ÖĞRETİM YILI SEÇ</t>
  </si>
  <si>
    <t xml:space="preserve">2026-2027</t>
  </si>
  <si>
    <t xml:space="preserve">1.Yarıyıl Başlangıcı (elle değiştirilebilir)</t>
  </si>
  <si>
    <t xml:space="preserve">Not: Ramazan/Kurban Bayramı otomatik hesaplanamaz; resmî tatil haftalarının konumu (Ara Tatil/Yarıyıl Tatili) örnek 2026-2027 takvimine göre sabit varsayılmıştır.</t>
  </si>
  <si>
    <t xml:space="preserve">37 HAFTALIK ÇALIŞMA TAKVİMİ (Pazartesi tarihleri)</t>
  </si>
  <si>
    <t xml:space="preserve">Hafta No</t>
  </si>
  <si>
    <t xml:space="preserve">Pazartesi Tarihi</t>
  </si>
  <si>
    <t xml:space="preserve">Tarih Aralığı (görsel)</t>
  </si>
  <si>
    <t xml:space="preserve">Tatil mi?</t>
  </si>
  <si>
    <t xml:space="preserve">Tatil Adı</t>
  </si>
  <si>
    <t xml:space="preserve">HAYIR</t>
  </si>
  <si>
    <t xml:space="preserve">EVET</t>
  </si>
  <si>
    <t xml:space="preserve">1.DÖNEM ARA TATİL</t>
  </si>
  <si>
    <t xml:space="preserve">YARI YIL TATİLİ</t>
  </si>
  <si>
    <t xml:space="preserve">2. DÖNEM ARA TATİL</t>
  </si>
  <si>
    <t xml:space="preserve">GÜNLÜK DERS PLANI</t>
  </si>
  <si>
    <t xml:space="preserve">DERS</t>
  </si>
  <si>
    <t xml:space="preserve">TEMEL İMALAT İŞLEMLERİ</t>
  </si>
  <si>
    <t xml:space="preserve">ALAN/DAL</t>
  </si>
  <si>
    <t xml:space="preserve">Makine ve Tasarım Teknolojisi Alanı</t>
  </si>
  <si>
    <t xml:space="preserve">SINIF</t>
  </si>
  <si>
    <t xml:space="preserve">AMP 9A</t>
  </si>
  <si>
    <t xml:space="preserve">DERS SAATİ</t>
  </si>
  <si>
    <t xml:space="preserve">6 SAAT</t>
  </si>
  <si>
    <t xml:space="preserve">ÖĞRETMEN</t>
  </si>
  <si>
    <t xml:space="preserve">Ali Osman KOÇ</t>
  </si>
  <si>
    <t xml:space="preserve">DERS GÜNÜ SEÇ</t>
  </si>
  <si>
    <t xml:space="preserve">Cuma</t>
  </si>
  <si>
    <t xml:space="preserve">TARİH</t>
  </si>
  <si>
    <t xml:space="preserve">KONU</t>
  </si>
  <si>
    <t xml:space="preserve">KAZANIM</t>
  </si>
  <si>
    <t xml:space="preserve">GİRİŞ</t>
  </si>
  <si>
    <t xml:space="preserve">GELİŞME</t>
  </si>
  <si>
    <t xml:space="preserve">SONUÇ</t>
  </si>
  <si>
    <t xml:space="preserve">YÖNTEM VE TEKNİKLER</t>
  </si>
  <si>
    <t xml:space="preserve">ARAÇ VE GEREÇLER</t>
  </si>
  <si>
    <t xml:space="preserve">ÖLÇME-DEĞERLENDİRME</t>
  </si>
  <si>
    <t xml:space="preserve">EL İŞLEMLERİ - 1. Atölyede İş Güvenliği Tedbirleri</t>
  </si>
  <si>
    <t xml:space="preserve">1. Atölyede iş güvenliği tedbirlerini alır.
• Atölyede uyması gereken kurallar açıklanır.
• Tezgâhlardan meydana gelebilecek iş kazaları açıklanır.
• Çalışma sırasında meydana gelebilecek iş kazalarına karşı tedbirleri açıklanır.
• İş güvenliği ve emniyet kuralları açıklanır.</t>
  </si>
  <si>
    <t xml:space="preserve">Öğretim yılının ilk dersi olduğu için önceki bir konu tekrarı yapılmaz; bunun yerine öğrencilerle kısa bir tanışma yapılır ve atölyeye ilk kez giren öğrencilerin dikkati, atölyedeki tezgâh ve makinelerin taşıdığı riskler üzerine çekilir.</t>
  </si>
  <si>
    <t xml:space="preserve">Öğrenciler atölyede gezdirilerek her tezgâh/bölüm tek tek tanıtılır; iş güvenliği uyarı levhaları ve tehlikeli bölgeler (hareketli aksam, elektrik panosu) gösterilir. Öğrencilere kişisel koruyucu donanım (gözlük, eldiven, iş önlüğü) dağıtılarak doğru kullanımı uygulamalı gösterilir.</t>
  </si>
  <si>
    <t xml:space="preserve">Öğrencilerden atölye kurallarını kendi cümleleriyle özetlemeleri istenir; kısa bir sözlü doğru-yanlış değerlendirmesiyle pekiştirme yapılır ve gelecek hafta atölye temizlik-düzeni ile KKD konusunun devam edeceği belirtilir.</t>
  </si>
  <si>
    <t xml:space="preserve">Gösteri, Soru-Cevap, Programlı Öğretim, Bireyselleştirilmiş Öğretim, Temrin Çalışmaları</t>
  </si>
  <si>
    <t xml:space="preserve">Temel İmalat Atölyesi, torna tezgahları, freze tezgahları, matkap tezgahları, kesici takımlar, akıllı tahta</t>
  </si>
  <si>
    <t xml:space="preserve">1. Atölyede İş Güvenliği Tedbirleri</t>
  </si>
  <si>
    <t xml:space="preserve">1. Atölyede iş güvenliği tedbirlerini alır.
• Atölye temizlik ve düzeni açıklanır.
• Yapılan işe uygun iş elbiseleri ve kişisel koruyucu donanımları hazırlatılır.
• Yanıcı ve parlayıcı malzemelerin güvenli bir şekilde tutulması sağlanır.</t>
  </si>
  <si>
    <t xml:space="preserve">Geçen hafta işlenen genel iş güvenliği kuralları 2-3 soruyla kısaca hatırlatılır; bu hafta atölye temizliği, düzeni ve kişisel koruyucu donanımların ayrıntılarına odaklanılacağı söylenir.</t>
  </si>
  <si>
    <t xml:space="preserve">Atölyedeki yağ, talaş ve yanıcı-parlayıcı malzeme depolama alanları gösterilir; düzenli çalışma alanı oluşturma prensibi anlatılır. Öğrencilere iş elbisesi ve KKD giydirme uygulaması yaptırılır, yangın söndürme tüpünün yeri ve acil çıkış gösterilir.</t>
  </si>
  <si>
    <t xml:space="preserve">Öğrencilerden kendi tezgâh çevrelerini düzenlemeleri istenir, gözlemle kısa geri bildirim verilir.</t>
  </si>
  <si>
    <t xml:space="preserve">2. Düzlem Yüzey Eğeleme</t>
  </si>
  <si>
    <t xml:space="preserve">2. Verilen resme uygun olarak düzlem yüzey eğeleme yapar.
• Eğe çeşitleri sıralanır.
• İşi parçasını bağlama yöntemleri açıklanır.
• Düzlem yüzey kontrol aletleri sıralanır.
• Öğrencilerin doğru pozisyonda olmaları sağlanır.</t>
  </si>
  <si>
    <t xml:space="preserve">Eğeleme sırasında da güvenlik kurallarının geçerli olduğu (örn. dönen parça yokken eldiven takılabileceği) hatırlatılır; sınıfa düz, yarım yuvarlak, üçgen ve yassı eğe örnekleri getirilerek tanıtılır.</t>
  </si>
  <si>
    <t xml:space="preserve">Öğretmen önce mengeneye iş parçası bağlama işlemini, ardından doğru duruş ve eğe tutuşunu (iki elle, vücut açısıyla) gösterir; mihengir ile düzlem kontrolü örneklenir. Her öğrenci sırayla kendi iş parçasını mengeneye bağlar.</t>
  </si>
  <si>
    <t xml:space="preserve">Bir öğrencinin bağlama ve duruşu sınıfa örnek olarak gösterilir, görülen hatalar birlikte düzeltilir.</t>
  </si>
  <si>
    <t xml:space="preserve">Geçen hafta öğrenilen doğru duruş ve bağlama tekniği kısaca hatırlatılır; bu hafta gerçek parça üzerinde eğeleme uygulamasına geçileceği söylenir.</t>
  </si>
  <si>
    <t xml:space="preserve">Her öğrenciye standart bir çelik parça dağıtılır; düzlem yüzey eğeleme uygulaması öğretmen gözetiminde tek tek yaptırılır, mihengir ile ara kontroller yapılır, yanlış eğe açısı anında düzeltilir.</t>
  </si>
  <si>
    <t xml:space="preserve">Tamamlanan parçalar mihengirle kontrol edilip düzlük derecesine göre kısa sözlü geri bildirim verilir.</t>
  </si>
  <si>
    <t xml:space="preserve">3. Markalama Yapma</t>
  </si>
  <si>
    <t xml:space="preserve">3. Markalama ekipmanları ile verilen resme uygun olarak iş parçasını markalar.
• Markalamanın amacı üzerinde durulur.
• Markalama yöntemleri üzerinde durulur.</t>
  </si>
  <si>
    <t xml:space="preserve">Eğelemeden önce parça üzerine sınırların nasıl işaretleneceği sorulur; markalama kalemi, pergel, gönye ve nokta vurma çekici sınıfa getirilerek tanıtılır.</t>
  </si>
  <si>
    <t xml:space="preserve">Markalama boyası sürme, çizim aletleriyle imalat resmine göre çizgi çekme, pergelle daire/yay çizme ve nokta vurma çekiciyle işaretleri sabitleme adım adım gösterilir; öğrenciler kendi parçalarında markalama uygulaması yapar.</t>
  </si>
  <si>
    <t xml:space="preserve">Markalanan parçalar örnek resimle karşılaştırılır, ölçü sapmaları varsa birlikte incelenir.</t>
  </si>
  <si>
    <t xml:space="preserve">4. Profil Yüzey Eğeleme</t>
  </si>
  <si>
    <t xml:space="preserve">4. Verilen resme uygun olarak profil yüzey eğeleme işlemleri yapar.
• Profil yüzey eğeleme yöntemlerini açıklanır.
• Yüzey kontrol aletleri tanımlanır.
• İç ve dış yüzey eğeleme yaptırılır.
• Delik ve kanal eğeleme yaptırılır.
• Eğe ile pah kırma işlemi yaptırılır.</t>
  </si>
  <si>
    <t xml:space="preserve">Geçen haftaki markalama çizgilerinin bu hafta profil eğeleme sınırlarını belirlediği hatırlatılır; profil kontrolünde kullanılacak radyus ve açı mastarları gösterilir.</t>
  </si>
  <si>
    <t xml:space="preserve">İç ve dış profil yüzeylerin eğelenmesi, delik/kanal içi eğeleme ve pah kırma teknikleri sırasıyla gösterilir; öğrenciler markaladıkları parça üzerinde profil eğeleme uygulaması yapar.</t>
  </si>
  <si>
    <t xml:space="preserve">Profil mastarıyla kontrol edilip uygunluk değerlendirilir; eksik kalan öğrencilere gelecek hafta tamamlama süresi verileceği söylenir.</t>
  </si>
  <si>
    <t xml:space="preserve">4. Verilen resme uygun olarak profil yüzey eğeleme işlemleri yapar.
• Profil yüzey eğeleme yöntemlerini açıklanır.
• Yüzey kontrol aletleri tanımlanır.
• İç ve dış yüzey eğeleme yaptırılır.
• Delik ve kanal eğeleme yaptırılır.
• Eğe ile pah kırma işlemi yaptırılır.
29 EKİM Cumhuriyet Bayramı</t>
  </si>
  <si>
    <t xml:space="preserve">29 Ekim Cumhuriyet Bayramı nedeniyle kısa bir haftaya girildiği hatırlatılır; geçen haftaki profil eğeleme uygulamasına kaldığı yerden devam edileceği belirtilir.</t>
  </si>
  <si>
    <t xml:space="preserve">Yarım kalan profil eğeleme parçaları öğrencilere tamamlattırılır; hatalı yüzeyler için ince eğe ile son pas verme tekniği gösterilir.</t>
  </si>
  <si>
    <t xml:space="preserve">Tamamlanan parçalar teslim alınıp genel bir değerlendirme yapılır.</t>
  </si>
  <si>
    <t xml:space="preserve">5. Kesme İşlemleri Yapma</t>
  </si>
  <si>
    <t xml:space="preserve">5. Verilen resme uygun olarak kesme işlemlerini yapar.
• Testere ile kesmeyi tarif edilir.
• Testere ile kesme yaparken kazalardan korunma açıklanır.
• Keski ile kesme açıklanır.
• Keski çeşitleri sıralanır.
• Keski ile kesmede dikkat edilecek hususlar açıklanır.</t>
  </si>
  <si>
    <t xml:space="preserve">Eğelemeden önce büyük parçadan fazlalığın nasıl kesilerek uzaklaştırıldığı sorulur; el testeresi ve keski örnekleri sınıfa getirilir.</t>
  </si>
  <si>
    <t xml:space="preserve">El testeresiyle düz kesme, keskiyle yontma/kesme teknikleri gösterilir; kesme sırasında el ve göz güvenliği özellikle vurgulanır. Öğrenciler öğretmen gözetiminde kesme uygulaması yapar.</t>
  </si>
  <si>
    <t xml:space="preserve">Kesilen parçaların düzgünlüğü ölçüyle kontrol edilir.</t>
  </si>
  <si>
    <t xml:space="preserve">5. Verilen resme uygun olarak kesme işlemlerini yapar.
• Testere lamasını testere koluna doğru olarak bağlatılır.
• Güvenlik tedbirlerine dikkat ederek testere ile değişik kalınlık ve profildeki parçalar kestirilir.
• Düz keski ile keskileme yaptırılır.
• Kanal keskisi ile çeşitli kanallar açtırılır.
• El makası ile saç kesme yaptırılır.
• Kol makasları ile kesme yaptırılır.
10 KASIM Atatürk'ü Anma Günü ve Atatürk Haftası</t>
  </si>
  <si>
    <t xml:space="preserve">10 Kasım Atatürk'ü Anma Günü nedeniyle kısa bir anma yapıldıktan sonra derse geçilir; geçen haftaki temel kesme tekniği hatırlatılır.</t>
  </si>
  <si>
    <t xml:space="preserve">Testere lamasının doğru yönde bağlanması gösterilir; yuvarlak, kare ve lama profildeki parçaların kesimi uygulanır. Ardından düz keski ve kanal keskisiyle keskileme, el makası ve kol makasıyla sac kesme teknikleri sırayla gösterilip yaptırılır.</t>
  </si>
  <si>
    <t xml:space="preserve">Farklı kesme yöntemleriyle elde edilen örnekler karşılaştırılarak hangi yöntemin hangi malzeme/şekil için uygun olduğu sınıfça tartışılır.</t>
  </si>
  <si>
    <t xml:space="preserve">MALZEME - 1. Malzeme Seçme</t>
  </si>
  <si>
    <t xml:space="preserve">1. İşin özelliklerine göre uygun malzeme seçer.
• Malzeme ve özellikleri açıklanır.
• Metal ve metal alaşımlı malzemeler (Çelik, Alüminyum ve alaşımları, bakır ve alaşımları, dökme demir) üzerinde durulur.
• Metal olmayan malzemeler (Plastik ve kompozit malzemeler) üzerinde durulur.</t>
  </si>
  <si>
    <t xml:space="preserve">Ara tatil dönüşü kısa bir 'atölye kurallarını hatırlıyor musunuz' sorusuyla derse ısınma yapılır; bu hafta yeni ünite olan malzeme bilgisine geçileceği söylenir. Sınıfa çelik, alüminyum, bakır, dökme demir ve plastik numuneler getirilir.</t>
  </si>
  <si>
    <t xml:space="preserve">Numuneler elden ele dolaştırılarak renk, ağırlık ve manyetiklik gibi ayırt edici özellikler gösterilir; metal ve metal olmayan malzemeler tahtada karşılaştırmalı tablo hâlinde sınıflandırılır.</t>
  </si>
  <si>
    <t xml:space="preserve">Öğrencilerden ellerindeki numuneyi tanımlamaları istenerek kısa bir tanıma uygulaması yapılır.</t>
  </si>
  <si>
    <t xml:space="preserve">1. Malzeme Seçme</t>
  </si>
  <si>
    <t xml:space="preserve">1. İşin özelliklerine göre uygun malzeme seçer.
• İşe göre malzeme seçtirilir.
• Çelik standart katalogları kullandırılır.
• Çelik standartlarına göre malzeme seçtirilir.</t>
  </si>
  <si>
    <t xml:space="preserve">Geçen haftaki numunelerden çeliğin farklı türleri olduğu hatırlatılır; sınıfa standart çelik kataloğu getirilir.</t>
  </si>
  <si>
    <t xml:space="preserve">Çelik standart kataloğundan örnek okuma yapılır; verilen bir iş parçası için uygun çelik türünü kataloğdan seçme uygulaması grup çalışmasıyla yaptırılır.</t>
  </si>
  <si>
    <t xml:space="preserve">Gruplar seçtikleri malzemeyi gerekçeleriyle kısaca sınıfa sunar.</t>
  </si>
  <si>
    <t xml:space="preserve">2. Malzemeyi Test Etme</t>
  </si>
  <si>
    <t xml:space="preserve">2. Malzemeyi test eder.
• Malzeme muayene yöntemleri açıklanır.
• Sertlik ölçme tanımlanır.
• Sertlik ölçme yöntemleri örneklerle açıklanır.
• Malzeme muayene yöntemleri uygulanır.
• Sertlik ölçme yöntemleriyle test yaptırılır.</t>
  </si>
  <si>
    <t xml:space="preserve">Aynı görünümdeki iki metalin sertliğinin farklı olabileceği sorusuyla dikkat çekilir; sertlik ölçümünde kullanılan araçlar (eğe testi, varsa sertlik ölçüm cihazı) tanıtılır.</t>
  </si>
  <si>
    <t xml:space="preserve">Malzeme muayene ve sertlik ölçme yöntemleri (eğe testi, çentik testi, cihazla ölçüm) sırayla gösterilir; farklı malzeme numuneleri üzerinde öğrencilerle birlikte test uygulaması yapılır.</t>
  </si>
  <si>
    <t xml:space="preserve">Elde edilen sertlik sonuçları bir tabloya işlenip birlikte yorumlanır.</t>
  </si>
  <si>
    <t xml:space="preserve">DELME VE VİDA İŞLEMLERİ - 1. Matkap Bileme</t>
  </si>
  <si>
    <t xml:space="preserve">1. Bileme açılarına uygun olarak matkap ucunu biler.
• Zımpara tezgâhlarının özellikleri açıklanır.
• Zımpara tezgâhlarında çalışırken kullanılan koruyucu aletleri sıralanır.
• Matkap bilemede dikkat edilecek kuralları açıklanır.
• Zımpara taşı dayama tablasını kontrol eder ve ayar yaptırılır.
• Güvenlik kurallarına dikkat ederek matkap ucunu, taşa doğru açılı tutarak biletilir.
• Bilenen matkabın kontrolünü yaptırılır.
• Bilemede soğutma sıvısı kullandırılır.</t>
  </si>
  <si>
    <t xml:space="preserve">Delik delmeden önce matkap ucunun neden keskin olması gerektiği sorulur; körelmiş ve keskin matkap uçları karşılaştırmalı olarak gösterilir.</t>
  </si>
  <si>
    <t xml:space="preserve">Zımpara tezgâhının güvenli kullanımı ile matkap bileme açısı ve tekniği öğretmen tarafından gösterilir; öğrenciler nezaret altında kendi matkap uçlarını biler, soğutma sıvısı kullanımı özellikle vurgulanır.</t>
  </si>
  <si>
    <t xml:space="preserve">Bilenen matkap uçları gözle/büyüteçle kontrol edilip simetriklik açısından değerlendirilir.</t>
  </si>
  <si>
    <t xml:space="preserve">2. Delik Delme</t>
  </si>
  <si>
    <t xml:space="preserve">2. Matkap tezgâhında verilen resme uygun olarak delik deler.
• Matkap tezgâhları ve matkap çeşitleri açıklanır.
• Matkap bilemede dikkat edilecek hususlar açıklanır.
• Matkap tezgâhında soğutma sıvısı kullanarak çeşitli delik delme işlemleri yaptırılır.
• Matkap tezgâhında havşa açtırılır.</t>
  </si>
  <si>
    <t xml:space="preserve">Geçen hafta bilenen matkap uçlarının bu hafta kullanılacağı hatırlatılır; matkap tezgâhının kısımları gösterilir.</t>
  </si>
  <si>
    <t xml:space="preserve">Matkap tezgâhında iş parçası bağlama, soğutma sıvısı kullanarak delik delme ve havşa açma işlemleri adım adım gösterilip öğrencilere uygulatılır.</t>
  </si>
  <si>
    <t xml:space="preserve">Delinen deliklerin ölçüsü kumpasla kontrol edilir.</t>
  </si>
  <si>
    <t xml:space="preserve">2. Matkap tezgâhında verilen resme uygun olarak delik deler.
• Matkap tezgâhında soğutma sıvısı kullanarak çeşitli delik delme işlemleri yaptırılır.
• Matkap tezgâhında havşa açtırılır.</t>
  </si>
  <si>
    <t xml:space="preserve">Yılın son haftası öncesinde bu döneme kadar delinen parçalar kısaca gözden geçirilir; bu hafta farklı çaplarda delik delme uygulamasına devam edileceği belirtilir.</t>
  </si>
  <si>
    <t xml:space="preserve">Farklı matkap çapları ile kademeli delik delme ve havşa açma uygulaması tekrarlanarak pekiştirilir.</t>
  </si>
  <si>
    <t xml:space="preserve">Dönem içi delik delme becerileri genel olarak değerlendirilip eksik kalan noktalar not edilir.</t>
  </si>
  <si>
    <t xml:space="preserve">3. Rayba Çekme</t>
  </si>
  <si>
    <t xml:space="preserve">3. Verilen resme uygun olarak raybalama yapar.
• Rayba çeşitlerini sıralanır.
• Raybalama da işlem sırasını açıklanır.
• Güvenlik kurallarına dikkat ederek raybalama işlemleri yaptırır.</t>
  </si>
  <si>
    <t xml:space="preserve">Delinen bir deliğin bazen tam ölçüde ya da pürüzsüz olmayabileceği örneğiyle raybalamanın gerekliliği anlatılır; rayba örnekleri gösterilir.</t>
  </si>
  <si>
    <t xml:space="preserve">Rayba çeşitleri tanıtılır; delik ölçüsü kontrolü, yağlama ve düşük devirle çekme adımlarından oluşan raybalama işlem sırası gösterilir. Öğrenciler kendi deldikleri delikleri raybalar.</t>
  </si>
  <si>
    <t xml:space="preserve">Raybalanan deliklerin yüzey pürüzsüzlüğü ve ölçüsü kumpas/mastar ile kontrol edilir.</t>
  </si>
  <si>
    <t xml:space="preserve">4. Elle Kılavuz Çekme</t>
  </si>
  <si>
    <t xml:space="preserve">4. Verilen resme uygun olarak elle kılavuz çekme işlemleri yapar.
• Vida çeşitleri sıralanır.
• Kılavuzlar tanımlanır.
• Kılavuzlar kısımlarını açıklanır.
• Kılavuz çekmede dikkat edilecek hususlar açıklanır.
• Öğrencilerin kılavuz kullanırken kesme yağı kullanmaları sağlanır.</t>
  </si>
  <si>
    <t xml:space="preserve">Bir somuna nasıl diş açıldığı sorulur; kılavuz kolu ve kılavuz seti sınıfa getirilerek tanıtılır.</t>
  </si>
  <si>
    <t xml:space="preserve">Kılavuzun kısımları tanıtılır; kesme yağı kullanarak dik ve düzgün kılavuz çekme tekniği gösterilir. Öğrenciler kendi deldikleri deliklere kılavuz çeker.</t>
  </si>
  <si>
    <t xml:space="preserve">Açılan dişler uygun bir cıvata ile denenerek kontrol edilir.</t>
  </si>
  <si>
    <t xml:space="preserve">5. Elle Pafta Çekme</t>
  </si>
  <si>
    <t xml:space="preserve">5. Verilen resme uygun olarak elle pafta çekme işlemleri yapar.
• Paftayı tanımlar, pafta çeşitleri sıralanır.
• Pafta çekmede işlem sırası açıklanır.
• Paftayı doğru ağızlatır.
• Öğrencilerin pafta kullanırken kesme yağı kullanmaları sağlanır.</t>
  </si>
  <si>
    <t xml:space="preserve">Kılavuzun iç diş açtığı hatırlatılarak, dış diş (cıvata dişi) açmak için paftanın kullanıldığı anlatılır; pafta seti gösterilir.</t>
  </si>
  <si>
    <t xml:space="preserve">Pafta çeşitleri, doğru ağızlama ve kesme yağı kullanarak pafta çekme tekniği gösterilir; öğrenciler silindirik çubuklara pafta çeker.</t>
  </si>
  <si>
    <t xml:space="preserve">Açılan dişler somunla denenir; 1. dönem sonu genel bir değerlendirme yapılır.</t>
  </si>
  <si>
    <t xml:space="preserve">TEMEL TORNALAMA İŞLEMLERİ - 1. Torna Tezgâhlarını Tanıma</t>
  </si>
  <si>
    <t xml:space="preserve">1. Torna Tezgâhlarını tanır.
• Torna tezgâhı tanımlanır.
• Torna tezgâh çeşitlerini listelenir.
• Torna tezgâhlarında iş güvenliği önlemleri örneklerle açıklanır.</t>
  </si>
  <si>
    <t xml:space="preserve">2. dönemin ilk dersi olması nedeniyle 1. dönemde işlenen el aletleriyle imalatın kısa bir özeti yapılır; bu dönem torna tezgâhlarıyla imalatın öğrenileceği söylenir. Öğrenciler atölyedeki torna tezgâhına götürülür.</t>
  </si>
  <si>
    <t xml:space="preserve">Torna tezgâhının ana kısımları (ayna, punta, araba, kızak) tek tek gösterilir; tezgâh çeşitleri (üniversal, revolver) örneklerle anlatılır; bağlı kıyafet giymeme ve gözlük takma gibi iş güvenliği kuralları vurgulanır.</t>
  </si>
  <si>
    <t xml:space="preserve">Öğrencilerden tezgâh kısımlarını isimlendirmeleri istenerek kısa bir tanıma değerlendirmesi yapılır.</t>
  </si>
  <si>
    <t xml:space="preserve">1. Torna Tezgâhlarını Tanıma</t>
  </si>
  <si>
    <t xml:space="preserve">Geçen hafta tanıtılan torna tezgâhı kısımları kısaca hatırlatılır; bu hafta tezgâhın çalıştırılmasına odaklanılacağı söylenir.</t>
  </si>
  <si>
    <t xml:space="preserve">Tezgâhın açılıp kapatılması, devir ayarı ve ilerleme kolu kullanımı öğretmen tarafından gösterilir; öğrenciler nezaret altında tezgâhı boşta çalıştırır.</t>
  </si>
  <si>
    <t xml:space="preserve">Her öğrencinin tezgâhı güvenli şekilde açıp kapatabildiği gözlemlenerek not edilir.</t>
  </si>
  <si>
    <t xml:space="preserve">2. Kesici Takımları Hazırlamak ve Bağlama</t>
  </si>
  <si>
    <t xml:space="preserve">2. Kesici takımlarını hazırlar ve bağlar.
• Torna tezgâhında kullanılacak kesiciler sınıflandırılır.
• Torna kesicileri malzemelerine göre sınıflandırılır.
• Torna kesicilerini biçimlerine göre listeler, kaleme verilen kesme açıları açıklanır.</t>
  </si>
  <si>
    <t xml:space="preserve">Tornalama için 'bıçağın' (kalemin) nasıl olması gerektiği sorulur; alın, yan ve delik kalemi örnekleri sınıfa getirilir.</t>
  </si>
  <si>
    <t xml:space="preserve">Kalem malzemeleri (HSS, karbür uçlu) ve kesme açıları tanıtılır; kalemin kalem tutucuya punta ekseninde doğru yükseklikte bağlanması gösterilir. Öğrenciler kalem bağlama uygulaması yapar.</t>
  </si>
  <si>
    <t xml:space="preserve">Bağlanan kalemlerin punta eksenine göre doğru yükseklikte olup olmadığı birlikte kontrol edilir.</t>
  </si>
  <si>
    <t xml:space="preserve">Geçen haftaki kalem bağlama tekniği kısaca tekrarlanır; bu hafta farklı kalem tiplerinin hangi işlemde kullanılacağının üzerinde durulacağı belirtilir.</t>
  </si>
  <si>
    <t xml:space="preserve">Alın kalemi, yan kalem ve delik kaleminin kullanım yerleri karşılaştırmalı örneklerle gösterilir; öğrenciler farklı kalemleri sırayla bağlayıp sökme uygulaması yapar.</t>
  </si>
  <si>
    <t xml:space="preserve">Hangi kalemin hangi işlem için uygun olduğu sınıfça tartışılarak pekiştirilir.</t>
  </si>
  <si>
    <t xml:space="preserve">3. İş Parçalarını Bağlama</t>
  </si>
  <si>
    <t xml:space="preserve">3. İş Parçalarını tezgâha bağlar.
• İş parçasını tezgâha bağlama çeşitleri tarif edilir.
• Bağlama araçları sınıflandırılır.
• Komparatör ile iş parçasının salgı kontrolü açıklanır.
• Emniyetli bağlama kuralları açıklanır.
• Gerektiğinde bağlama aracı söktürülür veya taktırılır.
• İş kalıplarını aynaya bağlatılır.</t>
  </si>
  <si>
    <t xml:space="preserve">Tatil sonrası kısa bir hatırlatmayla derse başlanır; iş parçasının torna aynasına nasıl bağlandığı sorulur, üç ayaklı ayna gösterilir.</t>
  </si>
  <si>
    <t xml:space="preserve">Ayna ayaklarının sıkılması ve komparatörle salgı kontrolü öğretmen tarafından gösterilir; öğrenciler kendi iş parçalarını aynaya bağlayıp salgı kontrolü yapar.</t>
  </si>
  <si>
    <t xml:space="preserve">Salgısı en düşük bağlanan parça örnek gösterilerek sınıfça değerlendirilir.</t>
  </si>
  <si>
    <t xml:space="preserve">3. İş Parçalarını tezgâha bağlar.
• İş parçasını tezgâha bağlama çeşitleri tarif edilir.
• Bağlama araçları sınıflandırılır.
• Komparatör ile iş parçasının salgı kontrolü açıklanır.
• Emniyetli bağlama kuralları açıklanır.</t>
  </si>
  <si>
    <t xml:space="preserve">Geçen haftaki salgı kontrolü tekniği hatırlatılır; bu hafta farklı bağlama araçlarının (dört ayaklı ayna, mengene, iş kalıbı) tanıtılacağı söylenir.</t>
  </si>
  <si>
    <t xml:space="preserve">Dört ayaklı ayna ile merkezlenmemiş parça bağlama ve emniyetli bağlama kuralları gösterilir; öğrenciler farklı parçaları farklı yöntemlerle bağlama uygulaması yapar.</t>
  </si>
  <si>
    <t xml:space="preserve">Bağlama güvenliği açısından her öğrencinin parçası kontrol edilerek geri bildirim verilir.</t>
  </si>
  <si>
    <t xml:space="preserve">4. İş Parçası Üzerinde Tornalama İşlemleri Yapma</t>
  </si>
  <si>
    <t xml:space="preserve">4. İş parçası üzerinde tornalama işlemleri yapar.
• Alın tornalama işlemi açıklanır.
• Öğrencinin kesiciyi punta ekseninde bağlaması ve devir hesabı yapması sağlanır.
• İlerleme hızına dikkat edilerek, alın tornalama işlemi yaptırılır.
• Punta deliği açma tanımlanır.
• Öğrenciye uygun devirle punta deliği açtırılır.</t>
  </si>
  <si>
    <t xml:space="preserve">Aynaya bağlanan parçanın yüzeyinin nasıl düzgünleştirileceği sorulur; bitmiş ve bitmemiş alın yüzeyi karşılaştırmalı olarak gösterilir.</t>
  </si>
  <si>
    <t xml:space="preserve">Devir hesabı yapılarak alın tornalama tekniği gösterilir, öğrenciler kendi parçalarında alın tornalama uygulaması yapar; ardından merkezleme matkabıyla punta deliği açma gösterilip uygulatılır.</t>
  </si>
  <si>
    <t xml:space="preserve">Tornalanan alın yüzeyi düzlük açısından kontrol edilir.</t>
  </si>
  <si>
    <t xml:space="preserve">4. İş parçası üzerinde tornalama işlemleri yapar.
• Silindirik tornalama işlemini açıklanır.
• Uzun parçaları ayna punta arasında yapması gerektiği vurgulanır.
• Salgı kontrolü yapılarak, uygun devirle silindirik tornalama işlemi yaptırılır.
• Kademeli tornalamayı tanımlanır.
• Uygun devir ve ilerleme ile kademeli tornalama yaptırılır.
23 NİSAN Ulusal Egemenlik ve Çocuk Bayramı</t>
  </si>
  <si>
    <t xml:space="preserve">23 Nisan haftasına denk gelen bu haftada, geçen hafta açılan punta deliğinin uzun parça tornalamada kullanılacağı anlatılır; ayna-punta arası bağlama örneği gösterilir.</t>
  </si>
  <si>
    <t xml:space="preserve">Salgı kontrolüyle uygun devir seçilerek silindirik tornalama tekniği gösterilir; ardından farklı çaplarda kademe açma esasına dayanan kademeli tornalama uygulaması yaptırılır.</t>
  </si>
  <si>
    <t xml:space="preserve">Tornalanan silindirik ve kademeli yüzeyler kumpasla ölçülüp resme uygunluğu kontrol edilir.</t>
  </si>
  <si>
    <t xml:space="preserve">4. İş parçası üzerinde tornalama işlemleri yapar.
• Tornada kanal açma tanımlanır.
• Devir hesabı yapılarak, soğutma sıvısı kullandırılır.
• Tornada kanal açma işlemi yaptırılır.
• Konik tornalama tanımlanır.
• Konik hesabı yaptırılır.
• Uygun devir ve ilerleme ile konik tornalama yaptırılır.</t>
  </si>
  <si>
    <t xml:space="preserve">Bir milin üzerine segman/rulman oturması için kanal gerektiği örneğiyle dikkat çekilir; kanal kalemi gösterilir.</t>
  </si>
  <si>
    <t xml:space="preserve">Devir ve soğutma sıvısı kullanılarak kanal açma tekniği gösterilir; ardından üst kızak açısı ayarlama ve konik hesabına dayanan konik tornalama anlatılıp uygulatılır.</t>
  </si>
  <si>
    <t xml:space="preserve">Açılan kanal ölçüsü ve konik açısı mastarla kontrol edilir.</t>
  </si>
  <si>
    <t xml:space="preserve">4. İş parçası üzerinde tornalama işlemleri yapar.
• Tırtıl çekme tanımlanır.
• Tırtıl çekme işlemi yaptırılır.
• Torna tezgâhında kılavuz ve pafta çekme açıklanır.
• Torna tezgâhında kılavuz ve pafta çekme işlemi yaptırılır.</t>
  </si>
  <si>
    <t xml:space="preserve">Elle kavranacak parçalarda (tornavida sapı gibi) yüzeyin neden pürüzlendirildiği sorulur; tırtıl kalemi gösterilir.</t>
  </si>
  <si>
    <t xml:space="preserve">Tırtıl çekme tekniği gösterilip uygulatılır; ardından torna tezgâhında düşük devirle kılavuz ve pafta çekme (elle çekmeden farkı vurgulanarak) gösterilir ve öğrencilere uygulatılır.</t>
  </si>
  <si>
    <t xml:space="preserve">Tırtıllı yüzey ve açılan diş kalitesi gözle ve elle kontrol edilir; dönem içi torna becerileri genel olarak değerlendirilir.</t>
  </si>
  <si>
    <t xml:space="preserve">TEMEL FREZELEME İŞLEMLERİ - 1. Freze Tezgâhlarını Tanıma</t>
  </si>
  <si>
    <t xml:space="preserve">1. Freze Tezgâhlarını tanır.
• Freze Tezgâhlarını tanımlanır.
• Freze tezgâhı çeşitlerini sınıflandırır.
• Freze tezgâhı kısımları sıralanır.
• Freze Tezgâhları çalışma sistemini açıklanır.
• Freze tezgâhlarında uyulacak iş güvenliği kuralları sıralanır.</t>
  </si>
  <si>
    <t xml:space="preserve">Torna ile silindirik parça işlendiği hatırlatılarak, düz/köşeli yüzeyler için freze tezgâhının kullanılacağı söylenir; öğrenciler freze tezgâhına götürülür.</t>
  </si>
  <si>
    <t xml:space="preserve">Freze tezgâhının kısımları (tabla, mil, kafa), çeşitleri (yatay/dikey) ve çalışma sistemi gösterilir; dönen çakıya yaklaşmama ve koruyucu kullanma gibi iş güvenliği kuralları vurgulanır.</t>
  </si>
  <si>
    <t xml:space="preserve">Tezgâh kısımları isimlendirme sorularıyla pekiştirilir.</t>
  </si>
  <si>
    <t xml:space="preserve">1. Freze Tezgâhlarını Tanıma</t>
  </si>
  <si>
    <t xml:space="preserve">1. Freze Tezgâhlarını tanır.
• Freze tezgâhı panosunu kullandırır.
• Freze tezgâhında yapılabilecek işleri tasarlatır.
• Freze tezgâhı devir sayısını ayarlatır.
• Freze tezgâhı ilerleme hızını ayarlatır.
• Freze tezgâhı tablasına mengene bağlatır.
• Freze tezgâhına kesiciyi bağlatır.
• Freze tezgâhının otomatik ayarlarını yaptırır.
• Öğrenci freze tezgâhını çalıştırır.</t>
  </si>
  <si>
    <t xml:space="preserve">Geçen hafta tanıtılan freze tezgâhı kısımları hatırlatılır; bu hafta tezgâhın pratik kullanımına geçileceği belirtilir.</t>
  </si>
  <si>
    <t xml:space="preserve">Kontrol panosu, devir/ilerleme ayarı, mengene bağlama, kesici bağlama ve otomatik ilerleme ayarları öğretmen tarafından gösterilir; öğrenciler nezaret altında tezgâhı adım adım çalıştırır.</t>
  </si>
  <si>
    <t xml:space="preserve">Her öğrencinin tezgâhı güvenli şekilde başlatıp durdurabildiği gözlemlenir.</t>
  </si>
  <si>
    <t xml:space="preserve">2. Kesicileri Bağlama</t>
  </si>
  <si>
    <t xml:space="preserve">2. Kesicileri bağlar.
• Freze çakıları biçimlerine göre tanıtılır ve kullanıldığı yerler açıklanır.
• Freze çakılarını yapıldığı malzemelere göre sıralanır.
• Freze çakılarını tezgâha bağlama tekniklerini açıklanır.
• İşe uygun özellikte freze çakısı seçtirilir.
• Çakıya uygun bağlama aracını seçtirilir.
• Malafa ve başlığı tezgâha bağlatılır.
• Dönüş yönünü dikkate alarak frezeyi takım tutucuya bağlatılır.
19 MAYIS Atatürk'ü Anma Gençlik ve Spor Bayramı</t>
  </si>
  <si>
    <t xml:space="preserve">19 Mayıs haftasına denk gelen bu haftada, torna kaleminden farklı olarak frezede 'çakı' kullanıldığı hatırlatılır; parmak, disk ve köşe çakısı örnekleri sınıfa getirilir.</t>
  </si>
  <si>
    <t xml:space="preserve">Çakı malzemeleri ve kullanım yerleri anlatılır; malafa ve başlığa çakı bağlama, dönüş yönüne göre takım tutucuya bağlama teknikleri gösterilir. Öğrenciler çakı bağlama uygulaması yapar.</t>
  </si>
  <si>
    <t xml:space="preserve">Bağlanan çakının sıkılığı ve dönüş yönü birlikte kontrol edilir.</t>
  </si>
  <si>
    <t xml:space="preserve">2. Kesicileri bağlar.
• Freze çakıları biçimlerine göre tanıtılır ve kullanıldığı yerler açıklanır.
• Freze çakılarını yapıldığı malzemelere göre sıralanır.
• Freze çakılarını tezgâha bağlama tekniklerini açıklanır.</t>
  </si>
  <si>
    <t xml:space="preserve">Geçen hafta bağlanan çakı çeşitleri kısaca hatırlatılır; bu hafta farklı çakı-malzeme uyumuna odaklanılacağı belirtilir.</t>
  </si>
  <si>
    <t xml:space="preserve">Çelik ve alüminyum gibi farklı iş parçası malzemelerine göre uygun çakı seçimi karşılaştırmalı örneklerle gösterilir; öğrenciler seçim uygulaması yapar.</t>
  </si>
  <si>
    <t xml:space="preserve">Seçilen çakı-malzeme eşleşmeleri sınıfça tartışılarak değerlendirilir.</t>
  </si>
  <si>
    <t xml:space="preserve">3. İş Parçalarını tezgâha bağlar.
• İş parçalarını freze tezgâhına bağlama şekilleri örneklerle izah edilir.
• Mengenenin tezgâha bağlanma teknikleri açıklanır.
• Komparatör ile mengenenin tezgâha bağlanması örnekle açıklanır.
• İşlerin tezgâha mengene ile bağlama tekniği açıklanır.
• İşlerin tezgâha pabuç ve cıvatalarla bağlama tekniği açıklanır.</t>
  </si>
  <si>
    <t xml:space="preserve">Frezede parçanın torna aynası yerine mengeneyle bağlandığı hatırlatılır; freze mengenesi gösterilir.</t>
  </si>
  <si>
    <t xml:space="preserve">Mengenenin tezgâha bağlanması, komparatörle paralellik kontrolü, pabuç ve cıvatalarla doğrudan tabla bağlama teknikleri gösterilir; öğrenciler uygulama yapar.</t>
  </si>
  <si>
    <t xml:space="preserve">Bağlanan parçaların paralelliği komparatörle kontrol edilir.</t>
  </si>
  <si>
    <t xml:space="preserve">3. İş Parçalarını tezgâha bağlar.
• Özel bağlama kalıp ve araçlarıyla bağlama açıklanır.
• Divizörle iş parçasını bağlama tarif eder.
• Döner tablayla iş parçasını bağlama açıklanır.
• Mengeneyi tezgâha bağlatılır.
• Mengene paralelliğini komparatör ile kontrol ettirilir.
• İşleri tezgâh mengenesine bağlatılır.
• İşleri tezgâh tablasına pabuç ve cıvatalarla bağlatılır.
• Divizörle iş parçasını bağlatılır.
• Döner tablayla iş parçasını bağlatılır.</t>
  </si>
  <si>
    <t xml:space="preserve">Standart mengene dışında özel şekilli parçalar için başka bağlama yöntemleri gerektiği sorulur; divizör ve döner tabla gösterilir.</t>
  </si>
  <si>
    <t xml:space="preserve">Divizörle ve döner tablayla iş parçası bağlama teknikleri gösterilip öğrencilere uygulatılır.</t>
  </si>
  <si>
    <t xml:space="preserve">Yıl sonuna yaklaşırken öğrenilen bağlama yöntemleri genel olarak gözden geçirilir.</t>
  </si>
  <si>
    <t xml:space="preserve">4. Frezeleme İşlemleri Yapma</t>
  </si>
  <si>
    <t xml:space="preserve">4. Frezeleme işlemleri yapar.
• Düzlem yüzey frezeleme tekniği açıklanır.
• İmalat resmine uygunluğunu, kumpas ve gönye ile kontrolü açıklanır.
• Freze çakısı seçtirilir.
• Freze çakılarını freze tezgâhına malafa ile bağlatılır.
• İş parçalarını özelliklerine uygun bağlama araçları ile freze tezgâhına bağlatılır.
• İşe uygun talaş derinliği ve ilerleme ayarı yaptırılır.
• İş parçası malzemesine göre soğutma sıvısı kullandırılır.
• İşin imalat resmine uygunluğunu, ölçme ve kontrolü yaptırılır.</t>
  </si>
  <si>
    <t xml:space="preserve">Şimdiye kadar tezgâh tanıma ve bağlamanın öğrenildiği, bu hafta gerçek frezeleme işlemine geçileceği söylenir.</t>
  </si>
  <si>
    <t xml:space="preserve">Düzlem yüzey frezeleme tekniği, çakı seçimi, talaş derinliği/ilerleme ayarı ve soğutma sıvısı kullanımı gösterilir; öğrenciler kendi parçalarında düzlem yüzey frezeleme uygulaması yapar.</t>
  </si>
  <si>
    <t xml:space="preserve">Frezelenen yüzey kumpas ve gönye ile kontrol edilir.</t>
  </si>
  <si>
    <t xml:space="preserve">4. Frezeleme işlemleri yapar.
• Eğik yüzey frezeleme tanımlanır.
• Eğik yüzeye göre freze çakısı seçme açıklanır.
• Eğik yüzey frezeleme tekniği açıklanır.
• Düşey ve eğik yüzeylerin frezelenmesinde dikkat edilecek kuralları açıklanır.
• Eğik yüzey frezeleme için işleri freze tablasına bağlatır.
• Yüzeyin durumuna göre freze çakısı seçtirilir.
• İşe uygun tezgâh ayarı yaptırılır.
• Keskin yüzeylere pah kırdırılır.
• Ölçme ve kontrol yaptırılır.</t>
  </si>
  <si>
    <t xml:space="preserve">Geçen hafta düzlem yüzey işlendiği hatırlatılır; bu hafta eğik/açılı yüzeylerin nasıl frezeleneceği sorulur.</t>
  </si>
  <si>
    <t xml:space="preserve">Eğik yüzey frezeleme için tabla açısı ayarlama, uygun çakı seçimi ve pah kırma teknikleri gösterilir; öğrenciler uygulama yapar.</t>
  </si>
  <si>
    <t xml:space="preserve">Eğik yüzey açısı açı mastarıyla kontrol edilir.</t>
  </si>
  <si>
    <t xml:space="preserve">4. Frezeleme işlemleri yapar.
• Kanal açmak için iş parçasını, freze tezgâhı tablasına bağlama yöntemi açıklanır.
• Parmak freze ile cep açma açıklanır.
• Kanal açma için işi tablaya bağlatılır.
• Kanal durumu ve büyüklüğüne göre kanal freze çakısı seçtirir.
• Kanal açtırılır.
• Ölçme ve kontrol yaptırılır.</t>
  </si>
  <si>
    <t xml:space="preserve">Yılın son haftası olduğu, bugüne kadar öğrenilen tüm işlemlerin (eğeleme, delme, tornalama, frezeleme) kısa bir özetiyle derse başlanacağı söylenir.</t>
  </si>
  <si>
    <t xml:space="preserve">Kanal açmak için iş bağlama, kanal freze çakısı seçimi ve parmak freze ile cep açma teknikleri gösterilip öğrencilere son bir uygulama yaptırılır.</t>
  </si>
  <si>
    <t xml:space="preserve">Yıl boyunca yapılan parçalar toplu olarak değerlendirilir, öğrencilere yıl sonu dönütü verilir.</t>
  </si>
  <si>
    <t xml:space="preserve">AHMET AÇAR</t>
  </si>
  <si>
    <t xml:space="preserve">Alan Şefi / Öğretmen</t>
  </si>
  <si>
    <t xml:space="preserve">Okul Müdürü</t>
  </si>
  <si>
    <t xml:space="preserve">…./…./20…</t>
  </si>
  <si>
    <t xml:space="preserve">UYGUNDUR</t>
  </si>
  <si>
    <t xml:space="preserve">MESLEKİ GELİŞİM ATÖLYESİ</t>
  </si>
  <si>
    <t xml:space="preserve">2 SAAT</t>
  </si>
  <si>
    <t xml:space="preserve">MESLEK ETİĞİ VE AHİLİK - 1. Kurallar ve İşlevi</t>
  </si>
  <si>
    <t xml:space="preserve">1. Kuralların gerekliliğini ve işlevini toplumsal fayda açısından tartışır.
• Sınıf ortamında sunum yapmalarına yönelik bir etkinlik planlanarak öğrencilerin iletişim engellerini deneyimlemeleri sağlanır.
• Öğrencilerin, etkili iletişim için sınıfta uyulması gereken kurallara arkadaşlarıyla birlikte karar vermeleri sağlanır.
• Öğrencilerle birlikte oluşturulacak sınıf anlaşmasının görünür ve kalıcı olması için gerekli önlemler alınır.</t>
  </si>
  <si>
    <t xml:space="preserve">Öğretim yılının ilk dersi olduğu için önceki bir konu tekrarı yapılmaz; bunun yerine öğrencilere kısaca kendilerini tanıtmaları için söz verilir ve sınıfta neden ortak kurallara ihtiyaç duyulduğu sorusu ile derse başlanır.</t>
  </si>
  <si>
    <t xml:space="preserve">Öğrencilerden kısa süreli sunum yapmaları istenerek bir iletişim engeli yaşama deneyimi yaşatılır; ardından bu deneyim üzerinden etkili iletişim için sınıfta uyulması gereken kurallar öğrencilerle birlikte tartışılarak belirlenir ve panoya asılacak bir 'sınıf anlaşması' hazırlanır.</t>
  </si>
  <si>
    <t xml:space="preserve">Hazırlanan sınıf anlaşması yüksek sesle okunup tüm öğrencilerin onayı alınır; anlaşmanın sınıfta görünür bir yere asılacağı belirtilir.</t>
  </si>
  <si>
    <t xml:space="preserve">Soru-Cevap, Grup Çalışması, Tartışma, Proje Tabanlı Öğrenme, Bireyselleştirilmiş Öğretim</t>
  </si>
  <si>
    <t xml:space="preserve">Etkileşimli tahta/projeksiyon, mesleki gelişim dersi tasarım odaklı çalışma defteri, internet, kütüphane</t>
  </si>
  <si>
    <t xml:space="preserve">2. Meslek Etiği ve Ahilik İle İlgili Temel Kavramlar</t>
  </si>
  <si>
    <t xml:space="preserve">2. Meslek etiği ve ahilik ile ilgili temel kavramları ve ahilik ilkelerini açıklar.
• Meslek etiği ve ahilik ile ilgili temel kavram ve ilkelerin görselleri sınıfta paylaşılarak bu kavramların hayatımızdaki yeri tartışılır.
• Öğrencilerin, meslek etiği ve ahilik ile ilgili örnek hikâyelerden hareketle ahilik ve meslek etiği ilkelerini kavraması sağlanır.</t>
  </si>
  <si>
    <t xml:space="preserve">Geçen hafta oluşturulan sınıf anlaşması kısaca hatırlatılır; bu hafta bu kuralların temelinde yatan 'meslek etiği' ve 'ahilik' kavramlarının işleneceği söylenir.</t>
  </si>
  <si>
    <t xml:space="preserve">Meslek etiği ve ahilikle ilgili görseller sınıfta projeksiyonla paylaşılır ve bu kavramların günlük hayattaki karşılıkları tartışılır; ardından ahilikle ilgili kısa bir örnek hikâye okunarak öğrencilerin ilkeleri kendi cümleleriyle ifade etmesi sağlanır.</t>
  </si>
  <si>
    <t xml:space="preserve">Öğrencilerden hikâyeden çıkardıkları bir ilkeyi tahtaya yazmaları istenir, sınıfça kısaca değerlendirilir.</t>
  </si>
  <si>
    <t xml:space="preserve">3. Ahiliğin Tarihsel Gelişimi</t>
  </si>
  <si>
    <t xml:space="preserve">3. Geçmişten günümüze meslek kuruluşları ve ahiliğin tarihsel gelişimini açıklar.
• Sınıfta ahilik teşkilatını anlatan örnek bir video izletilerek öğrencilerin ahiliğin temel ilke ve amaçlarını açıklaması sağlanır.
• Öğrencilerden, ahiliğin tarihçesi hakkında araştırma yapmaları ve elde ettikleri bilgileri sınıfta sunmaları istenir.</t>
  </si>
  <si>
    <t xml:space="preserve">Geçen hafta öğrenilen ahilik ilkeleri kısaca hatırlatılır; bu hafta ahiliğin tarihsel kökenlerinin inceleneceği söylenir.</t>
  </si>
  <si>
    <t xml:space="preserve">Sınıfta ahilik teşkilatını anlatan kısa bir video izletilir; video sonrası öğrencilerden ahiliğin temel ilke ve amaçlarını açıklamaları istenir. Ardından öğrencilere ahiliğin tarihçesiyle ilgili kısa bir araştırma görevi verilerek buldukları bilgileri sınıfta paylaşmaları sağlanır.</t>
  </si>
  <si>
    <t xml:space="preserve">Öğrenci sunumlarından çıkan ortak noktalar tahtada özetlenerek pekiştirme yapılır.</t>
  </si>
  <si>
    <t xml:space="preserve">İŞ SAĞLIĞI VE GÜVENLİĞİ - 1. Tasarım Odaklı Düşünme</t>
  </si>
  <si>
    <t xml:space="preserve">1. Tasarım odaklı düşünme yaklaşımının ilkelerini ve basamaklarını kullanır.
• Öğrencilerin, tasarım odaklı düşünmenin temel ilkelerini kavramaları sağlanır.
• Öğrenciler, ders dışı zamanlarda da süreci takip etmeleri için teşvik edilir.</t>
  </si>
  <si>
    <t xml:space="preserve">Ahilikte ustanın çırağa iş öğretme yönteminin aslında bir 'problem çözme' yaklaşımı olduğu vurgulanarak yeni ünite olan tasarım odaklı düşünmeye geçiş yapılır.</t>
  </si>
  <si>
    <t xml:space="preserve">Tasarım odaklı düşünmenin aşamaları (empati kurma, tanımlama, fikir üretme, prototip, test) örnek bir günlük hayat problemi üzerinden adım adım anlatılır; öğrencilere basit bir problem verilerek grup hâlinde ilk iki aşamayı (empati-tanımlama) uygulamaları istenir.</t>
  </si>
  <si>
    <t xml:space="preserve">Gruplardan problemi nasıl tanımladıkları kısaca sorulur; sürecin ders dışında da takip edilebileceği hatırlatılır.</t>
  </si>
  <si>
    <t xml:space="preserve">2. İş Sağlığı ve Güvenliğini Tehdit Eden Unsurlar</t>
  </si>
  <si>
    <t xml:space="preserve">2. İş yerinde sağlık ve güvenliği tehdit eden unsurları ve giderici tedbirleri açıklar.
• İş sağlığı ve güvenliği ile ilgili bir senaryo üzerinden işyerinde sağlık ve güvenliği tehdit eden unsurları analiz etmeleri sağlanır.
• Öğrencilerden, iş sağlığı ve güvenliğine uygun şartlar için dikkate alınması gereken unsurları bir sunumla açıklamaları istenir.</t>
  </si>
  <si>
    <t xml:space="preserve">Geçen hafta başlanan tasarım odaklı düşünme sürecinin iş sağlığı ve güvenliği alanında da kullanılabileceği söylenerek yeni konuya bağlanılır.</t>
  </si>
  <si>
    <t xml:space="preserve">İş sağlığı ve güvenliğini tehdit eden unsurları içeren kısa bir senaryo metni sınıfta okunur; öğrenciler gruplar hâlinde senaryodaki riskleri analiz eder ve bulgularını kısa bir sunumla sınıfa aktarır.</t>
  </si>
  <si>
    <t xml:space="preserve">Sunulan riskler ortak bir listede toplanarak hangilerinin atölyede de geçerli olduğu tartışılır.</t>
  </si>
  <si>
    <t xml:space="preserve">3. İş Yerinde Ortaya Çıkabilecek Kaza, Yaralanma ve Yangınlara Karşı Alınması Gereken Tedbirler</t>
  </si>
  <si>
    <t xml:space="preserve">3. İş yerinde ortaya çıkabilecek kaza, yaralanma ve yangınlara karşı alınması gereken tedbirleri açıklar.
• Öğrencilerin, gözlem, görüşme gibi veri toplama yöntemleriyle iş yerlerinde veya atölyelerde alınan tedbirler hakkında bilgi sahibi olmaları sağlanır.</t>
  </si>
  <si>
    <t xml:space="preserve">Geçen haftaki risk analizi hatırlatılarak, bu hafta bu risklerin kaza/yaralanma/yangına dönüşmemesi için alınan tedbirlerin araştırılacağı söylenir.</t>
  </si>
  <si>
    <t xml:space="preserve">Öğrenciler küçük gruplara ayrılır; her grup okuldaki atölyelerden birini gözlemleyip orada alınan güvenlik tedbirlerini not eder (yangın tüpü, acil çıkış, ilk yardım dolabı vb.), gerekirse atölye sorumlusuyla kısa bir görüşme yapar.</t>
  </si>
  <si>
    <t xml:space="preserve">Gruplar topladıkları bilgileri sınıfta kısaca paylaşır, eksik gördükleri bir tedbir varsa not edilir.</t>
  </si>
  <si>
    <t xml:space="preserve">4. Meslek Hastalıkları ve Alınması Gereken Önlemler</t>
  </si>
  <si>
    <t xml:space="preserve">4. Meslek hastalıklarının sebeplerini, alınması gereken önlemleri açıklar.
• Öğrencilerin, meslek hastalıkları ile ilgili bir senaryo aracılığıyla meslek hastalıkları ile güvenli atölye ortamı arasındaki ilişkiyi kavramaları sağlanır.
29 EKİM Cumhuriyet Bayramı</t>
  </si>
  <si>
    <t xml:space="preserve">29 Ekim Cumhuriyet Bayramı nedeniyle kısa bir haftaya girildiği hatırlatılır; geçen haftaki güvenlik tedbirlerinin bu hafta meslek hastalıklarıyla ilişkilendirileceği söylenir.</t>
  </si>
  <si>
    <t xml:space="preserve">Meslek hastalıklarıyla ilgili kısa bir senaryo (örneğin uzun süre gürültülü ortamda çalışma) sınıfta okunur; öğrenciler bu senaryo üzerinden güvenli atölye ortamı ile meslek hastalıkları arasındaki ilişkiyi tartışır.</t>
  </si>
  <si>
    <t xml:space="preserve">Tartışmadan çıkan önlemler kısaca tahtaya listelenir.</t>
  </si>
  <si>
    <t xml:space="preserve">5. Bireysel İSG Planlaması ile Öğrenme Sorumluluğu Alma</t>
  </si>
  <si>
    <t xml:space="preserve">• Bireysel olarak İSG ile ilgili fikirlerini planlayarak kendi öğrenmesinin sorumluluğunu alır.
• İSG ile ilgili önlem ve tedbirleri artırmak için bir senaryodan yola çıkarak kendi önerilerini geliştirmeleri ve süreçte sorumluluk almaları sağlanır.</t>
  </si>
  <si>
    <t xml:space="preserve">Şimdiye kadar dışarıdan verilen senaryolarla çalışıldığı, bu hafta öğrencilerin kendi İSG önerilerini geliştireceği söylenir.</t>
  </si>
  <si>
    <t xml:space="preserve">Öğrencilere kısa bir senaryo verilerek, bu senaryodaki İSG sorununa yönelik kendi önerilerini bireysel olarak yazılı hâle getirmeleri istenir; ardından birkaç öğrenci önerisini sınıfla paylaşır.</t>
  </si>
  <si>
    <t xml:space="preserve">Paylaşılan öneriler arasındaki ortak noktalar vurgulanarak bireysel sorumluluk kavramı pekiştirilir.</t>
  </si>
  <si>
    <t xml:space="preserve">6. İSG Grup Çalışmalarının Yazılı ve Sözlü İfadesi - 7. İSG Grup Çalışmalarında İşbirliğinin Önemi - 8. İSG Grup Çalışmalarında Ekip Ruhunun Önemi</t>
  </si>
  <si>
    <t xml:space="preserve">• İSG ile ilgili yapılan grup çalışmasında kendini yazılı ve sözlü ifade eder.
• İSG ile ilgili yapılan grup çalışmasında arkadaşları ile iş birliği içinde çalışır.
• İSG ile ilgili bir senaryo çerçevesinde kendisinin ve grup arkadaşlarının güçlü ve zayıf yanlarını belirler.
10 KASIM Atatürk'ü Anma Günü ve Atatürk Haftası</t>
  </si>
  <si>
    <t xml:space="preserve">10 Kasım Atatürk'ü Anma Günü nedeniyle kısa bir anma yapıldıktan sonra derse geçilir; bu hafta İSG konusunun grup çalışmasıyla pekiştirileceği söylenir.</t>
  </si>
  <si>
    <t xml:space="preserve">Öğrenciler küçük gruplara ayrılarak bir İSG senaryosu üzerinde çalışır; her grup üyesinin görev alması sağlanır, grup içi güçlü/zayıf yönlerin belirlenmesi için kısa bir öz değerlendirme formu doldurulur.</t>
  </si>
  <si>
    <t xml:space="preserve">Gruplar çalışmalarını kısaca sözlü olarak sınıfa sunar; işbirliği ve ekip çalışmasının önemi vurgulanarak dönem içi ilk ünite tamamlanır.</t>
  </si>
  <si>
    <t xml:space="preserve">TEKNOLOJİK GELİŞMELER VE ENDÜSTRİYEL DÖNÜŞÜM - 1. Teknolojik Gelişmeler ve Endüstriyel Dönüşüm İle İlgili Kavramlar</t>
  </si>
  <si>
    <t xml:space="preserve">1. Teknolojik gelişmeler ve endüstriyel dönüşüm ile ilgili kavramları açıklar.
• Öğrencilerin, teknolojinin ne anlama geldiği üzerine verilen farklı görüşleri değerlendirerek kendi teknoloji tanımlarını bir e-posta yazarak açıklamaları sağlanır.
• Öğrencilerin, farklı endüstriyel dönemlerdeki yenilikleri sınıflandırarak arkadaşları ile iş birliği içerisinde endüstriyel değişim ile ilgili kavramları açıklamaları sağlanır.</t>
  </si>
  <si>
    <t xml:space="preserve">Ara tatil dönüşü kısa bir hoş geldin sohbetinin ardından, cep telefonlarının 20 yıl önceki hâliyle şimdiki hâli karşılaştırılarak teknolojik değişim konusuna dikkat çekilir.</t>
  </si>
  <si>
    <t xml:space="preserve">Öğrencilerden kendi teknoloji tanımlarını kısa bir yazıyla (e-posta formatında) ifade etmeleri istenir; ardından farklı endüstriyel dönemlerdeki (buhar makinesi, elektrik, bilgisayar, dijitalleşme) yenilikler gruplar hâlinde sınıflandırılır.</t>
  </si>
  <si>
    <t xml:space="preserve">Gruplar oluşturdukları sınıflandırmayı kısaca paylaşır, ortak bir zaman çizelgesi oluşturulur.</t>
  </si>
  <si>
    <t xml:space="preserve">2. Endüstriyel Değişimin ve Dönüşümün Tarihsel Gelişimi - 3. Dünyada ve Ülkemizdeki Teknolojik Gelişmeler</t>
  </si>
  <si>
    <t xml:space="preserve">2. Geçmişten günümüze endüstriyel değişimin ve dönüşümün tarihsel gelişimini açıklar.
3. Ülkemizdeki ve dünyadaki teknolojik gelişmeleri değerlendirir.
• Öğrencilerin, verilen metinler üzerinden farklı endüstriyel dönemleri değerlendirmeleri sağlanır.</t>
  </si>
  <si>
    <t xml:space="preserve">Geçen hafta oluşturulan endüstriyel dönemler zaman çizelgesi hatırlatılır; bu hafta bu dönemlerin tarihsel gelişiminin ayrıntılı inceleneceği söylenir.</t>
  </si>
  <si>
    <t xml:space="preserve">Endüstriyel dönemleri anlatan kısa metinler öğrencilere dağıtılır; öğrenciler bu metinleri okuyup kendi dönemlerini sınıfa özetler, ardından ülkemizdeki ve dünyadaki güncel teknolojik gelişmelerden örnekler tartışılır.</t>
  </si>
  <si>
    <t xml:space="preserve">Hangi dönemin günümüz endüstrisine en çok katkı sağladığı kısaca oylanır ve tartışılır.</t>
  </si>
  <si>
    <t xml:space="preserve">4. Teknolojik Gelişmeler ve Endüstriyel Dönüşüm ile İlgili Grup Çalışması - 5. Teknolojik Gelişmeler ve Endüstriyel Dönüşüm ile İlgili İletişim Araçlarını Kullanma</t>
  </si>
  <si>
    <t xml:space="preserve">• Teknolojik gelişmeler ve endüstriyel dönüşüm ile ilgili farklı fikirleri ve düşünceleri dikkate alır.
• Teknolojik gelişmeler ve endüstriyel dönüşüm ile ilgili verilen yönergeye uygun iletişim araçlarını kullanır.</t>
  </si>
  <si>
    <t xml:space="preserve">Geçen haftaki tartışmada farklı görüşlerin ortaya çıktığı hatırlatılarak, bu hafta farklı fikirleri dikkate almanın öneminin işleneceği söylenir.</t>
  </si>
  <si>
    <t xml:space="preserve">Öğrenciler küçük gruplara ayrılarak verilen bir yönergeye göre (poster, sunum, kısa video vb.) teknolojik gelişmeleri anlatan bir iletişim aracı hazırlar; farklı grupların farklı iletişim araçlarını seçmesi teşvik edilir.</t>
  </si>
  <si>
    <t xml:space="preserve">Gruplar hazırladıkları materyali kısaca tanıtır; hangi iletişim aracının hangi mesaj için daha etkili olduğu tartışılır.</t>
  </si>
  <si>
    <t xml:space="preserve">6. Teknolojinin Kullanımı ile İlgili Sunu Hazırlama - 7. Teknolojik Gelişmeler ve Endüstriyel Dönüşüm ile İlgili Grup Çalışmaları ve İşbirliği</t>
  </si>
  <si>
    <t xml:space="preserve">• Teknolojinin kullanımı ile ilgili bir sunumda sözlü iletişimi destekleyen sözsüz iletişim unsurlarının önemini tartışır.
• Teknolojik gelişmeler ve endüstriyel dönüşüm ile ilgili grup çalışmaları sırasında arkadaşları ile iş birliği içinde çalışır.</t>
  </si>
  <si>
    <t xml:space="preserve">Geçen hafta hazırlanan sunum materyalleri hatırlatılarak, bir sunumda sadece söylenen sözlerin değil beden dilinin de önemli olduğu sorusu ile dikkat çekilir.</t>
  </si>
  <si>
    <t xml:space="preserve">Kısa bir sunum videosu izletilerek sözsüz iletişim unsurları (göz teması, duruş, ses tonu) üzerinde durulur; öğrenciler gruplar hâlinde geçen haftaki materyallerini bu unsurları dikkate alarak yeniden sunar.</t>
  </si>
  <si>
    <t xml:space="preserve">Sunumlar sırasında gözlemlenen olumlu sözsüz iletişim örnekleri sınıfça paylaşılır.</t>
  </si>
  <si>
    <t xml:space="preserve">8. Teknolojik Gelişmeler ve Endüstriyel Dönüşüm ile İlgili Fikir Planlama ve Öğrenme Sorumluluğu Alma - 9. Teknolojik Gelişmeler ve Endüstriyel Dönüşüm ile İlgili Grup Çalışmalarının Yazılı ve Sözlü İfadesi</t>
  </si>
  <si>
    <t xml:space="preserve">• Bireysel olarak teknolojik gelişmeler ve endüstriyel dönüşüm ile ilgili fikirlerini planlayarak kendi öğrenmesinin sorumluluğunu alır.
• Teknolojik gelişmeler ve endüstriyel dönüşüm ile ilgili yapılan grup çalışmasında kendini ve öğrendiklerini yazılı ve sözlü ifade eder.</t>
  </si>
  <si>
    <t xml:space="preserve">Geçen haftaki grup sunumları hatırlatılarak, bu hafta bireysel öğrenme sorumluluğuna odaklanılacağı söylenir.</t>
  </si>
  <si>
    <t xml:space="preserve">Her öğrenciden teknolojik gelişmeler konusunda kendi ilgisini çeken bir alt başlığı seçip kısa bir plan yapması istenir; ardından grup çalışmasında öğrendiklerini hem yazılı hem sözlü olarak ifade etmeleri için kısa bir değerlendirme formu doldurulur.</t>
  </si>
  <si>
    <t xml:space="preserve">Birkaç öğrencinin planı sınıfla paylaşılır, geri bildirim verilir.</t>
  </si>
  <si>
    <t xml:space="preserve">10. Teknolojinin Kullanımında Sözsüz İletişim Unsurlarının Analizi - 11. Teknolojik Gelişmeler ve Endüstriyel Dönüşüm ile İlgili Problem Çözme</t>
  </si>
  <si>
    <t xml:space="preserve">• Teknolojinin kullanımı ile ilgili örnek bir videoyu sözsüz iletişim unsurları açısından analiz eder.
• Teknolojik gelişmeler ve endüstriyel dönüşüm ile ilgili problemleri çözer.</t>
  </si>
  <si>
    <t xml:space="preserve">Yıl sonuna yaklaşılırken, önceki haftalarda izlenen sunum videosu tekrar hatırlatılarak sözsüz iletişim unsurlarının daha ayrıntılı analiz edileceği söylenir.</t>
  </si>
  <si>
    <t xml:space="preserve">Teknolojinin kullanımıyla ilgili örnek bir video sözsüz iletişim unsurları açısından öğrencilerle birlikte analiz edilir; ardından teknolojik gelişmelerle ilgili küçük bir problem senaryosu verilerek çözüm yolları tartışılır.</t>
  </si>
  <si>
    <t xml:space="preserve">Bulunan çözüm yolları kısaca sınıfta paylaşılıp değerlendirilir.</t>
  </si>
  <si>
    <t xml:space="preserve">12. Teknolojik Gelişmeler ve Endüstriyel Dönüşüm İle İlgili Benzerlik ve Farklılıkları Sınıflandırma</t>
  </si>
  <si>
    <t xml:space="preserve">• Teknolojik gelişmeler ve endüstriyel dönüşüm ile ilgili verilenleri benzerlik ve farklılıklara göre sınıflandırır.</t>
  </si>
  <si>
    <t xml:space="preserve">Geçen haftaki problem çözme çalışması hatırlatılarak, bu hafta farklı teknolojik gelişmelerin birbirleriyle karşılaştırılacağı söylenir.</t>
  </si>
  <si>
    <t xml:space="preserve">Öğrencilere farklı teknolojik gelişmeleri (ör. buhar makinesi - elektrikli motor - yapay zekâ) içeren kartlar dağıtılır; öğrenciler bu kartları benzerlik ve farklılıklarına göre gruplandırır.</t>
  </si>
  <si>
    <t xml:space="preserve">Yapılan sınıflandırmalar sınıfça karşılaştırılır, ortak bir sınıflandırma üzerinde uzlaşılır.</t>
  </si>
  <si>
    <t xml:space="preserve">ÇEVRE KORUMA - 1. Çevre ile İlgili Kavramlar</t>
  </si>
  <si>
    <t xml:space="preserve">1. 'Azalt, yeniden kullan, geri dönüştür' ilkeleri çerçevesinde çevre ile ilgili kavramları açıklar.
• Öğrencilerin grup çalışması hâlinde atık ve çöp kavramları üzerine düşünmeleri sağlanır.
• Öğrencilerin, geri dönüşüm sembollerini, kodlarını ve işaretlerini fark ederek bunların temsil ettikleri anlamları kavramaları sağlanır.</t>
  </si>
  <si>
    <t xml:space="preserve">Teknolojik gelişmenin bir yandan da çevresel bir bedeli olduğu vurgulanarak yeni ünite olan çevre korumaya geçiş yapılır; sınıfa geri dönüşüm sembolü taşıyan birkaç ambalaj örneği getirilir.</t>
  </si>
  <si>
    <t xml:space="preserve">Öğrenciler gruplar hâlinde 'atık' ve 'çöp' kavramları arasındaki farkı tartışır; getirilen ambalaj örnekleri üzerindeki geri dönüşüm sembolleri ve kodları incelenerek anlamları çözülür.</t>
  </si>
  <si>
    <t xml:space="preserve">Her grup incelediği bir sembolü sınıfa tanıtır.</t>
  </si>
  <si>
    <t xml:space="preserve">2. İnsan Faaliyetlerinin Çevre Kirliliğine Etkileri - 3. Üretilen Atığın Bireysel Sorumluluğu</t>
  </si>
  <si>
    <t xml:space="preserve">2. İnsan faaliyetlerinin hava, su ve toprak kirliliğine etkisini açıklar.
3. Her bireyin ürettiği atığın sorumluluğunu almasının ülke ekonomisine ve yaban hayata katkısını araştırır.
• Öğrencilerin atık yönetiminde öncelik sırası üzerine düşünmeleri sağlanır.</t>
  </si>
  <si>
    <t xml:space="preserve">Geçen hafta incelenen geri dönüşüm sembolleri hatırlatılarak, bu hafta atıkların çevreye etkisine odaklanılacağı söylenir.</t>
  </si>
  <si>
    <t xml:space="preserve">İnsan faaliyetlerinin hava, su ve toprak kirliliğine etkisini gösteren kısa örnekler (görsel/haber) üzerinden tartışma yapılır; ardından atık yönetiminde öncelik sırası (azalt-yeniden kullan-geri dönüştür) üzerine grup çalışması yapılır.</t>
  </si>
  <si>
    <t xml:space="preserve">Grupların oluşturduğu öncelik sıraları karşılaştırılıp ortak sonuçlara varılır; 1. dönem sonu genel bir değerlendirme yapılır.</t>
  </si>
  <si>
    <t xml:space="preserve">4. Geri Dönüşüm Süreçleri - 5. Çevre Koruma ile İlgili Senaryo Çalışması - 6. Çevre Korumaya Yönelik Değerler</t>
  </si>
  <si>
    <t xml:space="preserve">• Çevresindeki ve kendi oluşturduğu atıkların farkına vararak geri dönüşüm süreçlerini açıklar.
• Çevre koruma ile ilgili verilen senaryo çalışmasında kendini yazılı ve sözlü olarak ifade eder.
• Sahip olduğu değerlerin çevre korumaya yönelik davranışlarına etkisini fark eder.</t>
  </si>
  <si>
    <t xml:space="preserve">Yarıyıl tatili dönüşü kısa bir hoş geldin sohbetiyle derse başlanır; geçen dönem sonunda işlenen atık yönetimi önceliği kısaca hatırlatılarak geri dönüşüm süreçlerine geçileceği söylenir.</t>
  </si>
  <si>
    <t xml:space="preserve">Öğrencilerden kendi evlerinde/çevrelerinde oluşturdukları atıkları düşünmeleri istenir; geri dönüşüm süreçleri anlatılır. Ardından çevre koruma temalı bir senaryo verilerek öğrencilerin kendilerini yazılı ve sözlü ifade etmesi sağlanır.</t>
  </si>
  <si>
    <t xml:space="preserve">Öğrencilerden çevre korumaya yönelik kendi değerlerini (tutum ve davranışlarını) kısaca yazmaları istenir.</t>
  </si>
  <si>
    <t xml:space="preserve">7. Çevre Koruma ile İlgili Münazara - 8. Grup Çalışmasında Zamanı Etkili Kullanma ve İşbirliğinin Önemi - 9. Çevre Koruma ile İlgili Bireysel Öğrenme Sorumluluğu - 10. Çevre Koruma ile İlgili Problem ve Çözüm Yolları - 11. Çevre Koruma ile İlgili Verilerde Sınıflandırma - 12. Çevre Koruma ile İlgili Yenilikçi Düşünmeyle Strateji Geliştirme - 13. Çevre Koruma ile İlgili Problemin Analizi - 14. Çevre Koruma ile İlgili Problemin Neden Sonuç İlişkisi ile Çözümü</t>
  </si>
  <si>
    <t xml:space="preserve">• Çevre koruma ile ilgili farklı fikirleri ve düşünceleri dikkate alır.
• Grup çalışmaları sırasında arkadaşları ile işbirliği içinde çalışır.
• Bireysel olarak çevre koruma ile ilgili fikirlerini planlayarak kendi öğrenmesinin sorumluluğunu alır.
• Çevre koruma ile ilgili verilen problemin farklı çözüm yollarını araştırır.
• Çevre koruma ile ilgili verilenleri benzerlik ve farklılıklara göre sınıflandırır.
• Çevre koruma ile ilgili problemi çözmek için yenilikçi düşünmeyle strateji geliştirir.
• Çevre koruma ile ilgili metinlerdeki problem durumunu eleştirel okuma ile analiz eder.
• Neden sonuç ilişkisi kurarak çevre koruma ile ilgili bir probleme çözüm yolları bulur.</t>
  </si>
  <si>
    <t xml:space="preserve">Geçen haftaki bireysel değerlendirmeler hatırlatılarak, bu hafta çevre koruma konusunun bir münazarayla ele alınacağı söylenir.</t>
  </si>
  <si>
    <t xml:space="preserve">Sınıf iki gruba ayrılarak çevre korumayla ilgili bir konuda (ör. 'tek kullanımlık plastik tamamen yasaklanmalı mı') kısa bir münazara yaptırılır; ardından münazaradan çıkan bir problem üzerinde neden-sonuç ilişkisi kurularak çözüm yolları aranır.</t>
  </si>
  <si>
    <t xml:space="preserve">Münazarada öne çıkan en güçlü argümanlar tahtada özetlenir, zamanı etkili kullanma ve işbirliğinin önemi vurgulanır.</t>
  </si>
  <si>
    <t xml:space="preserve">GİRİŞİMCİ FİKİRLER, İŞ KURMA VE YÜRÜTME - 1. Girişimcilikle İlgili Temel Kavramlar</t>
  </si>
  <si>
    <t xml:space="preserve">1. Girişimcilikle ilgili temel kavramları açıklar.
• Öğrencilerin tartışma soruları ve video üzerinden ekonomi ile girişimcilik arasındaki ilişkiyi kavramaları sağlanır.</t>
  </si>
  <si>
    <t xml:space="preserve">Çevre koruma tartışmalarında sıkça 'girişimci çözümlerden' bahsedildiği hatırlatılarak yeni ünite olan girişimciliğe geçiş yapılır.</t>
  </si>
  <si>
    <t xml:space="preserve">Girişimcilikle ilgili kısa bir video izletilir; video ve tartışma soruları üzerinden ekonomi ile girişimcilik arasındaki ilişki sınıfça tartışılır.</t>
  </si>
  <si>
    <t xml:space="preserve">Öğrencilerden çevrelerinde bildikleri bir girişimcilik örneği paylaşmaları istenir.</t>
  </si>
  <si>
    <t xml:space="preserve">2. İş Fikri Oluşturma</t>
  </si>
  <si>
    <t xml:space="preserve">2. Meslek grubuyla ilgili iş fikirleri oluşturarak bu fikirleri değerlendirir.
• Öğrencilerin günlük hayatta karşılaştıkları başarılı iş fikirlerini tartışarak değerlendirmeleri sağlanır.
• Öğrencilerin başarılı bir iş fikrinin oluşması sürecinde etkili olan unsurları sınıf içinde tartışması sağlanır.</t>
  </si>
  <si>
    <t xml:space="preserve">Geçen haftaki girişimcilik örnekleri hatırlatılarak, bu hafta başarılı bir iş fikrinin nasıl oluştuğuna odaklanılacağı söylenir.</t>
  </si>
  <si>
    <t xml:space="preserve">Öğrenciler günlük hayatta karşılaştıkları başarılı iş fikirlerini tartışır; başarılı bir iş fikrinin oluşmasında etkili olan unsurlar (ihtiyaç tespiti, yenilikçilik, uygulanabilirlik) sınıf içi tartışmayla belirlenir.</t>
  </si>
  <si>
    <t xml:space="preserve">Öğrencilerden kendi ilgi alanlarına uygun basit bir iş fikri önerisi yazmaları istenir.</t>
  </si>
  <si>
    <t xml:space="preserve">3. İşletme ve İşletme Türleri</t>
  </si>
  <si>
    <t xml:space="preserve">3. İşletme ve işletme türleri ile ilgili temel kavramları açıklar.
• Öğrencilerin günlük hayatta karşılaştıkları kurum ve kuruluşları tartışması sağlanır.
• Öğrencilerin işletme türleri hakkında beyin fırtınası yaparak işletme türlerinin ortak ve ayırt edici özelliklerini kavraması sağlanır.</t>
  </si>
  <si>
    <t xml:space="preserve">Tatil dönüşü kısa bir hatırlatmayla derse başlanır; geçen haftaki iş fikirlerinin hayata geçirilebilmesi için bir işletme çatısına ihtiyaç olduğu vurgulanır.</t>
  </si>
  <si>
    <t xml:space="preserve">Öğrenciler günlük hayatta karşılaştıkları kurum ve kuruluşları tartışır; işletme türleri (şahıs, ortaklık, şirket vb.) hakkında beyin fırtınası yapılarak ortak ve ayırt edici özellikleri tahtada listelenir.</t>
  </si>
  <si>
    <t xml:space="preserve">Öğrencilerden kendi iş fikirlerine en uygun işletme türünü seçmeleri istenir.</t>
  </si>
  <si>
    <t xml:space="preserve">4. İşletme Kurma Süreci</t>
  </si>
  <si>
    <t xml:space="preserve">4. İşletme kurma süreci ile ilgili planlama yapar.
• Öğrencilerin bir işletmenin kurulması sürecindeki aşamaları grup çalışması yaparak iş birliği içinde kavraması sağlanır.
• Öğrencilerin verilen iş planı şablonunu kullanarak uygulamalı bir şekilde bir işletmenin kuruluş aşamalarını adım adım planlamaları sağlanır.</t>
  </si>
  <si>
    <t xml:space="preserve">Geçen hafta seçilen işletme türleri hatırlatılarak, bu hafta bir işletmenin nasıl kurulacağının planlanacağı söylenir.</t>
  </si>
  <si>
    <t xml:space="preserve">Bir işletmenin kuruluş aşamaları grup çalışmasıyla ele alınır; öğrencilere basit bir iş planı şablonu dağıtılarak kendi iş fikirleri için kuruluş aşamalarını adım adım doldurmaları sağlanır.</t>
  </si>
  <si>
    <t xml:space="preserve">Gruplardan doldurdukları şablonun bir bölümünü kısaca paylaşmaları istenir.</t>
  </si>
  <si>
    <t xml:space="preserve">5. Faaliyet Alanına Göre İşletmeler - 6. Pazarlama Karması Öğeleri</t>
  </si>
  <si>
    <t xml:space="preserve">5. İşletmenin faaliyet alanını ve kapasitesini açıklar.
• Öğrencilerin işletmelerin faaliyet alanlarına göre birbirinden farklılık gösterme sebeplerini açıklamaları sağlanır.
6. İşletmenin faaliyet alanına uygun pazarlama karması oluşturur.</t>
  </si>
  <si>
    <t xml:space="preserve">Geçen haftaki iş planı şablonu hatırlatılarak, bu hafta işletmenin faaliyet alanı ve pazarlamasına odaklanılacağı söylenir.</t>
  </si>
  <si>
    <t xml:space="preserve">Farklı işletmelerin faaliyet alanlarına göre neden farklılık gösterdiği örneklerle açıklanır; ardından pazarlama karması öğeleri (ürün, fiyat, dağıtım, tutundurma) kendi iş fikirleri üzerinden uygulamalı olarak oluşturulur.</t>
  </si>
  <si>
    <t xml:space="preserve">Öğrencilerden pazarlama karması öğelerinden birini kısaca sunmaları istenir.</t>
  </si>
  <si>
    <t xml:space="preserve">7. Yönetim Planı Hazırlama</t>
  </si>
  <si>
    <t xml:space="preserve">7. Yönetimin alt fonksiyonları doğrultusunda yönetim planı hazırlar.
• Öğrencilerin okullarında var olan yönetim planını inceleyerek işletmelerin neden bir yönetim planına ihtiyaç duyduklarını kavramaları sağlanır.</t>
  </si>
  <si>
    <t xml:space="preserve">Geçen haftaki pazarlama karması hatırlatılarak, bu hafta işletmenin nasıl yönetileceğine odaklanılacağı söylenir.</t>
  </si>
  <si>
    <t xml:space="preserve">Öğrenciler kendi okullarındaki yönetim planını (nöbet çizelgesi, sorumluluklar vb.) inceleyerek işletmelerin neden bir yönetim planına ihtiyaç duyduğunu tartışır; kendi iş fikirleri için basit bir yönetim planı taslağı hazırlar.</t>
  </si>
  <si>
    <t xml:space="preserve">Taslaklardan birkaçı kısaca paylaşılır.</t>
  </si>
  <si>
    <t xml:space="preserve">8. Stok ve Kalite Yönetimi</t>
  </si>
  <si>
    <t xml:space="preserve">8. Kendi sektörüne uygun stok ve kalite yöntemini seçer.
• Öğrencilerin örnek senaryo üzerinde tartışarak stok ve kalite kontrol yöntemlerinin önemini kavraması sağlanır.</t>
  </si>
  <si>
    <t xml:space="preserve">Geçen haftaki yönetim planı hatırlatılarak, bu hafta stok ve kalite yönetiminin işleneceği söylenir.</t>
  </si>
  <si>
    <t xml:space="preserve">Yetersiz stok ya da kalite kontrolü nedeniyle sorun yaşayan bir işletme senaryosu sınıfta tartışılır; öğrenciler bu senaryo üzerinden kendi sektörlerine uygun stok ve kalite yöntemini tartışarak seçer.</t>
  </si>
  <si>
    <t xml:space="preserve">Seçilen yöntemler ve gerekçeleri kısaca paylaşılır.</t>
  </si>
  <si>
    <t xml:space="preserve">9. İşletmenin Finans Yönetimi - 10. Personel Alım Süreci</t>
  </si>
  <si>
    <t xml:space="preserve">9. İşletmenin mali kaynaklarını ve finans yönetimi ile ilgili faaliyetlerini planlar.
10. İşletmenin personel bulma, işe alma ve performans değerlendirme süreçlerini planlar.
23 NİSAN Ulusal Egemenlik ve Çocuk Bayramı</t>
  </si>
  <si>
    <t xml:space="preserve">23 Nisan haftasına denk gelen bu haftada, kısa bir kutlamanın ardından işletmenin en kritik iki alanı olan finans ve personel yönetimine geçileceği söylenir.</t>
  </si>
  <si>
    <t xml:space="preserve">İşletmenin mali kaynaklarını nasıl planlayacağı (gelir-gider dengesi) basit bir örnekle anlatılır; ardından personel bulma, işe alma ve performans değerlendirme süreçleri kısa bir senaryo üzerinden tartışılır.</t>
  </si>
  <si>
    <t xml:space="preserve">Öğrencilerden kendi iş fikirleri için gerekecek ilk personel ihtiyacını belirtmeleri istenir.</t>
  </si>
  <si>
    <t xml:space="preserve">11. Girişimcilik ve İş Kurma ile İlgili Farklı Fikirleri Alma - 12. Girişimcilik ve İş Kurma ile İlgili Bireysel Öğrenme Sorumluluğunu Alma - 13. Girişimcilik ve İş Kurma ile İlgili Grup Çalışması - 14. İş Kurma ile İlgili Grup Çalışmalarında İş birliğinin Önemi</t>
  </si>
  <si>
    <t xml:space="preserve">• Girişimcilik ve iş kurma ile ilgili farklı fikirleri dikkate alır.
• Bireysel olarak girişimcilik ve iş kurma ile ilgili fikirlerini planlayarak kendi öğrenmesinin sorumluluğunu alır.
• Girişimcilik ve iş kurma ile ilgili yapılan grup çalışmasında kendini yazılı ve sözlü ifade eder.
• Girişimcilik ve iş kurma ile ilgili grup çalışmaları sırasında arkadaşları ile iş birliği içinde çalışır.</t>
  </si>
  <si>
    <t xml:space="preserve">Geçen haftaki finans ve personel konuları hatırlatılarak, bu hafta girişimcilik sürecinin farklı fikirlerle zenginleştirileceği söylenir.</t>
  </si>
  <si>
    <t xml:space="preserve">Öğrenciler grup çalışmasında kendi iş fikirlerini birbirleriyle paylaşarak farklı bakış açıları alır; her öğrencinin kendi öğrenme sürecini planlaması için kısa bir öz değerlendirme yapılır, grup çalışmasında kendini yazılı ve sözlü ifade etmesi sağlanır.</t>
  </si>
  <si>
    <t xml:space="preserve">Gruplar arası işbirliğinin sürece katkısı kısaca tartışılır.</t>
  </si>
  <si>
    <t xml:space="preserve">15. Girişimcilik, İş Kurma ve Yürütme İle İlgili Problemlere Farklı Çözüm Yollarını Araştırma - 16. Evrensel Etik Prensiplerini Değerlendirme - 17. Girişimcilik, İş Kurma ve Yürütme ile İlgili Problem Çözümünde Neden-Sonuç İlişkisi - 18. Küçük Ölçekli İşletme Kurma Prototipi</t>
  </si>
  <si>
    <t xml:space="preserve">• Girişimcilik, iş kurma ve yürütme ile ilgili verilen problemin farklı çözüm yollarını araştırır.
• Girişimcilik, iş kurma ve yürütme ile ilgili verilen metni evrensel etik prensiplerini dikkate alarak değerlendirir.
• Girişimcilik, iş kurma ve yürütme ile ilgili problemin çözümü için neden sonuç ilişkisi kurar.
• Küçük ölçekli bir işletme kurulabilmesi için gerekli olan fizibilite çalışmasının prototipini geliştirir.</t>
  </si>
  <si>
    <t xml:space="preserve">Geçen haftaki grup paylaşımları hatırlatılarak, bu hafta iş fikirlerindeki olası sorunlara çözüm aranacağı söylenir.</t>
  </si>
  <si>
    <t xml:space="preserve">Öğrenciler kendi iş fikirlerinde karşılaşabilecekleri bir problemi belirleyip farklı çözüm yolları arar; çözüm sürecinde evrensel etik prensiplerin (dürüstlük, adalet) nasıl gözetileceği tartışılır. Ardından küçük ölçekli işletmeleri için basit bir fizibilite prototipi (kabaca maliyet-kâr tahmini) hazırlanır.</t>
  </si>
  <si>
    <t xml:space="preserve">Hazırlanan fizibilite prototiplerinden birkaçı kısaca paylaşılır.</t>
  </si>
  <si>
    <t xml:space="preserve">FİKRÎ VE SINAİ MÜLKİYET HAKLARI - 1. Fikrî Hak, Sınai Hak, Telif Hakkı ve Fikir Ürünler</t>
  </si>
  <si>
    <t xml:space="preserve">1. Fikrî hak, sınai hak, telif hakkı ve fikir ürünleri kavramlarını açıklar.
• Öğrencilerin grup çalışması hâlinde yeni bir oyun tasarlamaları sağlanarak buluş, icat, yenilik gibi kavramların anlamları üzerinde düşünmeleri sağlanır.
• Öğrencilerin bazı nesne ya da ürünlerin üzerinde bulunan ve telif haklarına işaret eden simgelere dikkat çekilerek bu uyarıları kavramaları sağlanır.</t>
  </si>
  <si>
    <t xml:space="preserve">Kendi iş fikrini geliştiren bir girişimcinin fikrini nasıl koruyabileceği sorulur; yeni ünite olan fikrî ve sınai mülkiyet haklarına geçiş yapılır.</t>
  </si>
  <si>
    <t xml:space="preserve">Öğrenciler grup hâlinde yeni bir oyun tasarlayarak buluş, icat ve yenilik kavramları üzerine düşünür; ardından sınıfa getirilen birkaç ürün ambalajı üzerindeki telif hakkı simgeleri incelenerek anlamları açıklanır.</t>
  </si>
  <si>
    <t xml:space="preserve">İncelenen simgelerden biri örnek alınarak fikrî hak ile sınai hak arasındaki fark özetlenir.</t>
  </si>
  <si>
    <t xml:space="preserve">2. Patent ve Faydalı Model Tanımı ve Başvuru Süreçleri</t>
  </si>
  <si>
    <t xml:space="preserve">2. Patent ve faydalı model ile ilgili tanımları, hakları ve başvuru süreçlerini açıklar.
• Öğrencilerin örnek bir okuma metni üzerinden ülkemizdeki patent tarihini, fikrî ve sınai hakların tarihsel gelişimini kavramaları sağlanır.
19 MAYIS Atatürk'ü Anma Gençlik ve Spor Bayramı</t>
  </si>
  <si>
    <t xml:space="preserve">19 Mayıs haftasına denk gelen bu haftada, geçen haftaki telif hakkı simgeleri hatırlatılarak patent kavramına geçileceği söylenir.</t>
  </si>
  <si>
    <t xml:space="preserve">Patent ve faydalı model ile ilgili kısa bir okuma metni sınıfta okunur; metin üzerinden ülkemizdeki patent tarihinin ve fikrî/sınai hakların tarihsel gelişiminin nasıl şekillendiği tartışılır.</t>
  </si>
  <si>
    <t xml:space="preserve">Metinden çıkan üç önemli tarihsel dönüm noktası tahtaya yazılır.</t>
  </si>
  <si>
    <t xml:space="preserve">3. Endüstriyel Tasarım Ve Patent Arasında İlişki - 4. Fikrî ve Sınai Haklar Çerçevesinde Fikirlerin Ürüne Dönüşme Süreçleri - 5. Patent Veri Tabanı</t>
  </si>
  <si>
    <t xml:space="preserve">3. Endüstriyel tasarım ve patent arasında ilişki kurar.
4. Fikirlerin ürüne dönüşme süreçlerini fikrî ve sınai haklar çerçevesinde açıklar.
5. Patent veri tabanının kullanımını açıklar.</t>
  </si>
  <si>
    <t xml:space="preserve">Geçen haftaki patent tarihçesi hatırlatılarak, bu hafta bir fikrin nasıl patentli bir ürüne dönüştüğü işleneceği söylenir.</t>
  </si>
  <si>
    <t xml:space="preserve">Endüstriyel tasarım ile patent arasındaki ilişki örneklerle açıklanır; bir fikrin ürüne dönüşme süreci fikrî ve sınai haklar çerçevesinde adım adım anlatılır. Ardından çevrimiçi patent veri tabanından örnek bir arama birlikte yapılır.</t>
  </si>
  <si>
    <t xml:space="preserve">Yapılan aramadan çıkan bir örnek patent kısaca sınıfa tanıtılır.</t>
  </si>
  <si>
    <t xml:space="preserve">6. Marka Başvuru Süreci - 7. Bilim, Edebiyat ve Sanat Eserleri ile İlgili Haklar</t>
  </si>
  <si>
    <t xml:space="preserve">6. Marka ile ilgili tanımları, hakları, başvuru ve tescil sürecini açıklar.
7. Bilim, edebiyat ve sanat eserleri ile ilgili hakları açıklar.</t>
  </si>
  <si>
    <t xml:space="preserve">Patent veri tabanı taramasının hatırlatılmasının ardından, bu hafta marka ve telif haklarının işleneceği söylenir.</t>
  </si>
  <si>
    <t xml:space="preserve">Marka tanımı, hakları ve tescil süreci örnek bir marka üzerinden anlatılır; ardından bilim, edebiyat ve sanat eserleriyle ilgili haklar (örneğin bir kitabın/şarkının izinsiz kopyalanamayacağı) tartışılır.</t>
  </si>
  <si>
    <t xml:space="preserve">Öğrencilerden bildikleri bir marka örneğinin tescil sürecini tahmin etmeleri istenir.</t>
  </si>
  <si>
    <t xml:space="preserve">8. Coğrafi İşaretler ve Tescil Süreçleri</t>
  </si>
  <si>
    <t xml:space="preserve">8. Coğrafi işaretler ile ilgili tanımları, hakları ve tescil süreçlerini açıklar.
• Öğrencilerin, bir bölge ya da şehir adıyla birlikte tescillenmiş ürünlerden yola çıkarak coğrafi işaretler, menşe adı ve mahreç işareti kavramlarını açıklamaları sağlanır.</t>
  </si>
  <si>
    <t xml:space="preserve">Geçen haftaki marka örnekleri hatırlatılarak, bu hafta bir bölgeye özgü ürünlerin korunmasını sağlayan coğrafi işaretlerin işleneceği söylenir.</t>
  </si>
  <si>
    <t xml:space="preserve">Bir bölge ya da şehir adıyla tescillenmiş ürün örnekleri (ör. yöresel bir ürün) üzerinden coğrafi işaret, menşe adı ve mahreç işareti kavramları açıklanır.</t>
  </si>
  <si>
    <t xml:space="preserve">Öğrencilerden kendi bölgelerine ait tescilli/tescil edilebilecek bir ürün örneği vermeleri istenir.</t>
  </si>
  <si>
    <t xml:space="preserve">9. Fikrî ve Sınai Mülkiyet Hakları İle İlgili Farklı Fikirleri Alma - 10. Fikrî ve Sınai Mülkiyet Hakları ile İlgili Grup Çalışmalarında İş Birliği - 11. Fikrî ve Sınai Mülkiyet Hakları ile İlgili Senaryo Çalışması - 12. Fikrî ve Sınai Mülkiyet Hakları ile İlgili Bireysel Öğrenme Sorumluluğunu Alma</t>
  </si>
  <si>
    <t xml:space="preserve">• Fikrî ve sınai mülkiyet hakları ile ilgili farklı fikir ve düşünceleri dikkate alır.
• Fikrî ve sınai mülkiyet hakları ile ilgili grup çalışmaları sırasında arkadaşları ile iş birliği içinde çalışır.
• Fikrî ve sınai mülkiyet hakları ile ilgili yapılan çalışmalar sırasında kendini yazılı ve sözlü ifade eder.
• Bireysel olarak fikirlerini planlayarak kendi öğrenmesinin sorumluluğunu alır.</t>
  </si>
  <si>
    <t xml:space="preserve">Yıl sonuna yaklaşılırken, fikrî ve sınai mülkiyet haklarıyla ilgili şimdiye kadar işlenenlerin farklı bakış açılarıyla pekiştirileceği söylenir.</t>
  </si>
  <si>
    <t xml:space="preserve">Öğrenciler gruplar hâlinde kısa bir senaryo çalışması yapar; senaryo üzerinde farklı fikir ve düşünceler dikkate alınarak tartışılır, her öğrencinin kendini yazılı ve sözlü ifade etmesi sağlanır.</t>
  </si>
  <si>
    <t xml:space="preserve">Bireysel öğrenme sorumluluğu vurgulanarak öğrencilerden kısa bir öz değerlendirme yapmaları istenir.</t>
  </si>
  <si>
    <t xml:space="preserve">13. Fikrî ve Sınai Mülkiyet Hakları İle İlgili Problem Çözme - 14. Anahtar Kelimeler ile Kaynak Tarama - 15. Fikri ve Sınai Mülkiyet Hakları ile Evrensel Etik Prensiplerini Değerlendirme</t>
  </si>
  <si>
    <t xml:space="preserve">• Fikrî ve sınai mülkiyet hakları ile ilgili verilen problemi çözer.
• Anahtar kelimeler kullanarak kaynak taraması yapar.
• Fikrî ve sınai mülkiyet hakları ile ilgili verilen metni evrensel etik prensipleri dikkate alarak değerlendirir.</t>
  </si>
  <si>
    <t xml:space="preserve">Yılın son haftası olduğu, bugüne kadar işlenen tüm ünitelerin (meslek etiği, İSG, endüstriyel dönüşüm, çevre koruma, girişimcilik, fikrî haklar) kısa bir özetiyle derse başlanacağı söylenir.</t>
  </si>
  <si>
    <t xml:space="preserve">Öğrencilere fikrî ve sınai mülkiyet haklarıyla ilgili küçük bir problem verilir; anahtar kelimeler kullanarak kaynak tarama tekniği gösterilir ve öğrenciler bu tekniği kullanarak probleme çözüm arar; çözüm sürecinde evrensel etik prensiplerin gözetilmesi vurgulanır.</t>
  </si>
  <si>
    <t xml:space="preserve">Yıl boyunca işlenen konular kısaca gözden geçirilerek öğrencilere yıl sonu dönütü verilir.</t>
  </si>
  <si>
    <t xml:space="preserve">TEKNİK RESİM</t>
  </si>
  <si>
    <t xml:space="preserve">3 SAAT</t>
  </si>
  <si>
    <t xml:space="preserve">GEOMETRİK ÇİZİMLER - 1. Eğik ve Dik Standart Yazı</t>
  </si>
  <si>
    <t xml:space="preserve">1. Teknik resim kurallarına (TS EN ISO standartlarına) uygun olarak eğik ve dik standart yazı yazar.
• Teknik resmin endüstrideki önemi üzerinde durulur.
• Teknik resim araç gereçleri ve çizim kâğıtları üzerinde durulur.</t>
  </si>
  <si>
    <t xml:space="preserve">Öğretim yılının ilk dersi olduğu için önceki bir konu tekrarı yapılmaz; bunun yerine bir mühendisin çizdiği resmi dünyanın herhangi bir yerinde başka bir teknisyenin nasıl aynı şekilde okuyabildiği sorusu ile teknik resmin evrensel dile ihtiyacı vurgulanır.</t>
  </si>
  <si>
    <t xml:space="preserve">Teknik resmin endüstrideki önemi kısaca anlatılır; T cetveli, gönye, pergel, kurşun kalem, silgi ve çizim kâğıdı gibi araç-gereçler tek tek tanıtılarak doğru kullanım şekilleri gösterilir.</t>
  </si>
  <si>
    <t xml:space="preserve">Öğrencilerden kendi çizim takımlarını tanımaları ve eksiklerini not etmeleri istenir.</t>
  </si>
  <si>
    <t xml:space="preserve">Gösteri, Soru-Cevap, Bireyselleştirilmiş Öğretim, Temrin Çalışmaları</t>
  </si>
  <si>
    <t xml:space="preserve">Teknik Resim Atölyesi, çizim masası, gönye, T cetveli, daire şablonu, akıllı tahta</t>
  </si>
  <si>
    <t xml:space="preserve">1. Eğik ve Dik Standart Yazı</t>
  </si>
  <si>
    <t xml:space="preserve">1. Teknik resim kurallarına (TS EN ISO standartlarına) uygun olarak eğik ve dik standart yazı yazar.
• Standart yazı ve norm yazı örnekleri verilir.
• Norm yazı temrinleri verilir.</t>
  </si>
  <si>
    <t xml:space="preserve">Geçen hafta tanınan çizim takımları kısaca hatırlatılır; bu hafta ilk çizim konusu olan standart yazıya geçileceği söylenir.</t>
  </si>
  <si>
    <t xml:space="preserve">TS EN ISO standardına uygun dik ve eğik harflerin çizim kuralları (harf yüksekliği, kalınlık oranı) örnek harflerle tahtada gösterilir; öğrenciler A-M harflerini içeren bir norm yazı temrini üzerinde çalışır.</t>
  </si>
  <si>
    <t xml:space="preserve">Yazılan harfler cetvelle ölçü ve oran açısından kontrol edilir.</t>
  </si>
  <si>
    <t xml:space="preserve">Geçen haftaki harf temrini hatırlatılır; bu hafta rakam ve tam bir cümle yazımına geçileceği söylenir.</t>
  </si>
  <si>
    <t xml:space="preserve">Rakamların norm yazı kurallarına göre çizimi gösterilir; öğrenciler N-Z harfleri ve rakamları içeren ikinci bir norm yazı temrinini tamamlar.</t>
  </si>
  <si>
    <t xml:space="preserve">Tamamlanan temrinler öğrenci çiftleri arasında değiştirilerek akran değerlendirmesi yapılır.</t>
  </si>
  <si>
    <t xml:space="preserve">2. Çizgi Çalışmaları</t>
  </si>
  <si>
    <t xml:space="preserve">2. Teknik resim kurallarına uygun olarak serbest elle ve çizim takımlarıyla çizgi çalışmaları yapar.
• Çizgi çeşitleri ve çizgi kalınlıkları üzerinde durulur.
• Çizgi çeşitlerinin kullanım alanları ile ilgili örnekler verilir.
• Çizgi çalışması temrinleri verilir.</t>
  </si>
  <si>
    <t xml:space="preserve">Bir teknik resimde neden farklı kalınlıkta çizgiler kullanıldığı sorulur; kesik çizginin görünmeyen kenarı mı yoksa ekseni mi gösterdiği merak konusu yapılır.</t>
  </si>
  <si>
    <t xml:space="preserve">Kalın çizgi (görünen kenar), ince çizgi (ölçü/yardımcı çizgi), kesik çizgi (görünmeyen kenar) ve noktalı-kesik çizgi (eksen) örnekleri tahtada gösterilir; öğrenciler çizim takımlarıyla farklı çizgi türlerini içeren bir temrin çalışması yapar.</t>
  </si>
  <si>
    <t xml:space="preserve">Çizilen çizgi kalınlıkları cetvelle kontrol edilir.</t>
  </si>
  <si>
    <t xml:space="preserve">Geçen haftaki çizgi türleri hatırlatılır; bu hafta bu çizgilerin gerçek bir parça çiziminde birlikte kullanılacağı söylenir.</t>
  </si>
  <si>
    <t xml:space="preserve">Basit bir makine parçası taslağı üzerinde hangi kenara hangi çizgi türünün uygulanacağı öğrencilerle birlikte belirlenir; öğrenciler serbest elle ve çizim takımlarıyla bu taslağı tamamlar.</t>
  </si>
  <si>
    <t xml:space="preserve">Tamamlanan çizimler çizgi doğruluğu açısından kontrol edilir.</t>
  </si>
  <si>
    <t xml:space="preserve">3. Geometrik Şekiller</t>
  </si>
  <si>
    <t xml:space="preserve">3. Teknik resim kurallarına uygun olarak geometrik şekiller çizer.
• Teknik resimde açı, paralellik ve diklik kavramları üzerinde durulur.
• Çember ve teğet doğrular üzerinde durulur.
• Teğet çizim örnekleri verilir.</t>
  </si>
  <si>
    <t xml:space="preserve">Bir dişli ya da cıvata çiziminde neden mükemmel çemberlere ve açılara ihtiyaç duyulduğu sorulur.</t>
  </si>
  <si>
    <t xml:space="preserve">Gönye ve pergel ile paralel/dik çizgi çizme, çember çizme ve çembere teğet doğru çizme teknikleri gösterilir; öğrenciler örnek bir teğet çizim temrini yapar.</t>
  </si>
  <si>
    <t xml:space="preserve">Teğet noktalarının doğruluğu pergelle kontrol edilir.</t>
  </si>
  <si>
    <t xml:space="preserve">3. Teknik resim kurallarına uygun olarak geometrik şekiller çizer.
• Çokgen çizim yöntemleri üzerinde durulur.
• Açılı çizimler, çember ve teğet çizimleri, çokgen çizim temrinleri verilir.
29 EKİM Cumhuriyet Bayramı</t>
  </si>
  <si>
    <t xml:space="preserve">29 Ekim Cumhuriyet Bayramı nedeniyle kısa bir haftaya girildiği hatırlatılır; geçen haftaki teğet çizim tekniğinin bu hafta çokgen çiziminde de kullanılacağı söylenir.</t>
  </si>
  <si>
    <t xml:space="preserve">Düzgün çokgen (altıgen, sekizgen) çizim yöntemleri pergel ve gönye ile gösterilir; öğrenciler bir altıgen somun görünüşü temrini çizer.</t>
  </si>
  <si>
    <t xml:space="preserve">Çizilen çokgenin kenar uzunlukları cetvelle kontrol edilir.</t>
  </si>
  <si>
    <t xml:space="preserve">3. Teknik resim kurallarına uygun olarak geometrik şekiller çizer.
• Çokgen çizim örnekleri verilir.
• Açılı çizimler, çember ve teğet çizimleri, çokgen çizim temrinleri verilir.</t>
  </si>
  <si>
    <t xml:space="preserve">Geçen haftaki altıgen çizimi hatırlatılır; bu hafta farklı açılı çizimler ve çokgenlerle devam edileceği belirtilir.</t>
  </si>
  <si>
    <t xml:space="preserve">Beşgen ve sekizgen gibi farklı çokgen ve açılı çizim örnekleri gösterilir; öğrenciler ikinci bir çokgen ve teğet çember temrinini tamamlar.</t>
  </si>
  <si>
    <t xml:space="preserve">Temrinler sınıfta karşılıklı sergilenerek görsel kontrol yapılır.</t>
  </si>
  <si>
    <t xml:space="preserve">3. Teknik resim kurallarına uygun olarak geometrik şekiller çizer.
• Çokgen çizim örnekleri verilir.
• Açılı çizimler, çember ve teğet çizimleri, çokgen çizim temrinleri verilir.
10 KASIM Atatürk'ü Anma Günü ve Atatürk Haftası</t>
  </si>
  <si>
    <t xml:space="preserve">10 Kasım Atatürk'ü Anma Günü anması sonrası, geçen haftaki çokgen çizimleri hatırlatılarak geometrik şekiller ünitesinin bu haftayla tamamlanacağı söylenir.</t>
  </si>
  <si>
    <t xml:space="preserve">Öğrencilere açılı çizim, çember ve çokgeni bir arada içeren karma bir temrin verilir; öğretmen sınıfta dolaşarak bireysel dönüt verir.</t>
  </si>
  <si>
    <t xml:space="preserve">Tamamlanan karma temrinler toplanıp genel bir değerlendirme yapılır, ünite kapatılır.</t>
  </si>
  <si>
    <t xml:space="preserve">GÖRÜNÜŞ ÇIKARMA - 1. Teknik Resim Görünüşler</t>
  </si>
  <si>
    <t xml:space="preserve">1. Teknik resim kurallarına uygun olarak serbest elle ve çizim takımlarıyla çeşitli iş parçalarına ait görünüşleri çizer.
• İzdüşüm ve görünüş çeşitleri üzerinde durulur.
• Görünüş sayısı, yardımcı, detay ve özel görünüş belirleme üzerinde durulur.</t>
  </si>
  <si>
    <t xml:space="preserve">Ara tatil dönüşü kısa bir hatırlatmanın ardından, üç boyutlu bir cismin kâğıda nasıl iki boyutlu anlatılacağı sorularak yeni ünite olan Görünüş Çıkarma'ya geçilir; sınıfa basit bir küp/blok model getirilir.</t>
  </si>
  <si>
    <t xml:space="preserve">İzdüşüm kavramı ve görünüş çeşitleri (ön, üst, yan) getirilen model üzerinden gösterilir; kaç görünüşün yeterli olacağına nasıl karar verileceği örneklerle anlatılır.</t>
  </si>
  <si>
    <t xml:space="preserve">Öğrencilerden getirilen modelin kaç görünüşle tam anlatılabileceğini tahmin etmeleri istenir.</t>
  </si>
  <si>
    <t xml:space="preserve">1. Teknik Resim Görünüşler</t>
  </si>
  <si>
    <t xml:space="preserve">1. Teknik resim kurallarına uygun olarak serbest elle ve çizim takımlarıyla çeşitli iş parçalarına ait görünüşleri çizer.
• Dik izdüşüm örnekleri ve temrinleri verilir.
• Tek görünüşün yeterli olduğu temrinler verilir.</t>
  </si>
  <si>
    <t xml:space="preserve">Geçen haftaki model üzerinden dik izdüşüm kuralı kısaca hatırlatılır.</t>
  </si>
  <si>
    <t xml:space="preserve">Dik izdüşüm çizim tekniği gösterilir; tek görünüşün yeterli olduğu silindirik/düzlem parça örnekleri üzerinde temrin çalışması yapılır.</t>
  </si>
  <si>
    <t xml:space="preserve">Çizilen tek görünüşlerin ölçü orantısı kontrol edilir.</t>
  </si>
  <si>
    <t xml:space="preserve">1. Teknik resim kurallarına uygun olarak serbest elle ve çizim takımlarıyla çeşitli iş parçalarına ait görünüşleri çizer.
• İki veya daha fazla görünüş isteyen temrinler verilir.</t>
  </si>
  <si>
    <t xml:space="preserve">Geçen hafta tek görünüşle anlatılan parçaların aksine, bazı parçaların neden birden fazla görünüşe ihtiyaç duyduğu sorulur.</t>
  </si>
  <si>
    <t xml:space="preserve">İki ve üç görünüş gerektiren köşeli bir parça örneği üzerinde görünüş çıkarma adım adım gösterilir; öğrenciler benzer bir parçanın görünüşlerini çizer.</t>
  </si>
  <si>
    <t xml:space="preserve">Çizilen görünüşler arasındaki izdüşüm ilişkisi (ölçü taşıma) kontrol edilir.</t>
  </si>
  <si>
    <t xml:space="preserve">1. Teknik resim kurallarına uygun olarak serbest elle ve çizim takımlarıyla çeşitli iş parçalarına ait görünüşleri çizer.
• Yardımcı, detay ve özel görünüş temrinleri verilir.</t>
  </si>
  <si>
    <t xml:space="preserve">Geçen haftaki temel görünüşler hatırlatılır; bazı eğik yüzeylerin normal görünüşlerle tam anlatılamayacağı sorulur.</t>
  </si>
  <si>
    <t xml:space="preserve">Yardımcı görünüş, detay görünüş ve özel görünüş kavramları eğik yüzeyli bir parça üzerinden gösterilir; öğrenciler bu tür bir parçanın görünüşünü temrin eder.</t>
  </si>
  <si>
    <t xml:space="preserve">Yardımcı görünüşün doğru açıda alınıp alınmadığı kontrol edilir.</t>
  </si>
  <si>
    <t xml:space="preserve">Geçen haftaki yardımcı görünüş tekniği hatırlatılır; bu hafta daha karmaşık bir parça üzerinde pekiştirileceği söylenir.</t>
  </si>
  <si>
    <t xml:space="preserve">Birden fazla özel görünüş gerektiren karma bir parça üzerinde öğrenciler bağımsız çalışır, öğretmen bireysel dönüt verir.</t>
  </si>
  <si>
    <t xml:space="preserve">Tamamlanan çizimler toplanıp Görünüş Çıkarma ünitesi genel olarak değerlendirilir.</t>
  </si>
  <si>
    <t xml:space="preserve">2. Kesit Görünüşler</t>
  </si>
  <si>
    <t xml:space="preserve">2. Teknik resim kurallarına uygun olarak serbest elle ve çizim takımlarıyla çeşitli iş parçalarına ait kesit görünüşleri çizer.
• Kesit alma ve kesit görünüş almanın gerekliliği üzerinde durulur.
• Kesit görünüş çeşitleri ve kesit görünüş almada uyulacak çizim kuralları üzerinde durulur.</t>
  </si>
  <si>
    <t xml:space="preserve">İçi boş/delikli bir parçanın normal görünüşle içinin nasıl anlatılamayacağı sorulur.</t>
  </si>
  <si>
    <t xml:space="preserve">Kesit alma kavramı ve gerekliliği anlatılır; tam kesit, yarım kesit ve kısmi kesit gibi kesit çeşitleri ile kesit alma çizim kuralları (tarama açısı, kesit çizgisi) gösterilir.</t>
  </si>
  <si>
    <t xml:space="preserve">Öğrencilerden hangi parçanın hangi kesit türüne uygun olduğunu eşleştirmeleri istenir.</t>
  </si>
  <si>
    <t xml:space="preserve">2. Teknik resim kurallarına uygun olarak serbest elle ve çizim takımlarıyla çeşitli iş parçalarına ait kesit görünüşleri çizer.
• Parçanın özelliğine uygun türde kesit alma örnekleri ve temrinleri verilir.</t>
  </si>
  <si>
    <t xml:space="preserve">Geçen haftaki kesit çeşitleri hatırlatılır; bu hafta gerçek bir parça üzerinde uygulanacağı söylenir.</t>
  </si>
  <si>
    <t xml:space="preserve">İçi delikli bir burç/bilye parçası örneği üzerinde tam kesit alma adım adım gösterilir; öğrenciler benzer bir parçanın kesit görünüşünü çizer.</t>
  </si>
  <si>
    <t xml:space="preserve">Tarama çizgilerinin açısı ve yönü kontrol edilir.</t>
  </si>
  <si>
    <t xml:space="preserve">2. Teknik resim kurallarına uygun olarak serbest elle ve çizim takımlarıyla çeşitli iş parçalarına ait kesit görünüşleri çizer.
• Kesit elemanlarını çizim kurallarına göre görünüşler üzerinde gösterme örnekleri verilir.</t>
  </si>
  <si>
    <t xml:space="preserve">Geçen hafta alınan kesitin görünüş üzerinde nasıl gösterileceği sorulur.</t>
  </si>
  <si>
    <t xml:space="preserve">Kesit çizgisi, ok yönü ve harflendirme kuralları gösterilir; öğrenciler bir parça üzerinde kesit alma yerini işaretleyip görünüş üzerinde gösterme temrini yapar.</t>
  </si>
  <si>
    <t xml:space="preserve">İşaretlemelerin standarda uygunluğu kontrol edilir.</t>
  </si>
  <si>
    <t xml:space="preserve">Geçen haftaki kesit gösterme kuralları hatırlatılır; bu hafta daha karmaşık bir parça ile pekiştirileceği söylenir.</t>
  </si>
  <si>
    <t xml:space="preserve">Birden fazla kesit gerektiren bir parça üzerinde öğrenciler bağımsız çalışır, öğretmen dolaşarak dönüt verir.</t>
  </si>
  <si>
    <t xml:space="preserve">1. dönem sonu değerlendirmesi yapılır, Kesit Görünüşler ünitesi tamamlanır.</t>
  </si>
  <si>
    <t xml:space="preserve">ÖLÇÜLENDİRME VE YÜZEY İŞLEMLERİ - 1. Ölçülendirme</t>
  </si>
  <si>
    <t xml:space="preserve">1. Teknik resim kurallarına uygun olarak resmini çizdiği iş parçalarının ölçülendirme işlemini yapar.
• Ölçülendirme işlemi, doğru ölçülendirmenin önemi üzerinde durulur.
• Ölçülendirme sistemleri, çeşitleri ve yöntemleri üzerinde durulur.</t>
  </si>
  <si>
    <t xml:space="preserve">Yarıyıl tatili dönüşü kısa bir hatırlatmayla derse başlanır; doğru çizilmiş ama ölçüsüz bir resmin işe yaramayacağı örneğiyle ölçülendirmenin önemine dikkat çekilir.</t>
  </si>
  <si>
    <t xml:space="preserve">Ölçü çizgisi, ölçü sınır çizgisi ve ölçü rakamı gibi ölçülendirme elemanları ile zincir, paralel ve koordinat ölçülendirme sistemleri örneklerle gösterilir.</t>
  </si>
  <si>
    <t xml:space="preserve">Öğrencilerden basit bir parçanın hangi ölçülendirme sistemine uygun olduğunu belirlemeleri istenir.</t>
  </si>
  <si>
    <t xml:space="preserve">1. Ölçülendirme</t>
  </si>
  <si>
    <t xml:space="preserve">1. Teknik resim kurallarına uygun olarak resmini çizdiği iş parçalarının ölçülendirme işlemini yapar.
• Ölçek türleri ve ölçeklendirme oranlarına örnekler verilir.
• Ölçülendirme ve ölçeklendirme temrinleri verilir.</t>
  </si>
  <si>
    <t xml:space="preserve">Büyük bir makinenin küçük bir kâğıda nasıl sığdırıldığı sorulur; ölçek kavramına giriş yapılır.</t>
  </si>
  <si>
    <t xml:space="preserve">Büyütme, küçültme ve gerçek ölçek türleri ve oranları (1:2, 2:1, 1:1 vb.) örneklerle gösterilir; öğrenciler bir parçayı farklı ölçeklerde çizme temrini yapar.</t>
  </si>
  <si>
    <t xml:space="preserve">Farklı ölçeklerdeki çizimlerin orantısı karşılaştırılarak kontrol edilir.</t>
  </si>
  <si>
    <t xml:space="preserve">1. Teknik resim kurallarına uygun olarak resmini çizdiği iş parçalarının ölçülendirme işlemini yapar.
• Ölçülendirme ve ölçeklendirme temrinleri verilir.</t>
  </si>
  <si>
    <t xml:space="preserve">Geçen haftaki ölçek çalışması hatırlatılır; bu hafta karmaşık bir parçanın tam ölçülendirmesine odaklanılacağı söylenir.</t>
  </si>
  <si>
    <t xml:space="preserve">Birden fazla görünüşü olan bir parçanın tam ölçülendirmesi adım adım gösterilir; öğrenciler benzer bir parçayı ölçülendirir.</t>
  </si>
  <si>
    <t xml:space="preserve">Ölçülerin çakışma/tekrar olmadan doğru yerleştirilip yerleştirilmediği kontrol edilir.</t>
  </si>
  <si>
    <t xml:space="preserve">Geçen haftaki ölçülendirme hatırlatılır; bu hafta ünitenin son pekiştirme çalışmasının yapılacağı söylenir.</t>
  </si>
  <si>
    <t xml:space="preserve">Öğrencilere bağımsız bir ölçülendirme temrini verilir, öğretmen bireysel dönüt verir.</t>
  </si>
  <si>
    <t xml:space="preserve">Tamamlanan temrinler toplanıp Ölçülendirme ünitesi değerlendirilir.</t>
  </si>
  <si>
    <t xml:space="preserve">2. Yüzey Pürüzlülük İşlemleri</t>
  </si>
  <si>
    <t xml:space="preserve">2. Teknik resim kurallarına uygun olarak resmini çizdiği iş parçalarına ait yüzey pürüzlülük değerlerini uygun sembolleri kullanarak resim üzerinde gösterir.
• İmalatta yüzey pürüzlülüğü, yüzey kalite çeşitleri ve yüzey pürüzlülük değerinin ölçülme yöntemleri üzerinde durulur.
• Yüzey kalite sembolündeki değer ve işaretler ile ilgili temrinler verilir.</t>
  </si>
  <si>
    <t xml:space="preserve">Tatil dönüşü kısa bir hatırlatmayla başlanır; aynı ölçüdeki iki parçanın yüzeyinin neden pürüzlülük açısından farklı olabileceği sorulur.</t>
  </si>
  <si>
    <t xml:space="preserve">Yüzey pürüzlülüğü kavramı, yüzey kalite çeşitleri ve ölçüm yöntemleri (Ra değeri) anlatılır; yüzey kalite sembolleri gösterilir.</t>
  </si>
  <si>
    <t xml:space="preserve">Öğrencilerden verilen bir Ra değerinin hangi işleme (frezeleme, taşlama vb.) karşılık geldiğini eşleştirmeleri istenir.</t>
  </si>
  <si>
    <t xml:space="preserve">2. Teknik resim kurallarına uygun olarak resmini çizdiği iş parçalarına ait yüzey pürüzlülük değerlerini uygun sembolleri kullanarak resim üzerinde gösterir.
• Yüzey kalite sembolündeki değer ve işaretler ile ilgili temrinler verilir.</t>
  </si>
  <si>
    <t xml:space="preserve">Geçen haftaki semboller hatırlatılır; bu hafta bir parça resmine bu sembollerin yerleştirileceği söylenir.</t>
  </si>
  <si>
    <t xml:space="preserve">Yüzey kalite sembollerinin resim üzerine işlenen yüzeye ok ile doğru yerleştirilmesi gösterilir; öğrenciler bir parça üzerinde yüzey pürüzlülük temrini tamamlar.</t>
  </si>
  <si>
    <t xml:space="preserve">Sembol yerleşimleri standarda uygunluk açısından kontrol edilir.</t>
  </si>
  <si>
    <t xml:space="preserve">3. Tolerans İşlemleri</t>
  </si>
  <si>
    <t xml:space="preserve">3. Teknik resim kurallarına uygun olarak resmini çizdiği iş parçalarına ait tolerans değerlerini uygun sembolleri kullanarak resim üzerinde gösterir.
• İmalatta tolerans kavramı, tolerans türleri, önemi üzerinde durulur.
• Boyut toleranslarına örnekler verilir.</t>
  </si>
  <si>
    <t xml:space="preserve">Bir milin bir yatağa tam oturması için ölçüde ne kadar 'pay' bırakılabileceği sorulur; tolerans kavramına giriş yapılır.</t>
  </si>
  <si>
    <t xml:space="preserve">Tolerans kavramı, önemi ve boyut toleransları (üst/alt sapma) örneklerle gösterilir.</t>
  </si>
  <si>
    <t xml:space="preserve">Öğrencilerden verilen bir ölçüye tolerans değeri eklemeleri istenir.</t>
  </si>
  <si>
    <t xml:space="preserve">3. Teknik resim kurallarına uygun olarak resmini çizdiği iş parçalarına ait tolerans değerlerini uygun sembolleri kullanarak resim üzerinde gösterir.
• Şekil ve konum toleranslarına örnekler verilir.
• Tolerans çizelgelerine örnekler verilir.
• Tolerans temrinleri verilir.</t>
  </si>
  <si>
    <t xml:space="preserve">Geçen haftaki boyut toleransı hatırlatılır; bu hafta şeklin/konumun da tolerans gerektirebileceği söylenir.</t>
  </si>
  <si>
    <t xml:space="preserve">Şekil toleransları (düzlük, dairesellik) ve konum toleransları (paralellik, diklik) çizelge örnekleriyle gösterilir; öğrenciler tolerans temrini tamamlar.</t>
  </si>
  <si>
    <t xml:space="preserve">Tolerans çizelgesinden okuma pratiği yapılarak kontrol edilir.</t>
  </si>
  <si>
    <t xml:space="preserve">KROKİ, PERSPEKTİF VE YAPIM RESMİ - 1. Kroki Çizimi</t>
  </si>
  <si>
    <t xml:space="preserve">1. Teknik resim kurallarına uygun olarak standart resim kâğıtlarına çeşitli iş parçalarının kroki resimlerini çizer.
• İmalatta kroki resmi, kroki çizmenin önemi üzerinde durulur.
• Kroki çiziminde işlem sırası üzerinde durulur.</t>
  </si>
  <si>
    <t xml:space="preserve">Elde çizim takımı olmadan bir parçanın nasıl hızlıca kâğıda aktarılacağı sorulur; kroki kavramına giriş yapılır.</t>
  </si>
  <si>
    <t xml:space="preserve">Kroki çiziminin önemi ve işlem sırası (gözlem, oran tahmini, serbest çizim, ölçü alma) anlatılır; sınıfa getirilen basit bir parça üzerinde kroki çizimi gösterilir.</t>
  </si>
  <si>
    <t xml:space="preserve">Öğrencilerden aynı parçanın krokisini serbest elle çizmeleri istenir.</t>
  </si>
  <si>
    <t xml:space="preserve">1. Kroki Çizimi</t>
  </si>
  <si>
    <t xml:space="preserve">1. Teknik resim kurallarına uygun olarak standart resim kâğıtlarına çeşitli iş parçalarının kroki resimlerini çizer.
• Makine parçalarında kroki çizme temrinleri verilir.
23 NİSAN Ulusal Egemenlik ve Çocuk Bayramı</t>
  </si>
  <si>
    <t xml:space="preserve">23 Nisan haftası olması nedeniyle kısa bir kutlamanın ardından, geçen haftaki kroki tekniğinin gerçek bir makine parçasında uygulanacağı söylenir.</t>
  </si>
  <si>
    <t xml:space="preserve">Sınıfa getirilen bir makine parçası (cıvata, flanş vb.) üzerinde kroki çizme temrini yaptırılır, kumpasla ölçü alma teknikleri gösterilir.</t>
  </si>
  <si>
    <t xml:space="preserve">Alınan ölçülerin krokiye doğru işlenip işlenmediği kontrol edilir.</t>
  </si>
  <si>
    <t xml:space="preserve">1. Teknik resim kurallarına uygun olarak standart resim kâğıtlarına çeşitli iş parçalarının kroki resimlerini çizer.
• Makine parçalarında kroki çizme temrinleri verilir.</t>
  </si>
  <si>
    <t xml:space="preserve">Geçen haftaki kroki ve ölçü alma çalışması hatırlatılır; bu hafta farklı bir parça ile pekiştirileceği söylenir.</t>
  </si>
  <si>
    <t xml:space="preserve">Farklı bir makine parçası üzerinde bağımsız kroki çizme temrini yaptırılır, öğretmen dolaşarak dönüt verir.</t>
  </si>
  <si>
    <t xml:space="preserve">Tamamlanan krokiler toplanıp değerlendirilir, Kroki ünitesi kapatılır.</t>
  </si>
  <si>
    <t xml:space="preserve">2. Perspektif Çizimi</t>
  </si>
  <si>
    <t xml:space="preserve">2. Teknik resim kurallarına uygun olarak standart resim kâğıtlarına çeşitli iş parçalarının perspektif resimlerini çizer.
• Perspektif kavramı, perspektif çizmenin önemi üzerinde durulur.
• Perspektif resim türleri ve perspektif resim özellikleri üzerinde durulur.</t>
  </si>
  <si>
    <t xml:space="preserve">Bir parçanın üç görünüşünü ayrı ayrı okumanın zor olabileceği, tek bir üç boyutlu görüntünün daha kolay anlaşılabileceği örneğiyle perspektife giriş yapılır.</t>
  </si>
  <si>
    <t xml:space="preserve">Perspektif çizmenin önemi ve perspektif resim türleri (izometrik, eğik, merkezi) genel hatlarıyla tanıtılır, örnek görseller gösterilir.</t>
  </si>
  <si>
    <t xml:space="preserve">Öğrencilerden gördükleri örneklerden hangi perspektif türüne ait olduğunu ayırt etmeleri istenir.</t>
  </si>
  <si>
    <t xml:space="preserve">2. Teknik resim kurallarına uygun olarak standart resim kâğıtlarına çeşitli iş parçalarının perspektif resimlerini çizer.
• İzometrik, eğik ve merkezi perspektif üzerinde durulur.
• İmalatta kullanılan perspektif temrinleri verilir.
19 MAYIS Atatürk'ü Anma Gençlik ve Spor Bayramı</t>
  </si>
  <si>
    <t xml:space="preserve">19 Mayıs kutlamasının ardından, geçen haftaki perspektif türlerinden izometrik perspektifin bu hafta uygulamalı işleneceği söylenir.</t>
  </si>
  <si>
    <t xml:space="preserve">İzometrik eksen açıları (120°) ve çizim tekniği gösterilir; basit bir küp/blok parçanın izometrik perspektifi adım adım çizdirilir.</t>
  </si>
  <si>
    <t xml:space="preserve">Çizilen izometrik perspektifin açı ve oranları kontrol edilir.</t>
  </si>
  <si>
    <t xml:space="preserve">2. Teknik resim kurallarına uygun olarak standart resim kâğıtlarına çeşitli iş parçalarının perspektif resimlerini çizer.
• İmalatta kullanılan perspektif temrinleri verilir.</t>
  </si>
  <si>
    <t xml:space="preserve">Geçen haftaki izometrik çizim hatırlatılır; bu hafta daha karmaşık bir parça ile pekiştirileceği söylenir.</t>
  </si>
  <si>
    <t xml:space="preserve">Kademeli/delikli bir parçanın izometrik perspektifi bağımsız olarak çizdirilir, öğretmen dönüt verir.</t>
  </si>
  <si>
    <t xml:space="preserve">Tamamlanan perspektif çizimleri toplanıp Perspektif ünitesi değerlendirilir.</t>
  </si>
  <si>
    <t xml:space="preserve">3. İmalat Resmi Çizimi</t>
  </si>
  <si>
    <t xml:space="preserve">3. Teknik resim kurallarına uygun olarak standart resim kâğıtlarına çeşitli iş parçalarının imalat resimlerini çizer.
• İmalat resmi, imalat resminin özellikleri üzerinde durulur.
• İmalat resim ölçeği, görünüş sayısı, kesit ve detaylarla ilgili örnekler verilir.</t>
  </si>
  <si>
    <t xml:space="preserve">Şimdiye kadar öğrenilen görünüş, kesit, ölçülendirme, tolerans ve yüzey kalitesinin bir araya geleceği son ünitenin İmalat Resmi olduğu söylenir.</t>
  </si>
  <si>
    <t xml:space="preserve">İmalat resminin özellikleri (ölçek, görünüş sayısı, kesit, detay, antet) örnek bir tam imalat resmi üzerinden gösterilir.</t>
  </si>
  <si>
    <t xml:space="preserve">Öğrencilerden örnek resimdeki antet bilgilerini okumaları istenir.</t>
  </si>
  <si>
    <t xml:space="preserve">3. Teknik resim kurallarına uygun olarak standart resim kâğıtlarına çeşitli iş parçalarının imalat resimlerini çizer.
• İmalat resim temrinleri verilir.</t>
  </si>
  <si>
    <t xml:space="preserve">Geçen haftaki örnek imalat resmi hatırlatılır; bu hafta öğrencilerin kendi imalat resmi temrinine başlayacağı söylenir.</t>
  </si>
  <si>
    <t xml:space="preserve">Basit bir makine parçasının (destek plakası gibi) imalat resmi çizimine görünüş seçimi ve yerleşim aşamasıyla başlanır.</t>
  </si>
  <si>
    <t xml:space="preserve">Yerleşim planı öğretmen tarafından kontrol edilip onaylanır.</t>
  </si>
  <si>
    <t xml:space="preserve">Geçen haftaki yerleşim planı hatırlatılır; bu hafta ölçülendirme ve kesit ekleme aşamasına geçileceği söylenir.</t>
  </si>
  <si>
    <t xml:space="preserve">Öğrenciler kendi imalat resimlerine ölçülendirme ve gerekiyorsa kesit görünüş ekler, öğretmen bireysel dönüt verir.</t>
  </si>
  <si>
    <t xml:space="preserve">Ölçülendirilen resimler kontrol edilir.</t>
  </si>
  <si>
    <t xml:space="preserve">Geçen hafta ölçülendirilen resmin bu hafta yüzey kalitesi ve tolerans bilgileriyle tamamlanacağı söylenir.</t>
  </si>
  <si>
    <t xml:space="preserve">Öğrenciler kendi resimlerine yüzey pürüzlülük sembollerini ve gerekli toleransları ekler.</t>
  </si>
  <si>
    <t xml:space="preserve">Eklenen sembollerin doğruluğu kontrol edilir.</t>
  </si>
  <si>
    <t xml:space="preserve">Yılın son haftası olduğu, bugüne kadar çizilen tüm resimlerin bir antetle tamamlanacağı söylenir.</t>
  </si>
  <si>
    <t xml:space="preserve">Antet doldurma kuralları (ölçek, malzeme, tarih, isim) gösterilir; öğrenciler imalat resmi temrinlerini antet ile tamamlayıp teslim eder.</t>
  </si>
  <si>
    <t xml:space="preserve">Tamamlanan imalat resimleri toplanıp yıl boyunca gelişim genel olarak değerlendirilir, öğrencilere yıl sonu dönütü verilir.</t>
  </si>
  <si>
    <t xml:space="preserve">BAKIM ONARIM MESLEK RESMİ</t>
  </si>
  <si>
    <t xml:space="preserve">Makine ve Tasarım Teknolojisi Alanı / Makine Bakım Onarım</t>
  </si>
  <si>
    <t xml:space="preserve">AMP 10-A</t>
  </si>
  <si>
    <t xml:space="preserve">VİDA, CIVATA VE SOMUN RESMİ ÇİZİMİ - 1. Vida Dişleri Çizimleri</t>
  </si>
  <si>
    <t xml:space="preserve">1. Standart çizelgelerden yararlanarak vida ölçülerini bulur ve vida dişi resmi çizer.
• Vidalarla ilgili araştırma yapması istenir.
• Öğrenciye vida ile cıvata arasındaki fark açıklanır.
• Diş dibi ve diş üstü çapı kavramları üzerinde durulur.
• Standart tablolardan ölçü alma işlemi açıklanır.</t>
  </si>
  <si>
    <t xml:space="preserve">Öğretim yılının ilk dersi olduğu için önceki bir konu tekrarı yapılmaz; bunun yerine bir cıvatanın üzerindeki dişin nasıl standart bir ölçüye göre üretildiği sorularak derse başlanır. Sınıfa örnek vida/cıvata numuneleri ve standart vida ölçü çizelgesi getirilir.</t>
  </si>
  <si>
    <t xml:space="preserve">Vida ile cıvata arasındaki fark, diş dibi ve diş üstü çapı kavramları örnek parça üzerinde gösterilir; standart tablodan ölçü okuma tekniği adım adım anlatılır. Öğrenciler seçtikleri bir vida ölçüsü için tablodan değer bularak vida dişi resmini çizer.</t>
  </si>
  <si>
    <t xml:space="preserve">Çizilen vida dişi resimleri tablo değerleriyle karşılaştırılarak kontrol edilir.</t>
  </si>
  <si>
    <t xml:space="preserve">Meslek Resim Salonu, resim masası, çizim araç gereçleri, çizim kâğıtları, örnek model parçalar, standart tablolar ve çizelgeler, akıllı tahta</t>
  </si>
  <si>
    <t xml:space="preserve">1. Vida Dişleri Çizimleri</t>
  </si>
  <si>
    <t xml:space="preserve">1. Standart çizelgelerden yararlanarak vida ölçülerini bulur ve vida dişi resmi çizer.
• Çizgi kalınlıklarına dikkat etmeleri sağlanır.
• Öğrencinin çizdiği her örnek bir port folyo dosyasına kaydedilir.</t>
  </si>
  <si>
    <t xml:space="preserve">Geçen hafta başlanan vida dişi çizimi hatırlatılır; bu hafta çizgi kalınlıklarına özellikle dikkat edileceği ve tüm çizimlerin bir portfolyo dosyasında saklanacağı söylenir.</t>
  </si>
  <si>
    <t xml:space="preserve">Vida dişi çiziminde kalın/ince çizgi kullanım kuralları tekrar gösterilir; öğrenciler farklı bir vida ölçüsü için ikinci bir vida dişi resmi çizer ve tamamlanan çalışmasını portfolyo dosyasına ekler.</t>
  </si>
  <si>
    <t xml:space="preserve">Portfolyo dosyaları kontrol edilerek çizim düzeni ve dosyalama alışkanlığı değerlendirilir.</t>
  </si>
  <si>
    <t xml:space="preserve">2. Cıvata Resmi Çizimleri</t>
  </si>
  <si>
    <t xml:space="preserve">2. Standart çizelgelerden yararlanarak cıvata ölçülerini bularak resimlerini çizer.
• Cıvata başı ve cıvata boyu kavramları açıklanır.
• Tablolardan standart cıvata ölçülerini tespit etmesi sağlanır.
• Anahtar ağzı kavramı açıklanır.</t>
  </si>
  <si>
    <t xml:space="preserve">Geçen haftaki vida dişi bilgisinin bu hafta tam bir cıvata çiziminde kullanılacağı söylenir; farklı baş tipindeki cıvata örnekleri (altı köşe, inbus) gösterilir.</t>
  </si>
  <si>
    <t xml:space="preserve">Cıvata başı ve cıvata boyu kavramları, standart tablodan cıvata ölçüsü tespiti ve anahtar ağzı ölçüsü hesaplama gösterilir; öğrenciler seçtikleri bir cıvatanın resmini tablo değerlerine göre çizer.</t>
  </si>
  <si>
    <t xml:space="preserve">Çizilen cıvata resmi anahtar ağzı ölçüsü açısından kontrol edilir.</t>
  </si>
  <si>
    <t xml:space="preserve">3. Somun Resmi Çizimleri</t>
  </si>
  <si>
    <t xml:space="preserve">3. Standart çizelgelerden yararlanarak somun ölçülerini bularak resimlerini çizer.
• Tablolardan standart somun ölçülerini doğru tespit etmesi sağlanır.
• Somunun altıgenini çizerken daire içine çokgen çizme yöntemi kullanılır.</t>
  </si>
  <si>
    <t xml:space="preserve">Geçen haftaki cıvatanın sıkılacağı somun bu hafta işleneceği söylenir; örnek somun numunesi gösterilir.</t>
  </si>
  <si>
    <t xml:space="preserve">Standart tablodan somun ölçüsü tespiti gösterilir; somunun altıgen görünüşünü çizmek için daire içine altıgen çizme yöntemi (pergel ve gönye ile) adım adım gösterilir. Öğrenciler kendi somun resimlerini çizer.</t>
  </si>
  <si>
    <t xml:space="preserve">Çizilen altıgenin köşe noktaları ve ölçüsü kontrol edilir.</t>
  </si>
  <si>
    <t xml:space="preserve">4. Vidalı Birleştirme Çizimleri</t>
  </si>
  <si>
    <t xml:space="preserve">4. Vidalı birleştirme resimleri çizer.
• Vidalı birleştirmelerle ilgili araştırma yapması istenir.
• Cıvatalı birleştirme çizimlerinde birleştirme örnekleri görsel olarak anlatılır.
• Tablolardan standart cıvata ölçülerini doğru tespit etmesi sağlanır.</t>
  </si>
  <si>
    <t xml:space="preserve">Geçen haftalarda ayrı ayrı çizilen vida, cıvata ve somunun birlikte nasıl bir birleştirme oluşturduğu sorulur; örnek vidalı birleştirme resmi/parçası gösterilir.</t>
  </si>
  <si>
    <t xml:space="preserve">Vidalı birleştirmelerle ilgili kısa bir araştırma ödevi hatırlatılarak bulgular paylaşılır; cıvatalı birleştirme örnekleri görsellerle anlatılır ve tablodan cıvata ölçüsü seçerek birleştirme resmi çizme çalışması başlatılır.</t>
  </si>
  <si>
    <t xml:space="preserve">Başlanan birleştirme resmi öğretmen tarafından kontrol edilip gelecek hafta tamamlanacağı belirtilir.</t>
  </si>
  <si>
    <t xml:space="preserve">4. Vidalı birleştirme resimleri çizer.
• Vidalı birleştirmelerin ön ve yan görünüşlerinin kesit olarak çizilmesi sağlanır.</t>
  </si>
  <si>
    <t xml:space="preserve">Geçen hafta başlanan vidalı birleştirme resmi hatırlatılır; bu hafta ön ve yan görünüşlerin kesit olarak çizileceği söylenir.</t>
  </si>
  <si>
    <t xml:space="preserve">Vidalı birleştirmenin ön ve yan görünüşünün kesit alınarak çizilmesi gösterilir; öğrenciler kendi birleştirme resimlerini kesit görünüşle tamamlar.</t>
  </si>
  <si>
    <t xml:space="preserve">Kesit tarama çizgilerinin doğruluğu kontrol edilir.</t>
  </si>
  <si>
    <t xml:space="preserve">4. Vidalı birleştirme resimleri çizer.
• Öğrencilerin kendi seçtikleri bir birleştirme tipini kullanarak uygulama yapmasına fırsat verilir.
29 EKİM Cumhuriyet Bayramı</t>
  </si>
  <si>
    <t xml:space="preserve">29 Ekim Cumhuriyet Bayramı nedeniyle kısa bir haftaya girildiği hatırlatılır; bu hafta öğrencilerin kendi seçtikleri bir birleştirme tipiyle serbest uygulama yapacağı söylenir.</t>
  </si>
  <si>
    <t xml:space="preserve">Öğrenciler daha önce öğrendikleri vida-cıvata-somun bilgisiyle kendi seçtikleri bir birleştirme tipini (örn. flanş bağlantısı) resmeder; öğretmen bireysel dönüt verir.</t>
  </si>
  <si>
    <t xml:space="preserve">Tamamlanan serbest uygulamalar portfolyoya eklenir, vidalı birleştirmeler ünitesi değerlendirilir.</t>
  </si>
  <si>
    <t xml:space="preserve">EMNİYETLİ BAĞLAMA ELEMANLARI ÇİZİMİ - 1. Rondela Çizimi</t>
  </si>
  <si>
    <t xml:space="preserve">1. Standart çizelgelerden rondela ölçülerini belirleyerek rondela resmi çizer.
• Tablolardan standart rondela ölçülerini doğru tespit etmesi sağlanır.
• Rondelaların ön görünüşünün kesit olarak çizilmesi sağlanır.</t>
  </si>
  <si>
    <t xml:space="preserve">Sıkılan bir cıvatanın somunla temas yüzeyini korumak için neye ihtiyaç duyulduğu sorulur; rondela örnekleri gösterilir.</t>
  </si>
  <si>
    <t xml:space="preserve">Standart tablodan rondela ölçüsü tespiti gösterilir; rondelanın ön görünüşünün kesit olarak çizilmesi anlatılır. Öğrenciler kendi rondela resimlerini çizer.</t>
  </si>
  <si>
    <t xml:space="preserve">Çizilen rondela kesitleri tablo ölçüleriyle karşılaştırılır.</t>
  </si>
  <si>
    <t xml:space="preserve">1. Rondela Çizimi</t>
  </si>
  <si>
    <t xml:space="preserve">1. Standart çizelgelerden rondela ölçülerini belirleyerek rondela resmi çizer.
• Öğrencinin çizdiği her örnek bir port folyo dosyasına kaydedilir.
10 KASIM Atatürk'ü Anma Günü ve Atatürk Haftası</t>
  </si>
  <si>
    <t xml:space="preserve">10 Kasım Atatürk'ü Anma Günü anması sonrası, geçen haftaki rondela çizimi hatırlatılarak bu haftanın pekiştirme çalışması olacağı söylenir.</t>
  </si>
  <si>
    <t xml:space="preserve">Farklı bir rondela ölçüsü için ikinci bir çizim temrini yaptırılır; tamamlanan çalışma portfolyo dosyasına eklenir.</t>
  </si>
  <si>
    <t xml:space="preserve">Portfolyo dosyaları kontrol edilip Emniyetli Bağlama Elemanları ünitesinin ilk konusu tamamlanır.</t>
  </si>
  <si>
    <t xml:space="preserve">2. Emniyet Sacı Resmi Çizimi</t>
  </si>
  <si>
    <t xml:space="preserve">2. Standart ölçülerini dikkate alarak emniyet sacı resmi çizer.
• Emniyet sacının birleştirmede önemi ile ilgili araştırma yapması istenir.
• Emniyet sacı birleştirme çizimlerinde birleştirme örnekleri görsel olarak anlatılır.</t>
  </si>
  <si>
    <t xml:space="preserve">Ara tatil dönüşü kısa bir hatırlatmanın ardından, bir somunun titreşimle gevşemesini önlemek için hangi elemanın kullanıldığı sorulur; emniyet sacı örneği gösterilir.</t>
  </si>
  <si>
    <t xml:space="preserve">Emniyet sacının birleştirmedeki önemiyle ilgili kısa araştırma ödevi paylaşılır; emniyet sacı birleştirme örnekleri görsellerle anlatılır ve öğrenciler emniyet sacı resmini çizer.</t>
  </si>
  <si>
    <t xml:space="preserve">Çizilen emniyet sacı resmi standart ölçülerle karşılaştırılır.</t>
  </si>
  <si>
    <t xml:space="preserve">2. Emniyet Sacı Resmi Çizimi - 3. Ayar Bileziği Resmi Çizimi</t>
  </si>
  <si>
    <t xml:space="preserve">2. Standart ölçülerini dikkate alarak emniyet sacı resmi çizer.
• Öğrencinin çizdiği her örnek bir port folyo dosyasına kaydedilir.
3. Ayar bileziği resmi çizer.
• Ayar bileziğinin birleştirmede önemi ile ilgili araştırma yapması istenir.</t>
  </si>
  <si>
    <t xml:space="preserve">Geçen haftaki emniyet sacı hatırlatılır; bu hafta benzer amaçla kullanılan ayar bileziğine geçileceği söylenir.</t>
  </si>
  <si>
    <t xml:space="preserve">Emniyet sacı çizimleri portfolyoya eklenir; ardından ayar bileziğinin birleştirmedeki önemiyle ilgili kısa bir araştırma paylaşımı yapılır ve ayar bileziği resmi çizim çalışmasına başlanır.</t>
  </si>
  <si>
    <t xml:space="preserve">Başlanan ayar bileziği resmi kontrol edilip gelecek hafta tamamlanacağı belirtilir.</t>
  </si>
  <si>
    <t xml:space="preserve">3. Ayar Bileziği Resmi Çizimi - 4. Gupilya Resmi Çizimi</t>
  </si>
  <si>
    <t xml:space="preserve">3. Ayar bileziği resmi çizer.
4. Gupilya resmi çizer.
• Tablolardan gupilya ölçülerini doğru tespit etmesi sağlanır.
• Gupilya çapı, kullanılacağı perno veya cıvatanın delik çapına göre seçilmesi üzerinde durulur.</t>
  </si>
  <si>
    <t xml:space="preserve">Geçen hafta başlanan ayar bileziği resmi hatırlatılır; bu hafta tamamlanacağı ve ardından gupilyaya geçileceği söylenir. Örnek gupilya numunesi gösterilir.</t>
  </si>
  <si>
    <t xml:space="preserve">Ayar bileziği resmi tamamlattırılır; gupilya çapının, kullanılacağı perno/cıvatanın delik çapına göre nasıl seçildiği tablo üzerinden gösterilir, öğrenciler gupilya resmi çizer.</t>
  </si>
  <si>
    <t xml:space="preserve">Gupilya çapı ile delik çapı uyumu kontrol edilir.</t>
  </si>
  <si>
    <t xml:space="preserve">4. Gupilya Resmi Çizimi - 5. Emniyet Segmanı Resmi Çizimi</t>
  </si>
  <si>
    <t xml:space="preserve">4. Gupilya resmi çizer.
• Öğrencinin çizdiği her örnek bir port folyo dosyasına kaydedilir.
5. Emniyet segmanı resmi çizer.
• Emniyet segmanı ile ilgili araştırma yapması istenir.</t>
  </si>
  <si>
    <t xml:space="preserve">Geçen haftaki gupilya resmi hatırlatılır; bu hafta tamamlanacağı ve emniyet segmanına geçileceği söylenir.</t>
  </si>
  <si>
    <t xml:space="preserve">Gupilya resmi tamamlanıp portfolyoya eklenir; emniyet segmanıyla ilgili kısa araştırma paylaşımı yapılır, öğrenciler emniyet segmanı resmi çizimine başlar.</t>
  </si>
  <si>
    <t xml:space="preserve">Başlanan segman resmi kontrol edilir.</t>
  </si>
  <si>
    <t xml:space="preserve">5. Emniyet Segmanı Resmi Çizimi - 6. Mil Tespit Plakası Resmi Çizimi</t>
  </si>
  <si>
    <t xml:space="preserve">5. Emniyet segmanı resmi çizer.
6. Mil tespit plakası resmi çizer.
• Mil tespit plakası ile ilgili araştırma yapması istenir.</t>
  </si>
  <si>
    <t xml:space="preserve">Geçen hafta başlanan emniyet segmanı resmi hatırlatılır; bu hafta tamamlanacağı ve mil tespit plakasına geçileceği söylenir.</t>
  </si>
  <si>
    <t xml:space="preserve">Emniyet segmanı resmi tamamlattırılır; mil tespit plakasıyla ilgili kısa araştırma paylaşımı yapılır, öğrenciler mil tespit plakası resmi çizimine başlar.</t>
  </si>
  <si>
    <t xml:space="preserve">Başlanan mil tespit plakası resmi kontrol edilir.</t>
  </si>
  <si>
    <t xml:space="preserve">6. Mil Tespit Plakası Resmi Çizimi</t>
  </si>
  <si>
    <t xml:space="preserve">6. Mil tespit plakası resmi çizer.
• Mil tespit plakası çizimlerinde birleştirme örnekleri görsel olarak anlatılır.</t>
  </si>
  <si>
    <t xml:space="preserve">Yılın son haftası öncesinde, geçen hafta başlanan mil tespit plakası resminin bu hafta tamamlanacağı söylenir.</t>
  </si>
  <si>
    <t xml:space="preserve">Mil tespit plakası çizimlerinde birleştirme örnekleri görsellerle anlatılır; öğrenciler resimlerini tamamlar.</t>
  </si>
  <si>
    <t xml:space="preserve">Tamamlanan resimler portfolyoya eklenir, Emniyetli Bağlama Elemanları ünitesi genel olarak değerlendirilir.</t>
  </si>
  <si>
    <t xml:space="preserve">BİRLEŞTİRME RESİMLERİ ÇİZİMİ - 1. Perno Resmi Çizimi</t>
  </si>
  <si>
    <t xml:space="preserve">1. Standart çizelgelerden yararlanarak perno resmi çizer.
• Tablolardan standart perno ölçülerini doğru tespit etmesi sağlanır.</t>
  </si>
  <si>
    <t xml:space="preserve">2. dönem başlamadan önce 1. dönemde çizilen emniyetli bağlama elemanlarının kısa bir özeti yapılır; bu hafta yeni ünite olan Birleştirme Resimleri'ne, pernoyla başlanacağı söylenir. Örnek perno gösterilir.</t>
  </si>
  <si>
    <t xml:space="preserve">Standart tablodan perno ölçüsü tespiti gösterilir; öğrenciler perno resmini çizer.</t>
  </si>
  <si>
    <t xml:space="preserve">Çizilen perno resmi tablo ölçüleriyle kontrol edilir.</t>
  </si>
  <si>
    <t xml:space="preserve">1. Perno Resmi Çizimi - 2. Pim Resmi Çizimi</t>
  </si>
  <si>
    <t xml:space="preserve">1. Standart çizelgelerden yararlanarak perno resmi çizer.
• Öğrencinin çizdiği her örnek bir port folyo dosyasına kaydedilir.
2. Standart çizelgelerden pim resmi çizer.
• Tablolardan standart pim ölçülerini doğru tespit etmesi sağlanır.</t>
  </si>
  <si>
    <t xml:space="preserve">Geçen haftaki perno resmi hatırlatılır; bu hafta pime geçileceği söylenir, örnek pim numuneleri gösterilir.</t>
  </si>
  <si>
    <t xml:space="preserve">Perno resmi portfolyoya eklenir; standart tablodan pim ölçüsü tespiti gösterilir ve öğrenciler pim resmi çizimine başlar.</t>
  </si>
  <si>
    <t xml:space="preserve">Başlanan pim resmi kontrol edilir.</t>
  </si>
  <si>
    <t xml:space="preserve">2. Pim Resmi Çizimi</t>
  </si>
  <si>
    <t xml:space="preserve">2. Standart çizelgelerden pim resmi çizer.
• Öğrencinin çizdiği her örnek bir port folyo dosyasına kaydedilir.</t>
  </si>
  <si>
    <t xml:space="preserve">Geçen hafta başlanan pim resmi hatırlatılır; bu hafta tamamlanacağı söylenir.</t>
  </si>
  <si>
    <t xml:space="preserve">Pim resmi tamamlattırılır ve portfolyoya eklenir.</t>
  </si>
  <si>
    <t xml:space="preserve">1. dönem sonu genel bir değerlendirme yapılır.</t>
  </si>
  <si>
    <t xml:space="preserve">3. Kama Resmi Çizimi</t>
  </si>
  <si>
    <t xml:space="preserve">3. Standart çizelgelerden yararlanarak kama resmi çizer.
• Tablolardan standart kama ölçülerini doğru tespit etmesi sağlanır.
• Kamalı birleştirme resimlerinde bırakılacak boşluğa dikkat etmesi istenir.</t>
  </si>
  <si>
    <t xml:space="preserve">Yarıyıl tatili dönüşü kısa bir hatırlatmayla derse başlanır; bir mile dişli/kasnak gibi bir parçanın dönmeden nasıl sabitlendiği sorulur; kama örneği gösterilir.</t>
  </si>
  <si>
    <t xml:space="preserve">Standart tablodan kama ölçüsü tespiti gösterilir; kamalı birleştirmede bırakılması gereken boşluğa dikkat çekilir. Öğrenciler kama resmi çizimine başlar.</t>
  </si>
  <si>
    <t xml:space="preserve">Başlanan kama resmi kontrol edilir.</t>
  </si>
  <si>
    <t xml:space="preserve">3. Standart çizelgelerden yararlanarak kama resmi çizer.
• Kamalı birleştirmenin ön görünüşünün kesit olarak çizilmesi sağlanır.
• Öğrencinin çizdiği her örnek bir port folyo dosyasına kaydedilir.</t>
  </si>
  <si>
    <t xml:space="preserve">Geçen hafta başlanan kama resmi hatırlatılır; bu hafta ön görünüşün kesit olarak çizileceği söylenir.</t>
  </si>
  <si>
    <t xml:space="preserve">Kamalı birleştirmenin ön görünüşünün kesit alınarak çizilmesi gösterilir; öğrenciler resimlerini bu şekilde tamamlayıp portfolyoya ekler.</t>
  </si>
  <si>
    <t xml:space="preserve">Kesit görünüşün doğruluğu kontrol edilir.</t>
  </si>
  <si>
    <t xml:space="preserve">3. Standart çizelgelerden yararlanarak kama resmi çizer.
• Kamalı birleştirmenin ön görünüşünün kesit olarak çizilmesi sağlanır.</t>
  </si>
  <si>
    <t xml:space="preserve">Geçen haftaki kesitli kama çizimi hatırlatılır; bu hafta farklı bir kama tipiyle pekiştirme yapılacağı söylenir.</t>
  </si>
  <si>
    <t xml:space="preserve">Farklı bir kama ölçüsü/tipi için ikinci bir kesitli kama resmi çizim temrini yaptırılır.</t>
  </si>
  <si>
    <t xml:space="preserve">Tamamlanan ikinci temrin ile ilki karşılaştırılarak değerlendirilir.</t>
  </si>
  <si>
    <t xml:space="preserve">4. Yay Resmi Çizimi</t>
  </si>
  <si>
    <t xml:space="preserve">4. Yay boyunu hesaplayarak yay resmi çizer.
• Tablolardan yay ölçülerini doğru tespit etmesi sağlanır.
• Birleştirme resimlerinde yaylar kesit görünüş olarak çizilir.</t>
  </si>
  <si>
    <t xml:space="preserve">Kamanın aksine esnek bir bağlantı elemanına ihtiyaç duyulduğunda ne kullanıldığı sorulur; yay örneği gösterilir.</t>
  </si>
  <si>
    <t xml:space="preserve">Yay boyu hesaplama yöntemi ve standart tablodan yay ölçüsü tespiti gösterilir; yayların birleştirme resimlerinde kesit görünüş olarak çizildiği anlatılır. Öğrenciler yay resmi çizer.</t>
  </si>
  <si>
    <t xml:space="preserve">Hesaplanan yay boyu ile çizilen resim karşılaştırılarak kontrol edilir.</t>
  </si>
  <si>
    <t xml:space="preserve">5. Perçin Resmi Çizimleri</t>
  </si>
  <si>
    <t xml:space="preserve">5. Perçin ölçülerini belirleyerek perçinli birleştirme resimleri çizer.
• Perçinli birleştirmelerde ön görünüşlerin kesit olarak çizilmesi sağlanır.</t>
  </si>
  <si>
    <t xml:space="preserve">Tatil dönüşü kısa bir hatırlatmayla başlanır; sökülemeyen bir birleştirme türü olan perçine geçileceği söylenir, örnek perçinli parça gösterilir.</t>
  </si>
  <si>
    <t xml:space="preserve">Perçinli birleştirmelerde ön görünüşün kesit olarak çizilmesi gösterilir; öğrenciler perçin ölçülerini belirleyerek perçinli birleştirme resmi çizer.</t>
  </si>
  <si>
    <t xml:space="preserve">Çizilen perçin resmi kesit kurallarına uygunluk açısından kontrol edilir.</t>
  </si>
  <si>
    <t xml:space="preserve">5. Perçin Resmi Çizimleri - 6. Kaynaklı Birleştirme Resmi Çizimleri</t>
  </si>
  <si>
    <t xml:space="preserve">5. Perçin ölçülerini belirleyerek perçinli birleştirme resimleri çizer.
• Öğrencinin çizdiği her örnek bir port folyo dosyasına kaydedilir.
6. Kaynaklı birleştirme çeşitlerini belirleyerek kaynaklı birleştirme resimleri çizer.
• Kaynaklı birleştirmeler ile ilgili araştırma yapması istenir.</t>
  </si>
  <si>
    <t xml:space="preserve">Geçen haftaki perçinli birleştirme hatırlatılır; bu hafta diğer bir sökülemeyen birleştirme türü olan kaynağa geçileceği söylenir.</t>
  </si>
  <si>
    <t xml:space="preserve">Perçin resmi tamamlanıp portfolyoya eklenir; kaynaklı birleştirmelerle ilgili kısa araştırma paylaşımı yapılır, kaynaklı birleştirme çeşitleri tanıtılır ve çizim çalışmasına başlanır.</t>
  </si>
  <si>
    <t xml:space="preserve">Başlanan kaynaklı birleştirme resmi kontrol edilir.</t>
  </si>
  <si>
    <t xml:space="preserve">6. Kaynaklı Birleştirme Resmi Çizimleri</t>
  </si>
  <si>
    <t xml:space="preserve">6. Kaynaklı birleştirme çeşitlerini belirleyerek kaynaklı birleştirme resimleri çizer.
• Kaynak sembolleri gösterilirken sembollerle beraber kılavuz çizgi ve referans çizgilerin kullanılması sağlanır.</t>
  </si>
  <si>
    <t xml:space="preserve">Geçen hafta başlanan kaynaklı birleştirme resmi hatırlatılır; bu hafta kaynak sembollerinin doğru gösterimine odaklanılacağı söylenir.</t>
  </si>
  <si>
    <t xml:space="preserve">Kaynak sembolleri, kılavuz çizgi ve referans çizgilerinin birlikte kullanımı gösterilir; öğrenciler kaynaklı birleştirme resmini sembollerle tamamlar.</t>
  </si>
  <si>
    <t xml:space="preserve">Kaynak sembollerinin doğru yerleştirilip yerleştirilmediği kontrol edilir; Birleştirme Resimleri ünitesi tamamlanır.</t>
  </si>
  <si>
    <t xml:space="preserve">MAKİNE ELEMANLARI RESMİ ÇİZİMİ - 1. Kasnak Çizimi</t>
  </si>
  <si>
    <t xml:space="preserve">1. Ölçülerini dikkate alarak kasnak resimleri çizer.
• Kasnakların hesaplar yardımıyla çizilmesi sağlanır.
• Kasnağın kol durumunu ifade etmek için kollar döndürülmüş kesit olarak çizilir.</t>
  </si>
  <si>
    <t xml:space="preserve">Şimdiye kadar bağlantı elemanları çizildiği, bu hafta yeni ünite olan Makine Elemanları Resmi'ne kasnakla başlanacağı söylenir; örnek kasnak gösterilir.</t>
  </si>
  <si>
    <t xml:space="preserve">Kasnak resminin hesaplarla nasıl çizildiği anlatılır; kasnağın kol durumunu göstermek için kolların döndürülmüş kesit olarak çizilme tekniği gösterilir. Öğrenciler kasnak resmi çizimine başlar.</t>
  </si>
  <si>
    <t xml:space="preserve">Başlanan kasnak resmi kontrol edilir.</t>
  </si>
  <si>
    <t xml:space="preserve">1. Kasnak Çizimi</t>
  </si>
  <si>
    <t xml:space="preserve">1. Ölçülerini dikkate alarak kasnak resimleri çizer.
• Kasnağın ön görünüşü kesit olarak çizilmesi gerektiği açıklanır.
• Öğrencinin çizdiği her örnek bir port folyo dosyasına kaydedilir.
23 NİSAN Ulusal Egemenlik ve Çocuk Bayramı</t>
  </si>
  <si>
    <t xml:space="preserve">23 Nisan haftasına denk gelen bu haftada, geçen hafta başlanan kasnak resminin bu hafta ön görünüşünün kesit olarak tamamlanacağı söylenir.</t>
  </si>
  <si>
    <t xml:space="preserve">Kasnağın ön görünüşünün kesit olarak çizilmesi gösterilir; öğrenciler resimlerini tamamlayıp portfolyoya ekler.</t>
  </si>
  <si>
    <t xml:space="preserve">Tamamlanan kasnak resimleri kesit kurallarına uygunluk açısından kontrol edilir.</t>
  </si>
  <si>
    <t xml:space="preserve">1. Ölçülerini dikkate alarak kasnak resimleri çizer.
• Öğrencinin çizdiği her örnek bir port folyo dosyasına kaydedilir.</t>
  </si>
  <si>
    <t xml:space="preserve">Geçen haftaki kasnak resmi hatırlatılır; bu hafta farklı bir kasnak ölçüsüyle pekiştirme yapılacağı söylenir.</t>
  </si>
  <si>
    <t xml:space="preserve">Farklı ölçüde bir kasnak için ikinci bir temrin çizdirilir; öğretmen bireysel dönüt verir.</t>
  </si>
  <si>
    <t xml:space="preserve">Tamamlanan çalışma portfolyoya eklenir, Kasnak Çizimi konusu değerlendirilir.</t>
  </si>
  <si>
    <t xml:space="preserve">2. Kayma Dirençli Yatak Çizimi</t>
  </si>
  <si>
    <t xml:space="preserve">2. Ölçülerini dikkate alarak kayma dirençli yatak yapım resimleri çizer.
• Tablolardan kayma dirençli yatak ölçülerini doğru tespit etmesi sağlanır.
• Kayma dirençli yataklar resimlerde tek görünüşle ifade edilmesi gerektiği anlatılır.</t>
  </si>
  <si>
    <t xml:space="preserve">Bir milin bir yuvada sürtünmeyle dönmesini sağlayan elemanın ne olduğu sorulur; kayma dirençli yatak (burç) örneği gösterilir.</t>
  </si>
  <si>
    <t xml:space="preserve">Standart tablodan kayma dirençli yatak ölçüsü tespiti gösterilir; bu tür yatakların resimde tek görünüşle ifade edilebileceği anlatılır. Öğrenciler yatak resmi çizer.</t>
  </si>
  <si>
    <t xml:space="preserve">Çizilen yatak resmi tablo ölçüleriyle kontrol edilir.</t>
  </si>
  <si>
    <t xml:space="preserve">3. Yuvarlanma Dirençli Yatak Resmi Çizimi</t>
  </si>
  <si>
    <t xml:space="preserve">3. Standart ölçülerini dikkate alarak yuvarlanma dirençli yatak yapım resimleri çizer.
• Tablolardan yuvarlanma dirençli yatak ölçülerini doğru tespit etmesi sağlanır.
• Yuvarlanmalı dirençli yatak resimleri montaj resimlerinde kesit görünüş olarak çizilmesi sağlanır.</t>
  </si>
  <si>
    <t xml:space="preserve">Geçen haftaki kayma dirençli yataktan farklı olarak, bilyalı/masuralı bir yatağın (rulman) nasıl çizileceği sorulur.</t>
  </si>
  <si>
    <t xml:space="preserve">Standart tablodan yuvarlanma dirençli yatak ölçüsü tespiti gösterilir; bu tür yatakların montaj resimlerinde kesit görünüş olarak çizildiği anlatılır. Öğrenciler yuvarlanma dirençli yatak resmi çizer.</t>
  </si>
  <si>
    <t xml:space="preserve">Kesit görünüşün doğruluğu kontrol edilir; Makine Elemanları Resmi ünitesi tamamlanır.</t>
  </si>
  <si>
    <t xml:space="preserve">KOMPLE RESİMLER - 1. Parçaların Birleştirme Resmi Çizimi</t>
  </si>
  <si>
    <t xml:space="preserve">1. İşlem sırasına göre komple montaj resimler çizer.
• Komple resimlere ölçü verilmediği gibi toleranslarında verilmediği açıklanır.
• Montaj resimleri önce çizilerek gösterilir sonra öğrencilerin çizmesi sağlanır.
19 MAYIS Atatürk'ü Anma Gençlik ve Spor Bayramı</t>
  </si>
  <si>
    <t xml:space="preserve">19 Mayıs kutlamasının ardından, şimdiye kadar tek tek çizilen tüm makine elemanlarının bir araya getirileceği yeni ünite olan Komple Resimler'e geçileceği söylenir; hazır bir komple montaj resmi örneği gösterilir.</t>
  </si>
  <si>
    <t xml:space="preserve">Komple resimlere ölçü ve tolerans verilmediği açıklanır; öğretmen bir komple montaj resmini önce kendisi çizerek gösterir, ardından öğrenciler basit bir birleştirmenin komple resmini çizmeye başlar.</t>
  </si>
  <si>
    <t xml:space="preserve">Başlanan komple resim kontrol edilir.</t>
  </si>
  <si>
    <t xml:space="preserve">1. Parçaların Birleştirme Resmi Çizimi</t>
  </si>
  <si>
    <t xml:space="preserve">1. İşlem sırasına göre komple montaj resimler çizer.
• Montaj resimleri önce çizilerek gösterilir sonra öğrencilerin çizmesi sağlanır.</t>
  </si>
  <si>
    <t xml:space="preserve">Geçen hafta başlanan komple montaj resmi hatırlatılır; bu hafta tamamlanacağı söylenir.</t>
  </si>
  <si>
    <t xml:space="preserve">Öğretmen bir örnek daha göstererek farklı bir montaj resmini çizer; öğrenciler kendi komple resimlerini tamamlar.</t>
  </si>
  <si>
    <t xml:space="preserve">Tamamlanan komple resimler portfolyoya eklenir.</t>
  </si>
  <si>
    <t xml:space="preserve">2. Grup Montaj Resimleri Çizimi</t>
  </si>
  <si>
    <t xml:space="preserve">2. Komple montaj resimlerinden grup montaj resimlerini çizer.
• Grup montajlarının tek başına çalışan bölümler olduğu açıklanır.
• Komple resim incelenerek grup montaj resmi çizilmesi sağlanır.</t>
  </si>
  <si>
    <t xml:space="preserve">Bir komple resmin aslında tek başına çalışabilen küçük gruplardan oluştuğu sorulur; grup montaj kavramına geçilir.</t>
  </si>
  <si>
    <t xml:space="preserve">Grup montajların komple resim içindeki tek başına çalışan bölümler olduğu açıklanır; bir komple resim incelenerek içindeki bir grup montaj resmi öğretmen tarafından çizilip gösterilir, öğrenciler benzer bir grup montaj resmi çizer.</t>
  </si>
  <si>
    <t xml:space="preserve">Çizilen grup montaj resmi komple resimle karşılaştırılarak kontrol edilir.</t>
  </si>
  <si>
    <t xml:space="preserve">2. Komple montaj resimlerinden grup montaj resimlerini çizer.
• Montaj resimlerinden grup resimlerinin çizilmesi önce gösterilir sonra öğrencilerin çizmesi sağlanır.</t>
  </si>
  <si>
    <t xml:space="preserve">Geçen hafta başlanan grup montaj resmi hatırlatılır; bu hafta tamamlanacağı söylenir.</t>
  </si>
  <si>
    <t xml:space="preserve">Öğretmen farklı bir grup montaj örneği daha gösterir; öğrenciler kendi grup montaj resimlerini tamamlar.</t>
  </si>
  <si>
    <t xml:space="preserve">Tamamlanan grup montaj resimleri portfolyoya eklenir.</t>
  </si>
  <si>
    <t xml:space="preserve">3. Komple Resimler Çizimi</t>
  </si>
  <si>
    <t xml:space="preserve">3. Grup montaj resimlerinden organ montaj resimlerini çizer.
• Organ montaj resimleri grup montaj resimlerinin ayrı ayrı çizilmiş parçaları olduğu açıklanır.
• Grup montaj resmi incelenerek organ resmi çizilmesi sağlanır.
• Organ montaj resimleri önce çizilerek gösterilir sonra öğrencilerin çizmesi sağlanır.</t>
  </si>
  <si>
    <t xml:space="preserve">Bir grup montajın da kendi içinde ayrı ayrı parçalara (organlara) ayrıldığı sorulur; organ montaj resmi kavramına geçilir.</t>
  </si>
  <si>
    <t xml:space="preserve">Organ montaj resimlerinin grup montaj resimlerinin tek tek çizilmiş parçaları olduğu açıklanır; bir grup montaj resmi incelenerek içindeki bir organ resmi öğretmen tarafından önce çizilip gösterilir, ardından öğrenciler benzer bir organ resmi çizer.</t>
  </si>
  <si>
    <t xml:space="preserve">Çizilen organ resmi grup montaj resmiyle karşılaştırılarak kontrol edilir.</t>
  </si>
  <si>
    <t xml:space="preserve">3. Grup montaj resimlerinden organ montaj resimlerini çizer.
• Organ montaj resimleri önce çizilerek gösterilir sonra öğrencilerin çizmesi sağlanır.</t>
  </si>
  <si>
    <t xml:space="preserve">Geçen hafta başlanan organ montaj resmi hatırlatılır; bu hafta farklı bir organ parçasıyla pekiştirileceği söylenir.</t>
  </si>
  <si>
    <t xml:space="preserve">Öğretmen farklı bir organ resmi örneği daha gösterir; öğrenciler kendi organ resimlerini çizer.</t>
  </si>
  <si>
    <t xml:space="preserve">Tamamlanan organ resimleri portfolyoya eklenir.</t>
  </si>
  <si>
    <t xml:space="preserve">Yılın son haftası olduğu, komple-grup-organ resim ilişkisinin kısa bir özetiyle derse başlanacağı söylenir.</t>
  </si>
  <si>
    <t xml:space="preserve">Öğrencilerden yıl boyunca çizdikleri komple, grup ve organ resimlerinden oluşan portfolyo dosyalarını tamamlayıp son kontrole hazırlamaları istenir; öğretmen dosyaları tek tek gözden geçirip dönüt verir.</t>
  </si>
  <si>
    <t xml:space="preserve">Portfolyo dosyaları teslim alınır, yıl boyunca gelişim genel olarak değerlendirilir.</t>
  </si>
  <si>
    <t xml:space="preserve">MALZEME BİLGİSİ</t>
  </si>
  <si>
    <t xml:space="preserve">MALZEME BİLİMİ - 1. Malzemenin Tanımı ve Sınıflandırılması</t>
  </si>
  <si>
    <t xml:space="preserve">1. Malzemenin tanımı ve sınıflandırmasını yapar.
• Malzemenin tanımı ve önemi açıklanır.
• Malzemelerin genel özellikleri açıklanır.
• Malzemeler sınıflandırılır.
• Metaller hakkında bilgi verilir.</t>
  </si>
  <si>
    <t xml:space="preserve">Öğretim yılının ilk dersi olduğu için önceki bir konu tekrarı yapılmaz; bunun yerine sınıfa farklı malzemelerden (metal, plastik, ahşap, seramik) yapılmış küçük nesneler getirilerek 'bu nesne neden bu malzemeden yapılmış olabilir' sorusu ile derse başlanır.</t>
  </si>
  <si>
    <t xml:space="preserve">Malzemenin tanımı, önemi ve genel özellikleri (mekanik, fiziksel, kimyasal) anlatılır; getirilen nesneler üzerinden malzemeler metal/metal olmayan olarak sınıflandırılır, metaller hakkında genel bilgi verilir.</t>
  </si>
  <si>
    <t xml:space="preserve">Öğrencilerden getirilen nesnelerden birini seçip malzeme sınıfını gerekçesiyle söylemeleri istenir.</t>
  </si>
  <si>
    <t xml:space="preserve">Anlatım, Soru-Cevap, Tartışma, Gösterip Yaptırma, Bireyselleştirilmiş Öğretim</t>
  </si>
  <si>
    <t xml:space="preserve">Etkileşimli tahta/projeksiyon, ders kitabı, malzeme numuneleri, sertlik ölçme cihazları, deney seti</t>
  </si>
  <si>
    <t xml:space="preserve">1. Malzemenin Tanımı ve Sınıflandırılması - 2. Malzemeleri Seçme</t>
  </si>
  <si>
    <t xml:space="preserve">• Metal olmayan malzemeler hakkında bilgi verilir.
• İletken ve yarı iletken malzemeler açıklanır.
• Modern malzemelerden bahsedilir.
2. İşe uygun malzeme seçimi yapar.
• Atomun yapısı açıklanır.</t>
  </si>
  <si>
    <t xml:space="preserve">Geçen haftaki metal örnekleri hatırlatılarak, bu hafta metal olmayan ve iletken/yarı iletken malzemelerin işleneceği söylenir; bir kablo örneği (iletken bakır iç kısım, yalıtkan plastik dış kısım) gösterilir.</t>
  </si>
  <si>
    <t xml:space="preserve">Metal olmayan malzemeler, iletken ve yarı iletken malzemeler ile modern malzemelerden (kompozit, akıllı malzemeler) kısaca bahsedilir; ardından malzeme seçiminde atomun yapısının neden önemli olduğu basit bir atom modeli çizimiyle anlatılır.</t>
  </si>
  <si>
    <t xml:space="preserve">Öğrencilerden bir elektrik kablosundaki iletken ve yalıtkan kısımları malzeme türüyle eşleştirmeleri istenir.</t>
  </si>
  <si>
    <t xml:space="preserve">2. Malzemeleri Seçme - 3. Alaşımlar</t>
  </si>
  <si>
    <t xml:space="preserve">• Atomlar arası bağ açıklanır.
• Malzemelerin moleküler yapısı ve kristal yapısı açıklanır.
3. Alaşımları ve alaşım yapmayı açıklar.
• Çeliği tanımlanır.
• Alaşımı tanımlanır.</t>
  </si>
  <si>
    <t xml:space="preserve">Geçen haftaki atom yapısı hatırlatılarak, atomların bir araya gelme şeklinin malzemenin özelliğini nasıl belirlediği sorulur.</t>
  </si>
  <si>
    <t xml:space="preserve">Atomlar arası bağ türleri, malzemelerin moleküler ve kristal yapısı basit şemalarla anlatılır; ardından alaşım kavramına geçilerek çelik ve alaşım tanımları örneklerle açıklanır.</t>
  </si>
  <si>
    <t xml:space="preserve">Öğrencilerden çelik ile saf demir arasındaki farkı kendi cümleleriyle özetlemeleri istenir.</t>
  </si>
  <si>
    <t xml:space="preserve">3. Alaşımlar</t>
  </si>
  <si>
    <t xml:space="preserve">• Demir alaşımları sınıflandırılır.
• Demir dışı metaller ve alaşımlarını açıklanır.</t>
  </si>
  <si>
    <t xml:space="preserve">Geçen haftaki alaşım tanımı hatırlatılarak, çelik dışında hangi metallerin alaşımlandığı sorulur.</t>
  </si>
  <si>
    <t xml:space="preserve">Demir alaşımları (çelik, dökme demir) sınıflandırılır; demir dışı metaller ve alaşımları (bakır, alüminyum alaşımları) örnek kullanım alanlarıyla anlatılır.</t>
  </si>
  <si>
    <t xml:space="preserve">Öğrencilerden bildikleri bir demir dışı alaşım ürünü örneği vermeleri istenir.</t>
  </si>
  <si>
    <t xml:space="preserve">4. Faz Dönüşümleri</t>
  </si>
  <si>
    <t xml:space="preserve">4. Allatropi-faz dönüşümlerini açıklayarak denge diyagramlarını çizer.
• Allotropi tanımlanır.
• Allotropik alaşımların özellikleri açıklanır.
• Demirin allotropisi açıklanır.</t>
  </si>
  <si>
    <t xml:space="preserve">Suyun 0°C'de buza dönüşmesi gibi metallerin de yapısının sıcaklıkla değişebileceği sorulur; allotropi kavramına giriş yapılır.</t>
  </si>
  <si>
    <t xml:space="preserve">Allotropi tanımı ve allotropik alaşımların özellikleri anlatılır; demirin farklı sıcaklıklarda farklı kristal yapılara (alfa, gama demir) sahip olması örneklerle gösterilir.</t>
  </si>
  <si>
    <t xml:space="preserve">Öğrencilerden demirin oda sıcaklığındaki ve yüksek sıcaklıktaki yapısını karşılaştırmaları istenir.</t>
  </si>
  <si>
    <t xml:space="preserve">4. Allatropi-faz dönüşümlerini açıklayarak denge diyagramlarını çizer.
• Demirin allotropisi açıklanır.
• Denge diyagramları çizilir.</t>
  </si>
  <si>
    <t xml:space="preserve">Geçen haftaki demirin allotropisi hatırlatılarak, bu bilginin bir diyagramla nasıl gösterileceği sorulur.</t>
  </si>
  <si>
    <t xml:space="preserve">Demir-karbon denge diyagramının temel mantığı (sıcaklık-karbon oranına göre faz değişimi) basitleştirilerek tahtada adım adım çizilir; öğrenciler kendi defterlerine diyagramı çizer.</t>
  </si>
  <si>
    <t xml:space="preserve">Çizilen diyagram üzerinde belirli bir sıcaklık-karbon noktasının hangi faza karşılık geldiği birlikte kontrol edilir.</t>
  </si>
  <si>
    <t xml:space="preserve">DEMİR ÜRETİMİ - 1. Ham Demirler</t>
  </si>
  <si>
    <t xml:space="preserve">1. Ham demir üretimini açıklar.
• Demirin tanımı yapılır.
• Demir filizleri açıklanır.
• Demirin elde edilmesi açıklanır.
29 EKİM Cumhuriyet Bayramı</t>
  </si>
  <si>
    <t xml:space="preserve">29 Ekim Cumhuriyet Bayramı nedeniyle kısa bir haftaya girildiği hatırlatılır; çeliğin nereden geldiği, hangi hammaddeden üretildiği sorulur.</t>
  </si>
  <si>
    <t xml:space="preserve">Demirin tanımı, doğada bulunan demir filizleri (hematit, manyetit) ve yüksek fırında ham demirin nasıl elde edildiği görsellerle anlatılır.</t>
  </si>
  <si>
    <t xml:space="preserve">Ham demir üretim aşamaları öğrencilerle birlikte sıralanarak tekrar edilir.</t>
  </si>
  <si>
    <t xml:space="preserve">2. Dökme Demirler</t>
  </si>
  <si>
    <t xml:space="preserve">2. Dökme demir üretimini açıklar.
• Dökme demir tanımlanır.
• Dökme demir çeşitleri sınıflandırılır.</t>
  </si>
  <si>
    <t xml:space="preserve">Geçen haftaki ham demir hatırlatılarak, bu hafta ham demirden üretilen bir ürün olan dökme demire geçileceği söylenir; sınıfa dökme demir bir parça (varsa) gösterilir.</t>
  </si>
  <si>
    <t xml:space="preserve">Dökme demir tanımı ve gri, beyaz, küresel grafitli gibi dökme demir çeşitleri sınıflandırılarak özellikleri karşılaştırılır.</t>
  </si>
  <si>
    <t xml:space="preserve">Öğrencilerden dökme demirin hangi çeşidinin daha kırılgan/daha dayanıklı olduğunu tahmin etmeleri istenir.</t>
  </si>
  <si>
    <t xml:space="preserve">2. Dökme demir üretimini açıklar.
• Dökme demir üretim işlemleri açıklanır.
10 KASIM Atatürk'ü Anma Günü ve Atatürk Haftası</t>
  </si>
  <si>
    <t xml:space="preserve">10 Kasım Atatürk'ü Anma Günü anması sonrası, geçen haftaki dökme demir çeşitleri hatırlatılarak üretim işlemlerine odaklanılacağı söylenir.</t>
  </si>
  <si>
    <t xml:space="preserve">Dökme demir üretim işlemleri (ergitme, kalıba dökme, soğutma) sırasıyla anlatılır; kısa bir döküm videosu izletilerek sürecin gerçek üretimdeki hâli gösterilir.</t>
  </si>
  <si>
    <t xml:space="preserve">İzlenen videodan çıkan üretim aşamaları öğrencilerle birlikte tahtaya sıralanır.</t>
  </si>
  <si>
    <t xml:space="preserve">ÇELİK ÜRETİMİ - 1. Çelik Üretim Yöntemleri</t>
  </si>
  <si>
    <t xml:space="preserve">1. Çelik üretim yöntemlerini açıklar.
• Çeliğin tanımı yapılır.
• Çelik üretim yöntemleri sınıflandırılır.
• Çeliklerin haddelenmesi açıklanır.</t>
  </si>
  <si>
    <t xml:space="preserve">Ara tatil dönüşü kısa bir hatırlatmanın ardından, dökme demirden farklı olarak daha az karbonlu ve daha dayanıklı olan çeliğin nasıl üretildiği sorulur.</t>
  </si>
  <si>
    <t xml:space="preserve">Çeliğin tanımı ve çelik üretim yöntemleri (konvertör, elektrik ark ocağı) sınıflandırılır; üretilen çeliğin haddeleme yoluyla nasıl şekillendirildiği anlatılır.</t>
  </si>
  <si>
    <t xml:space="preserve">Öğrencilerden çelik üretiminde haddelemenin amacını özetlemeleri istenir.</t>
  </si>
  <si>
    <t xml:space="preserve">1. Çelik Üretim Yöntemleri - 2. Çeliklerin Sınıflandırılması</t>
  </si>
  <si>
    <t xml:space="preserve">1. Çelik üretim yöntemlerini açıklar.
2. Çeliklerin sınıflandırmasını yapar.
• Çeliklerin sınıflandırılması yapılır.</t>
  </si>
  <si>
    <t xml:space="preserve">Geçen haftaki çelik üretim yöntemleri hatırlatılır; farklı çelik türlerinin nasıl sınıflandırıldığı sorulur.</t>
  </si>
  <si>
    <t xml:space="preserve">Çelik üretim yöntemleri konusu tamamlanır; ardından çelikler karbon oranına ve kullanım alanına göre (yapı çeliği, takım çeliği vb.) sınıflandırılır.</t>
  </si>
  <si>
    <t xml:space="preserve">Öğrencilerden bir makine parçası için hangi çelik türünün uygun olabileceğini tahmin etmeleri istenir.</t>
  </si>
  <si>
    <t xml:space="preserve">3. Çelik Katkı Elemanları ve Çelik Standartları</t>
  </si>
  <si>
    <t xml:space="preserve">3. Çelikte katkı elemanlarının etkilerini ve çelik standartlarını açıklar.
• Katkı elemanlarının çeliklere sağladığı faydalar açıklanır.
• TSE standartları sınıflandırılır.</t>
  </si>
  <si>
    <t xml:space="preserve">Saf çeliğe başka elementler eklenmesinin neden gerekli olduğu sorulur; katkı elementi kavramına giriş yapılır.</t>
  </si>
  <si>
    <t xml:space="preserve">Krom, nikel, mangan gibi katkı elemanlarının çeliğe kazandırdığı özellikler (sertlik, paslanmazlık) örneklerle anlatılır; TSE standartlarının çelik sınıflandırmasındaki rolü tanıtılır.</t>
  </si>
  <si>
    <t xml:space="preserve">Öğrencilerden bir TSE çelik kodundaki harflerin ne anlama gelebileceğini tahmin etmeleri istenir.</t>
  </si>
  <si>
    <t xml:space="preserve">3. Çelikte katkı elemanlarının etkilerini ve çelik standartlarını açıklar.
• ISO standartları sınıflandırılır.</t>
  </si>
  <si>
    <t xml:space="preserve">Geçen haftaki TSE standartları hatırlatılarak, uluslararası alanda kullanılan ISO standartlarının da bulunduğu söylenir.</t>
  </si>
  <si>
    <t xml:space="preserve">ISO çelik standartlarının sınıflandırma mantığı TSE ile karşılaştırmalı olarak anlatılır; örnek bir ISO çelik kodu birlikte çözülür.</t>
  </si>
  <si>
    <t xml:space="preserve">Çelik Üretimi ünitesi kısaca özetlenerek değerlendirilir.</t>
  </si>
  <si>
    <t xml:space="preserve">ÇELİKLERİN ISIL İŞLEMLERİ - 1. Isıl İşlem</t>
  </si>
  <si>
    <t xml:space="preserve">1. Isıl işlemin amaçlarını açıklar.
• Isıl işlem tanımlanır.
• Çeliğe uygulanan ısıl işlemin amacı açıklanır.
• Çeliklere uygulanan ısıl işlemler açıklanır.</t>
  </si>
  <si>
    <t xml:space="preserve">Aynı çelikten yapılmış iki parçanın neden farklı sertlikte olabileceği sorulur; ısıl işlem kavramına giriş yapılır.</t>
  </si>
  <si>
    <t xml:space="preserve">Isıl işlemin tanımı ve çeliğe uygulanma amacı (sertlik/tokluk kazandırma) anlatılır; çeliklere uygulanan temel ısıl işlemler (tavlama, sertleştirme, menevişleme) genel hatlarıyla tanıtılır.</t>
  </si>
  <si>
    <t xml:space="preserve">Öğrencilerden ısıl işlemin hangi amaçla uygulanabileceğine dair örnekler vermeleri istenir.</t>
  </si>
  <si>
    <t xml:space="preserve">1. Isıl İşlem</t>
  </si>
  <si>
    <t xml:space="preserve">1. Isıl işlemin amaçlarını açıklar.
• Çeliklerin tavlanması açıklanır.
• Tavlama çeşitleri açıklanır.
• Çeliğin sertleştirilmesi açıklanır.
• Çeliğin sertleştirilmesinin nedeni açıklanır.</t>
  </si>
  <si>
    <t xml:space="preserve">Yılın son haftası öncesinde, geçen haftaki ısıl işlem çeşitleri hatırlatılarak tavlama ve sertleştirmenin ayrıntısına geçileceği söylenir.</t>
  </si>
  <si>
    <t xml:space="preserve">Çeliklerin tavlanması ve tavlama çeşitleri (yumuşatma, gerilim giderme) anlatılır; çeliğin sertleştirilmesi işlemi ve sertleştirmenin nedeni (aşınma direncini artırma) örneklerle açıklanır.</t>
  </si>
  <si>
    <t xml:space="preserve">1. dönem sonu genel bir değerlendirme yapılır, Isıl İşlemler ünitesinin ilk kısmı tamamlanır.</t>
  </si>
  <si>
    <t xml:space="preserve">2. Yüzey Sertleştirme</t>
  </si>
  <si>
    <t xml:space="preserve">2. Yüzey sertleştirme yöntemlerini açıklar.
• Yüzey sertleştirme işleminin amacı açıklanır.
• Yüzey sertleştirme yöntemleri açıklanır.
• Sementasyon yöntemi açıklanır.
• Alevle yüzey sertleştirme yöntemi açıklanır.</t>
  </si>
  <si>
    <t xml:space="preserve">2. dönemin ilk haftası olması nedeniyle 1. dönemde işlenen ısıl işlem temelinin kısa bir özeti yapılır; bazen sadece parçanın yüzeyinin sertleştirilmek istendiği sorulur.</t>
  </si>
  <si>
    <t xml:space="preserve">Yüzey sertleştirme işleminin amacı ve yöntemleri (sementasyon, alevle sertleştirme) anlatılır; sementasyon yönteminin karbon zenginleştirme mantığı örneklerle gösterilir.</t>
  </si>
  <si>
    <t xml:space="preserve">Öğrencilerden sementasyonun hangi tür parçalarda tercih edilebileceğini tahmin etmeleri istenir.</t>
  </si>
  <si>
    <t xml:space="preserve">2. Yüzey sertleştirme yöntemlerini açıklar.
• Nitrürasyon yöntemi açıklanır.
• Daldırma yöntemi ile yüzey sertleştirme yöntemi açıklanır.
• Elektron bombardımanı ile yüzey sertleştirme yöntemi açıklanır.</t>
  </si>
  <si>
    <t xml:space="preserve">Geçen haftaki sementasyon ve alevle sertleştirme hatırlatılarak, diğer yüzey sertleştirme yöntemlerinin işleneceği söylenir.</t>
  </si>
  <si>
    <t xml:space="preserve">Nitrürasyon, daldırma yöntemiyle yüzey sertleştirme ve elektron bombardımanı yöntemleri karşılaştırmalı olarak anlatılır.</t>
  </si>
  <si>
    <t xml:space="preserve">Öğrenilen yüzey sertleştirme yöntemleri bir tabloda karşılaştırılarak Yüzey Sertleştirme konusu tamamlanır.</t>
  </si>
  <si>
    <t xml:space="preserve">3. Sertlik Ölçme Yöntemleri</t>
  </si>
  <si>
    <t xml:space="preserve">3. Sertlik ölçme yöntemlerini açıklar.
• Dinamik sertlik ölçme yöntemleri açıklanır.
• Rockwell, Brinell, Vickers ve Mikro sertlik ölçme yöntemleri açıklanır.</t>
  </si>
  <si>
    <t xml:space="preserve">Sertleştirilen bir parçanın sertlik derecesinin nasıl ölçüleceği sorulur; sertlik ölçüm cihazları/örnekleri gösterilir.</t>
  </si>
  <si>
    <t xml:space="preserve">Dinamik sertlik ölçme yöntemleri anlatılır; Rockwell, Brinell, Vickers ve mikro sertlik ölçme yöntemleri karşılaştırmalı örneklerle gösterilir.</t>
  </si>
  <si>
    <t xml:space="preserve">Öğrencilerden bu yöntemlerden hangisinin ince/hassas parçalar için uygun olabileceğini tahmin etmeleri istenir.</t>
  </si>
  <si>
    <t xml:space="preserve">3. Sertlik ölçme yöntemlerini açıklar.
• Statik sertlik ölçme yöntemleri açıklanır.
• Shore sertlik ölçme yöntemleri açıklanır.
• Sertlik ölçümü yapılırken dikkat edilecek hususlar açıklanır.</t>
  </si>
  <si>
    <t xml:space="preserve">Yarıyıl tatili dönüşü kısa bir hatırlatmayla derse başlanır; geçen dönem sonunda işlenen dinamik sertlik ölçme yöntemleri hatırlatılarak statik yöntemlere geçileceği söylenir.</t>
  </si>
  <si>
    <t xml:space="preserve">Statik sertlik ölçme yöntemleri ve Shore sertlik ölçme yöntemi anlatılır; sertlik ölçümü yapılırken dikkat edilmesi gereken hususlar (yüzey temizliği, batıcı uç seçimi) vurgulanır.</t>
  </si>
  <si>
    <t xml:space="preserve">Sertlik Ölçme Yöntemleri ünitesi genel bir karşılaştırmayla tamamlanır.</t>
  </si>
  <si>
    <t xml:space="preserve">KOROZYON - 1. Korozyon Çeşitleri</t>
  </si>
  <si>
    <t xml:space="preserve">1. Korozyon çeşitlerini açıklar.
• Korozyon tanımlanır.
• Korozyon çeşitleri açıklanır.</t>
  </si>
  <si>
    <t xml:space="preserve">Metal bir nesnenin zamanla paslanıp bozulmasının nedeni sorulur; paslanmış bir metal örneği (varsa) gösterilir.</t>
  </si>
  <si>
    <t xml:space="preserve">Korozyon tanımı ve korozyon çeşitleri (üniform, çukurcuk, galvanik korozyon) örneklerle anlatılır.</t>
  </si>
  <si>
    <t xml:space="preserve">Öğrencilerden çevrelerinde gördükleri bir korozyon örneğini paylaşmaları istenir.</t>
  </si>
  <si>
    <t xml:space="preserve">2. Korozyondan Korunma</t>
  </si>
  <si>
    <t xml:space="preserve">2. Korozyondan korunma yöntemlerini açıklar.
• Korozyona etki eden faktörler açıklanır.</t>
  </si>
  <si>
    <t xml:space="preserve">Geçen haftaki korozyon çeşitleri hatırlatılarak, korozyonu hızlandıran etkenlerin neler olabileceği sorulur.</t>
  </si>
  <si>
    <t xml:space="preserve">Korozyona etki eden faktörler (nem, tuz, sıcaklık, farklı metal teması) örneklerle anlatılır.</t>
  </si>
  <si>
    <t xml:space="preserve">Öğrencilerden korozyonu hızlandıran bir ortam örneği (deniz kenarı gibi) vermeleri istenir.</t>
  </si>
  <si>
    <t xml:space="preserve">2. Korozyondan korunma yöntemlerini açıklar.
• Korozyondan korunma yöntemleri açıklanır.</t>
  </si>
  <si>
    <t xml:space="preserve">Geçen haftaki korozyonu hızlandıran etkenler hatırlatılarak, bu etkenlere karşı nasıl önlem alınabileceği sorulur.</t>
  </si>
  <si>
    <t xml:space="preserve">Korozyondan korunma yöntemleri (boyama, galvanizleme, katodik koruma) örneklerle anlatılır.</t>
  </si>
  <si>
    <t xml:space="preserve">Öğrencilerden bir metal ürünü korozyona karşı nasıl koruyacaklarını kısaca yazmaları istenir.</t>
  </si>
  <si>
    <t xml:space="preserve">DEMİR DIŞI MALZEMELER - 1. Demir Olmayan Metaller</t>
  </si>
  <si>
    <t xml:space="preserve">1. Demir olmayan metalleri açıklar.
• Demir olmayan metal çeşitleri açıklanır.
• Ağır metaller ve özellikleri açıklanır.
• Hafif metaller ve özellikleri açıklanır.</t>
  </si>
  <si>
    <t xml:space="preserve">Tatil dönüşü kısa bir hatırlatmayla başlanır; demir dışında hangi metallerin sanayide sıkça kullanıldığı sorulur.</t>
  </si>
  <si>
    <t xml:space="preserve">Demir olmayan metal çeşitleri sınıflandırılır; ağır metaller (bakır, çinko) ve hafif metaller (alüminyum, magnezyum) özellikleriyle karşılaştırılır.</t>
  </si>
  <si>
    <t xml:space="preserve">Öğrencilerden hafif metallerin hangi sektörlerde (havacılık gibi) tercih edilebileceğini tahmin etmeleri istenir.</t>
  </si>
  <si>
    <t xml:space="preserve">2. Plastikler</t>
  </si>
  <si>
    <t xml:space="preserve">2. Plastik malzemeleri açıklar.
• Plastik malzemeyi tanımlar.
• Plastik malzemelerin genel özellikleri açıklanır.
• Plastik çeşitlerini açıklar.
• Doğal plastikler açıklanır.
• Yapay plastikler açıklanır.</t>
  </si>
  <si>
    <t xml:space="preserve">Metal olmayan ama günlük hayatta yaygın kullanılan bir malzeme türü sorulur; plastik ürün örnekleri gösterilir.</t>
  </si>
  <si>
    <t xml:space="preserve">Plastik malzeme tanımı ve genel özellikleri anlatılır; doğal ve yapay plastik çeşitleri örneklerle sınıflandırılır.</t>
  </si>
  <si>
    <t xml:space="preserve">Öğrencilerden getirilen plastik örneklerinin doğal mı yapay mı olduğunu tahmin etmeleri istenir.</t>
  </si>
  <si>
    <t xml:space="preserve">3. Kompozit Malzemeler</t>
  </si>
  <si>
    <t xml:space="preserve">3. Kompozit malzemeleri açıklar.
• Kompozit malzeme tanımlanır.
• Kompozit malzemeler ve temel özellikleri açıklanır.
• Kompozit malzemeler sınıflandırılır.</t>
  </si>
  <si>
    <t xml:space="preserve">Tek bir malzemenin yeterli olmadığı durumlarda ne yapıldığı sorulur; kompozit malzeme kavramına giriş yapılır.</t>
  </si>
  <si>
    <t xml:space="preserve">Kompozit malzeme tanımı ve temel özellikleri anlatılır; kompozit malzemeler matris ve takviye elemanına göre sınıflandırılır.</t>
  </si>
  <si>
    <t xml:space="preserve">Öğrencilerden bildikleri bir kompozit malzeme örneği (cam elyaf gibi) paylaşmaları istenir.</t>
  </si>
  <si>
    <t xml:space="preserve">3. Kompozit malzemeleri açıklar.
• Kompozit malzemelerin uygulama alanları açıklanır.</t>
  </si>
  <si>
    <t xml:space="preserve">Geçen haftaki kompozit malzeme sınıflandırması hatırlatılarak, bu malzemelerin nerelerde kullanıldığı sorulur.</t>
  </si>
  <si>
    <t xml:space="preserve">Kompozit malzemelerin uygulama alanları (havacılık, otomotiv, spor malzemeleri) örneklerle anlatılır.</t>
  </si>
  <si>
    <t xml:space="preserve">Demir Dışı Malzemeler ünitesi genel bir özetle tamamlanır.</t>
  </si>
  <si>
    <t xml:space="preserve">MALZEME MUAYENE YÖNTEMLERİ - 1. Tahrip Ederek Yapılan Muayene Yöntemleri</t>
  </si>
  <si>
    <t xml:space="preserve">1. Tahrip ederek yapılan malzeme muayene yöntemlerini açıklar.
• Malzeme muayenenin amacı ve önemi açıklanır.
• Tahrip ederek yapılan muayene yöntemleri sınıflandırılır.
• Malzeme muayene safhaları açıklanır.</t>
  </si>
  <si>
    <t xml:space="preserve">Bir malzemenin gerçekten dayanıklı olup olmadığının nasıl anlaşılacağı sorulur; malzeme muayenesi kavramına giriş yapılır.</t>
  </si>
  <si>
    <t xml:space="preserve">Malzeme muayenesinin amacı ve önemi anlatılır; tahrip ederek yapılan muayene yöntemleri sınıflandırılır, muayene safhaları (numune alma, deney, değerlendirme) sıralanır.</t>
  </si>
  <si>
    <t xml:space="preserve">Öğrencilerden tahribatlı muayenenin dezavantajının ne olabileceğini (parçanın kullanılamaz hâle gelmesi) tahmin etmeleri istenir.</t>
  </si>
  <si>
    <t xml:space="preserve">1. Tahrip Ederek Yapılan Muayene Yöntemleri</t>
  </si>
  <si>
    <t xml:space="preserve">1. Tahrip ederek yapılan malzeme muayene yöntemlerini açıklar.
• Kıvılcım deneyi ile muayene yöntemi açıklanır.
• Çekme deneyi ile muayene yöntemi açıklanır.
• Basma deneyi ile muayene yöntemi açıklanır.
23 NİSAN Ulusal Egemenlik ve Çocuk Bayramı</t>
  </si>
  <si>
    <t xml:space="preserve">23 Nisan haftasına denk gelen bu haftada, geçen haftaki tahribatlı muayeneye devam edileceği; bir malzemenin çekilerek ya da basılarak nasıl test edildiği sorulur.</t>
  </si>
  <si>
    <t xml:space="preserve">Kıvılcım deneyi ile çelik türü tahmini gösterilir; çekme ve basma deneylerinin nasıl yapıldığı ve neyi ölçtüğü (dayanım) anlatılır.</t>
  </si>
  <si>
    <t xml:space="preserve">Öğrencilerden çekme deneyinin hangi tür parçalar (kablo, halat) için önemli olduğunu tahmin etmeleri istenir.</t>
  </si>
  <si>
    <t xml:space="preserve">1. Tahrip ederek yapılan malzeme muayene yöntemlerini açıklar.
• Bükme deneyi ile muayene yöntemi açıklanır.
• Burulma deneyi ile muayene yöntemi açıklanır.
• Kesme deneyi ile muayene yöntemi açıklanır.
• Kopma deneyi ile muayene yöntemi açıklanır.</t>
  </si>
  <si>
    <t xml:space="preserve">Geçen haftaki çekme ve basma deneyleri hatırlatılarak, malzemenin bükülme, burulma ve kesilmeye karşı nasıl test edildiği sorulur.</t>
  </si>
  <si>
    <t xml:space="preserve">Bükme, burulma, kesme ve kopma deneyleri sırayla anlatılır; her deneyin hangi tür kullanım alanı için önemli olduğu örneklerle ilişkilendirilir.</t>
  </si>
  <si>
    <t xml:space="preserve">Tahrip ederek yapılan muayene yöntemleri bir tabloda toplu olarak özetlenir.</t>
  </si>
  <si>
    <t xml:space="preserve">2. Tahribatsız Muayene Yöntemleri</t>
  </si>
  <si>
    <t xml:space="preserve">2. Tahrip etmeden yapılan malzeme muayene yöntemlerini açıklar.
• Gözle muayene yöntemi açıklanır.
• Mikroskopla muayene yöntemi açıklanır.
• Penetrant sıvı ile kontrol yöntemi açıklanır.
• Basınçlı kontrol yöntemi açıklanır.</t>
  </si>
  <si>
    <t xml:space="preserve">Bir uçak parçasının test edilirken neden kırılmadan/bozulmadan test edilmek istendiği sorulur; tahribatsız muayeneye giriş yapılır.</t>
  </si>
  <si>
    <t xml:space="preserve">Gözle muayene ve mikroskopla muayene yöntemleri anlatılır; penetrant sıvı ile yüzey çatlaklarının nasıl tespit edildiği ve basınçlı kontrol yöntemi örneklerle gösterilir.</t>
  </si>
  <si>
    <t xml:space="preserve">Öğrencilerden gözle görülemeyen bir çatlağın nasıl tespit edilebileceğini (penetrant sıvı ile) özetlemeleri istenir.</t>
  </si>
  <si>
    <t xml:space="preserve">3. Teknolojik Muayene Yöntemleri</t>
  </si>
  <si>
    <t xml:space="preserve">3. Malzemelere uygulanan teknolojik deneyleri açıklar.
• Ultrasonik muayene yöntemleri açıklanır.
• Röntgen ışınları ile kontrol yöntemleri açıklanır.
19 MAYIS Atatürk'ü Anma Gençlik ve Spor Bayramı</t>
  </si>
  <si>
    <t xml:space="preserve">19 Mayıs kutlamasının ardından, malzemenin içindeki gizli kusurların (iç boşluk gibi) nasıl tespit edildiği sorulur.</t>
  </si>
  <si>
    <t xml:space="preserve">Ultrasonik muayene yönteminin ses dalgalarıyla çalışma mantığı ve röntgen ışınlarıyla kontrol yöntemi anlatılır.</t>
  </si>
  <si>
    <t xml:space="preserve">Öğrencilerden ultrasonik ve röntgen yöntemlerinin hangi tür (kalın/ince) parçalarda tercih edilebileceğini tartışmaları istenir.</t>
  </si>
  <si>
    <t xml:space="preserve">3. Malzemelere uygulanan teknolojik deneyleri açıklar.
• Manyetik kontrol yöntemleri açıklanır.</t>
  </si>
  <si>
    <t xml:space="preserve">Geçen haftaki ultrasonik ve röntgen yöntemleri hatırlatılarak, manyetik malzemelerde farklı bir yöntemin kullanılabileceği sorulur.</t>
  </si>
  <si>
    <t xml:space="preserve">Manyetik kontrol yönteminin çalışma mantığı (manyetik alan ve toz kullanımı) anlatılır; Malzeme Muayene Yöntemleri ünitesi genel bir karşılaştırmalı tablo ile tamamlanır.</t>
  </si>
  <si>
    <t xml:space="preserve">Öğrencilerden öğrenilen tüm muayene yöntemlerinden ikisini karşılaştırmaları istenir.</t>
  </si>
  <si>
    <t xml:space="preserve">TOZ METALÜRJİSİ - 1. Toz Üretim Yöntemleri</t>
  </si>
  <si>
    <t xml:space="preserve">1. Toz üretim yöntemlerini açıklar.
• Toz metalürjisinin tanımı yapılır.
• Toz metalürjisinin üretim aşamaları açıklanır.
• Toz metalürjisinin fayda ve zararları açıklanır.
• Toz metalürjisinin kullanım alanları açıklanır.
• Toz metalürjisinde kullanılan kavramlar açıklanır.</t>
  </si>
  <si>
    <t xml:space="preserve">Bazı parçaların dökülerek veya işlenerek değil, toz hâlindeki malzemeden üretildiği sorulur; toz metalürjisi kavramına giriş yapılır.</t>
  </si>
  <si>
    <t xml:space="preserve">Toz metalürjisinin tanımı, üretim aşamaları (toz üretimi, presleme, sinterleme) genel hatlarıyla anlatılır; toz metalürjisinin fayda-zararları ve kullanım alanları (dişli, filtre) örneklerle gösterilir.</t>
  </si>
  <si>
    <t xml:space="preserve">Öğrencilerden toz metalürjisinin hangi tür ürünler için avantajlı olabileceğini tahmin etmeleri istenir.</t>
  </si>
  <si>
    <t xml:space="preserve">2. Toz Şekillendirme Yöntemleri</t>
  </si>
  <si>
    <t xml:space="preserve">2. Toz şekillendirme yöntemlerini açıklar.
• Toz hazırlama yöntemleri açıklanır.
• Yağlayıcı ve bağlayıcılar açıklanır.
• Presleme yöntemi açıklanır.
• Haddeleme yöntemi açıklanır.
• İzostatik presleme yöntemi açıklanır.
• Ekstrüzyon yöntemi açıklanır.
• Toz enjeksiyon kalıplama tekniği açıklanır.</t>
  </si>
  <si>
    <t xml:space="preserve">Geçen haftaki toz üretimi hatırlatılarak, üretilen tozun nasıl şekillendirileceği sorulur.</t>
  </si>
  <si>
    <t xml:space="preserve">Toz hazırlama, yağlayıcı/bağlayıcı kullanımı ve presleme, haddeleme, izostatik presleme, ekstrüzyon ve toz enjeksiyon kalıplama yöntemleri karşılaştırmalı olarak anlatılır.</t>
  </si>
  <si>
    <t xml:space="preserve">Öğrencilerden bu yöntemlerden birini seçip kısaca özetlemeleri istenir.</t>
  </si>
  <si>
    <t xml:space="preserve">3. Sinterleme Kavramı</t>
  </si>
  <si>
    <t xml:space="preserve">3. Sinterleme kavramını açıklar.
• Sinterleme kavramı açıklanır.
• Sinterleme işleminin aşamaları anlatılır.
• Katı faz sinterlemesi açıklanır.
• Sıvı faz sinterlemesi açıklanır.</t>
  </si>
  <si>
    <t xml:space="preserve">Şekillendirilen tozun nasıl katı bir parçaya dönüştüğü sorulur; sinterleme kavramına giriş yapılır.</t>
  </si>
  <si>
    <t xml:space="preserve">Sinterleme kavramı ve işlem aşamaları anlatılır; katı faz ve sıvı faz sinterlemesi arasındaki fark örneklerle gösterilir.</t>
  </si>
  <si>
    <t xml:space="preserve">Öğrencilerden katı faz ile sıvı faz sinterleme arasındaki temel farkı özetlemeleri istenir.</t>
  </si>
  <si>
    <t xml:space="preserve">3. Sinterleme kavramını açıklar.
• Sinterlemenin uygulama alanları anlatılır.</t>
  </si>
  <si>
    <t xml:space="preserve">Geçen haftaki sinterleme türleri hatırlatılarak, bu yöntemin hangi sektörlerde kullanıldığı sorulur.</t>
  </si>
  <si>
    <t xml:space="preserve">Sinterlemenin uygulama alanları (otomotiv dişlileri, kesici takımlar, filtreler) örneklerle anlatılır.</t>
  </si>
  <si>
    <t xml:space="preserve">Öğrencilerden çevrelerinde sinterlenmiş bir ürün örneği tahmin etmeleri istenir.</t>
  </si>
  <si>
    <t xml:space="preserve">Yılın son haftası olduğu, malzeme biliminden başlayıp toz metalürjisine kadar işlenen tüm konuların kısa bir özetiyle derse başlanacağı söylenir.</t>
  </si>
  <si>
    <t xml:space="preserve">Sinterlemenin uygulama alanları tekrar gözden geçirilir; yıl boyunca işlenen malzeme türleri, ısıl işlemler, korozyon ve muayene yöntemleri arasındaki ilişkiyi gösteren bir kavram haritası öğrencilerle birlikte oluşturulur.</t>
  </si>
  <si>
    <t xml:space="preserve">Oluşturulan kavram haritası üzerinden yıl boyunca öğrenilenler genel olarak değerlendirilir, öğrencilere yıl sonu dönütü verilir.</t>
  </si>
  <si>
    <t xml:space="preserve">ÖLÇME VE KONTROL</t>
  </si>
  <si>
    <t xml:space="preserve">KUMPASLA ÖLÇÜM YAPMA - 1. Kumpaslar ve Çeşitleri</t>
  </si>
  <si>
    <t xml:space="preserve">1. Ölçülecek profile ve ölçü büyüklüğüne göre kumpas seçer.
2. Kumpas çene hassasiyetini kontrol eder.</t>
  </si>
  <si>
    <t xml:space="preserve">Öğretim yılının ilk dersi olduğu için önceki bir konu tekrarı yapılmaz; bunun yerine bir parçanın ölçüsünün milimetrenin onda biri hassasiyetinde nasıl ölçülebileceği sorulur. Sınıfa farklı tip kumpaslar (0,02 mm'lik, 0,05 mm'lik, dijital) getirilir.</t>
  </si>
  <si>
    <t xml:space="preserve">Kumpas çeşitleri (üniversal, derinlik, basamak kumpası) tanıtılır; ölçülecek parçanın profiline ve büyüklüğüne göre doğru kumpasın nasıl seçileceği örneklerle gösterilir. Ardından kumpas çenelerinin hassasiyetinin nasıl kontrol edileceği (çeneleri kapatıp ışığa tutma) gösterilir.</t>
  </si>
  <si>
    <t xml:space="preserve">Öğrencilerden kendilerine verilen kumpasın çene hassasiyetini kontrol etmeleri istenir.</t>
  </si>
  <si>
    <t xml:space="preserve">Gösteri, Soru-Cevap, Bireyselleştirilmiş Öğretim, Uygulama</t>
  </si>
  <si>
    <t xml:space="preserve">İmalat atölyesi, kumpas, mikrometre, komparatör, açıölçer, sinüs çubuğu, yüzey profilometresi, mastarlar, optik cam</t>
  </si>
  <si>
    <t xml:space="preserve">1. Kumpaslar ve Çeşitleri</t>
  </si>
  <si>
    <t xml:space="preserve">Geçen hafta tanınan kumpas çeşitleri kısaca hatırlatılır; bu hafta farklı parça profillerine hangi kumpasın uygun olacağı üzerinde durulacağı söylenir.</t>
  </si>
  <si>
    <t xml:space="preserve">Sınıfa getirilen farklı profildeki parçalar (silindirik, köşeli, basamaklı) için hangi kumpas tipinin seçileceği öğrencilerle birlikte belirlenir; her öğrenci kendi kumpasının çene hassasiyetini tekrar kontrol eder.</t>
  </si>
  <si>
    <t xml:space="preserve">Doğru kumpas-parça eşleştirmeleri sınıfça değerlendirilir.</t>
  </si>
  <si>
    <t xml:space="preserve">2. Kumpasla Ölçüm Yapma</t>
  </si>
  <si>
    <t xml:space="preserve">3. Kumpası parça geometrisine göre konumlandırır.
4. Tespit vidası yardımıyla hareketli çeneyi tespit eder.</t>
  </si>
  <si>
    <t xml:space="preserve">Geçen haftaki kumpas seçimi hatırlatılır; bu hafta ilk ölçüm uygulaması olarak dış çap ölçümüne geçileceği söylenir.</t>
  </si>
  <si>
    <t xml:space="preserve">Kumpasın dış çene ile bir silindirik parçanın dış çapını ölçmek için parça geometrisine göre nasıl konumlandırılacağı gösterilir; tespit vidasıyla hareketli çenenin sabitlenmesi öğretilir. Öğrenciler kendi parçalarında dış çap ölçümü uygulaması yapar.</t>
  </si>
  <si>
    <t xml:space="preserve">Ölçülen dış çap değerleri öğrenciler arasında karşılaştırılarak tutarlılık kontrol edilir.</t>
  </si>
  <si>
    <t xml:space="preserve">3. Kumpası parça geometrisine göre konumlandırır.
4. Tespit vidası yardımıyla hareketli çeneyi tespit eder.
5. Kumpastan değer okur.</t>
  </si>
  <si>
    <t xml:space="preserve">Geçen haftaki dış çap ölçümü hatırlatılır; bu hafta kumpasın iç çene ile iç çap ölçümünde kullanılacağı söylenir.</t>
  </si>
  <si>
    <t xml:space="preserve">İç çene ile bir delik/kovan parçasının iç çapının ölçülmesi gösterilir; kumpastan değer okuma tekniği (ana skala + verniyer/dijital gösterge) ayrıntılı anlatılır. Öğrenciler iç çap ölçümü uygulaması yapar.</t>
  </si>
  <si>
    <t xml:space="preserve">Okunan değerler öğretmen tarafından kontrol edilerek doğru okuma alışkanlığı pekiştirilir.</t>
  </si>
  <si>
    <t xml:space="preserve">Geçen haftaki iç çap ölçümü hatırlatılır; bu hafta kumpasın derinlik ölçme özelliğinin kullanılacağı söylenir.</t>
  </si>
  <si>
    <t xml:space="preserve">Kumpasın derinlik çubuğuyla bir kanal/delik derinliğinin nasıl ölçüldüğü gösterilir; parçanın düzgün yüzeye dayanmasının önemi vurgulanır. Öğrenciler derinlik ölçümü uygulaması yapar.</t>
  </si>
  <si>
    <t xml:space="preserve">Ölçülen derinlik değerleri imalat resmindeki değerle karşılaştırılır.</t>
  </si>
  <si>
    <t xml:space="preserve">Geçen haftaki derinlik ölçümü hatırlatılır; bu hafta basamaklı bir parçada basamak yüksekliği ölçümüne geçileceği söylenir.</t>
  </si>
  <si>
    <t xml:space="preserve">Kumpasın basamak ölçme yüzeyiyle bir basamaklı parçanın yükseklik farkının nasıl ölçüldüğü gösterilir. Öğrenciler basamak ölçümü uygulaması yapar.</t>
  </si>
  <si>
    <t xml:space="preserve">Ölçülen basamak yükseklikleri kontrol edilir.</t>
  </si>
  <si>
    <t xml:space="preserve">5. Kumpastan değer okur.
29 EKİM Cumhuriyet Bayramı</t>
  </si>
  <si>
    <t xml:space="preserve">29 Ekim Cumhuriyet Bayramı nedeniyle kısa bir haftaya girildiği hatırlatılır; bu hafta şimdiye kadar öğrenilen tüm kumpas ölçüm türlerinin (dış, iç, derinlik, basamak) bir arada uygulanacağı söylenir.</t>
  </si>
  <si>
    <t xml:space="preserve">Öğrencilere dış çap, iç çap, derinlik ve basamak ölçüsü gerektiren karma bir parça verilir; öğrenciler tüm ölçümleri sırasıyla yapıp kumpastan değer okur.</t>
  </si>
  <si>
    <t xml:space="preserve">Ölçüm sonuçları bir ölçüm formuna kaydedilerek Kumpasla Ölçüm ünitesi tamamlanır.</t>
  </si>
  <si>
    <t xml:space="preserve">MİKROMETRE ÖLÇÜM YAPMA - 1. Mikrometreler ve Çeşitleri</t>
  </si>
  <si>
    <t xml:space="preserve">1. Ölçülecek profile ve ölçü büyüklüğüne göre mikrometre seçer.
2. Mikrometre örslerinin temizlik kontrolünü yapar.</t>
  </si>
  <si>
    <t xml:space="preserve">Kumpasın 0,02 mm hassasiyetinin bazı hassas parçalarda yetersiz kalabileceği sorulur; daha hassas bir ölçüm aracı olan mikrometre tanıtılır.</t>
  </si>
  <si>
    <t xml:space="preserve">Mikrometre çeşitleri (dış çap, iç çap, derinlik mikrometresi) tanıtılır; ölçülecek profile ve büyüklüğe göre doğru mikrometrenin nasıl seçileceği gösterilir; mikrometre örslerinin temizlik kontrolünün önemi vurgulanır.</t>
  </si>
  <si>
    <t xml:space="preserve">Öğrencilerden kendi mikrometrelerinin örs temizliğini kontrol etmeleri istenir.</t>
  </si>
  <si>
    <t xml:space="preserve">1. Mikrometreler ve Çeşitleri</t>
  </si>
  <si>
    <t xml:space="preserve">1. Ölçülecek profile ve ölçü büyüklüğüne göre mikrometre seçer.
2. Mikrometre örslerinin temizlik kontrolünü yapar.
10 KASIM Atatürk'ü Anma Günü ve Atatürk Haftası</t>
  </si>
  <si>
    <t xml:space="preserve">10 Kasım Atatürk'ü Anma Günü anması sonrası, geçen haftaki mikrometre seçimi ve temizlik kontrolü hatırlatılarak pekiştirileceği söylenir.</t>
  </si>
  <si>
    <t xml:space="preserve">Farklı ölçü aralıklarındaki (0-25, 25-50 mm) mikrometreler öğrencilere dağıtılır; her öğrenci kendi mikrometresinin örs yüzeylerini temizleyip kontrol eder.</t>
  </si>
  <si>
    <t xml:space="preserve">Mikrometrelerin kullanıma hazır olup olmadığı öğretmen tarafından son kez kontrol edilir.</t>
  </si>
  <si>
    <t xml:space="preserve">2. Mikrometre İle Ölçüm Yapma</t>
  </si>
  <si>
    <t xml:space="preserve">3. Kontrol mastarlarıyla ölçü hassasiyeti kontrolünü yapar.
4. Mikrometreyi parça geometrisine göre konumlandırır.</t>
  </si>
  <si>
    <t xml:space="preserve">Ara tatil dönüşü kısa bir hatırlatmanın ardından, bir mikrometrenin sıfır noktasının doğruluğunun nasıl kontrol edileceği sorulur; kontrol mastarları gösterilir.</t>
  </si>
  <si>
    <t xml:space="preserve">Kontrol mastarlarıyla mikrometrenin ölçü hassasiyetinin kontrol edilmesi gösterilir; ardından mikrometrenin parça geometrisine göre konumlandırılması (mikrometre çerçevesini sıkıca ama zorlamadan tutma) öğretilir.</t>
  </si>
  <si>
    <t xml:space="preserve">Öğrencilerden kendi mikrometrelerini kontrol mastarıyla sıfırlamaları istenir.</t>
  </si>
  <si>
    <t xml:space="preserve">Geçen haftaki mastar kontrolü hatırlatılır; bu hafta farklı çaplarda parçalar üzerinde konumlandırma uygulamasına devam edileceği söylenir.</t>
  </si>
  <si>
    <t xml:space="preserve">Farklı çaplardaki iki-üç örnek parça üzerinde mikrometrenin doğru konumlandırılması tekrar tekrar uygulatılır, öğretmen bireysel dönüt verir.</t>
  </si>
  <si>
    <t xml:space="preserve">Konumlandırma tekniğinin doğruluğu gözlemle değerlendirilir.</t>
  </si>
  <si>
    <t xml:space="preserve">5. Tespit mandalı yardımıyla hareketli mili tespit eder.
6. Mikrometreden değer okur.</t>
  </si>
  <si>
    <t xml:space="preserve">Geçen haftaki konumlandırma tekniği hatırlatılır; bu hafta mikrometrenin hareketli milinin nasıl sabitlenip değerin nasıl okunacağı işleneceği söylenir.</t>
  </si>
  <si>
    <t xml:space="preserve">Tespit mandalıyla hareketli milin sabitlenmesi gösterilir; mikrometreden değer okuma (kılavuz skala + tambur skala) adım adım anlatılır. Öğrenciler bir parça üzerinde ölçüm yapıp değer okur.</t>
  </si>
  <si>
    <t xml:space="preserve">Okunan değerler öğretmen tarafından kontrol edilir.</t>
  </si>
  <si>
    <t xml:space="preserve">Geçen haftaki değer okuma tekniği hatırlatılır; bu hafta farklı bir parça ile okuma pratiğine devam edileceği söylenir.</t>
  </si>
  <si>
    <t xml:space="preserve">Farklı çaplı ikinci bir parça üzerinde tespit mandalı kullanımı ve değer okuma tekrar uygulatılır.</t>
  </si>
  <si>
    <t xml:space="preserve">İki farklı ölçüm arasındaki tutarlılık karşılaştırılır.</t>
  </si>
  <si>
    <t xml:space="preserve">Geçen haftaki okuma pratiği hatırlatılır; bu hafta ünitenin son pekiştirme uygulamasının yapılacağı söylenir.</t>
  </si>
  <si>
    <t xml:space="preserve">Öğrencilere karma bir ölçüm formu verilir; birden fazla parça üzerinde mikrometreyle ölçüm yapıp sonuçları kaydederler.</t>
  </si>
  <si>
    <t xml:space="preserve">Ölçüm formları toplanıp Mikrometre İle Ölçüm ünitesi değerlendirilir.</t>
  </si>
  <si>
    <t xml:space="preserve">AÇI ÖLÇME - 1. Açı Ölçme</t>
  </si>
  <si>
    <t xml:space="preserve">1. Verniyerli açıölçerlerle ölçüm yapar.
2. Sinüs çubuğu ve ölçü mastarıyla ölçüm yapar.</t>
  </si>
  <si>
    <t xml:space="preserve">Yılın son haftası öncesinde, uzunluk ölçümünden farklı olarak açı ölçümünün nasıl yapılacağı sorulur; verniyerli açıölçer gösterilir.</t>
  </si>
  <si>
    <t xml:space="preserve">Verniyerli açıölçerle ölçüm tekniği gösterilir; ardından sinüs çubuğu ve ölçü mastarı kullanılarak hassas açı ölçümü nasıl yapılır anlatılır.</t>
  </si>
  <si>
    <t xml:space="preserve">Öğrencilerden açıölçerle basit bir açı ölçümü yapmaları istenir.</t>
  </si>
  <si>
    <t xml:space="preserve">1. Açı Ölçme</t>
  </si>
  <si>
    <t xml:space="preserve">Geçen haftaki açıölçer ve sinüs çubuğu hatırlatılır; bu hafta bu tekniklerin farklı parçalar üzerinde pekiştirileceği söylenir.</t>
  </si>
  <si>
    <t xml:space="preserve">Farklı açılı iki-üç örnek parça üzerinde açıölçer ve sinüs çubuğu ile ölçüm tekrar uygulatılır.</t>
  </si>
  <si>
    <t xml:space="preserve">Ölçülen açı değerleri imalat resmindeki değerlerle karşılaştırılır.</t>
  </si>
  <si>
    <t xml:space="preserve">3. Silindirik makaralar ve bilyeler yardımıyla koniklik açısı ölçer.
4. Optik açı ölçüm cihazıyla açı ölçer.</t>
  </si>
  <si>
    <t xml:space="preserve">Geçen haftaki düz açı ölçümlerinden farklı olarak, konik bir parçanın açısının nasıl ölçüleceği sorulur; silindirik makaralar/bilyeler gösterilir.</t>
  </si>
  <si>
    <t xml:space="preserve">Silindirik makaralar ve bilyeler yardımıyla koniklik açısı ölçme yöntemi gösterilir; ardından optik açı ölçüm cihazının kullanımı tanıtılır.</t>
  </si>
  <si>
    <t xml:space="preserve">Öğrencilerden koniklik ölçüm sonucunu kaydetmeleri istenir.</t>
  </si>
  <si>
    <t xml:space="preserve">Geçen haftaki koniklik ölçümü ve optik cihaz hatırlatılır; bu hafta farklı bir konik parça ile pekiştirileceği söylenir.</t>
  </si>
  <si>
    <t xml:space="preserve">Farklı bir konik parça üzerinde makaralar/bilyelerle koniklik ölçümü ve optik cihazla açı ölçümü tekrar uygulatılır.</t>
  </si>
  <si>
    <t xml:space="preserve">1. dönem sonu genel bir değerlendirme yapılır, Açı Ölçme ünitesi tamamlanır.</t>
  </si>
  <si>
    <t xml:space="preserve">YÜZEY PÜRÜZLÜLÜĞÜ ÖLÇME - 1. Yüzey Profilometresi</t>
  </si>
  <si>
    <t xml:space="preserve">1. Yüzey profilometresi ile yüzey pürüzlülüğünü ölçer.</t>
  </si>
  <si>
    <t xml:space="preserve">Yarıyıl tatili dönüşü kısa bir hatırlatmayla derse başlanır; bir parçanın ölçüsü doğru olsa bile yüzeyinin pürüzlü olabileceği sorulur; yüzey profilometresi gösterilir.</t>
  </si>
  <si>
    <t xml:space="preserve">Yüzey profilometresi ile yüzey pürüzlülüğünün (Ra değeri) ölçülmesi gösterilir; cihazın parça üzerinde nasıl gezdirileceği ve sonucun nasıl okunacağı anlatılır. Öğrenciler örnek bir parça üzerinde ölçüm yapar.</t>
  </si>
  <si>
    <t xml:space="preserve">Ölçülen Ra değeri imalat resmindeki istenen yüzey kalitesiyle karşılaştırılır.</t>
  </si>
  <si>
    <t xml:space="preserve">2. Yüzey Pürüzlülük Mastarları</t>
  </si>
  <si>
    <t xml:space="preserve">2. Yüzey pürüzlülük mastarlarıyla ölçüm yapar.</t>
  </si>
  <si>
    <t xml:space="preserve">Her atölyede profilometre bulunmayabileceği, daha basit bir karşılaştırma yönteminin de olduğu sorulur; yüzey pürüzlülük mastarları gösterilir.</t>
  </si>
  <si>
    <t xml:space="preserve">Yüzey pürüzlülük mastarlarıyla (dokunma/görsel karşılaştırma) ölçüm yapma tekniği gösterilir; öğrenciler farklı işlenmiş yüzeyleri mastarla karşılaştırır.</t>
  </si>
  <si>
    <t xml:space="preserve">Yüzey Pürüzlülüğü Ölçme ünitesi genel bir karşılaştırmayla tamamlanır.</t>
  </si>
  <si>
    <t xml:space="preserve">VİDALARI ÖLÇME - 1. Vida Türlerinin Belirlenmesi</t>
  </si>
  <si>
    <t xml:space="preserve">1. Kumpas ile vidanın metrik veya withworth vida cinslerinden hangisi olduğunu belirler.</t>
  </si>
  <si>
    <t xml:space="preserve">Bir vidanın metrik mi yoksa whitworth mü olduğunun nasıl anlaşılacağı sorulur; iki farklı vida örneği gösterilir.</t>
  </si>
  <si>
    <t xml:space="preserve">Kumpas ile vidanın diş açısını ve adımını ölçerek metrik veya whitworth vida cinsinin nasıl belirleneceği gösterilir; öğrenciler verilen vida örneklerini sınıflandırır.</t>
  </si>
  <si>
    <t xml:space="preserve">Sınıflandırma sonuçları öğretmen tarafından kontrol edilir.</t>
  </si>
  <si>
    <t xml:space="preserve">2. Vida Diş Üstü ve Diş Dibi Çapı Ölçme</t>
  </si>
  <si>
    <t xml:space="preserve">2. Kumpas veya mikrometre ile diş üstü çapını ölçer.
3. Mikrometreyle diş dibi çapını ölçer.</t>
  </si>
  <si>
    <t xml:space="preserve">Geçen haftaki vida cinsi belirleme hatırlatılır; bu hafta vidanın diş üstü ve diş dibi çapının ölçüleceği söylenir.</t>
  </si>
  <si>
    <t xml:space="preserve">Kumpas veya mikrometreyle diş üstü çapı ölçme, mikrometreyle diş dibi çapı ölçme teknikleri gösterilir; öğrenciler kendi vida örneklerinde bu ölçümleri yapar.</t>
  </si>
  <si>
    <t xml:space="preserve">Ölçülen diş üstü ve diş dibi çapları standart tablo değerleriyle karşılaştırılır.</t>
  </si>
  <si>
    <t xml:space="preserve">4. Vida tarağıyla vida adımını ölçer.</t>
  </si>
  <si>
    <t xml:space="preserve">Tatil dönüşü kısa bir hatırlatmayla başlanır; vida diş adımının (bir turdaki ilerleme mesafesi) nasıl ölçüleceği sorulur; vida tarağı gösterilir.</t>
  </si>
  <si>
    <t xml:space="preserve">Vida tarağıyla vida adımı ölçme tekniği gösterilir; öğrenciler kendi vida örneklerinin adımını tarakla ölçer.</t>
  </si>
  <si>
    <t xml:space="preserve">Ölçülen adım değeri standart vida tablosuyla karşılaştırılarak Vidaları Ölçme ünitesi tamamlanır.</t>
  </si>
  <si>
    <t xml:space="preserve">DİŞLİ ÇARKLARI ÖLÇME - 1. Dişlilerde Modül Tahmini</t>
  </si>
  <si>
    <t xml:space="preserve">1. Diş büyüklüğüne göre modül tahmin eder.</t>
  </si>
  <si>
    <t xml:space="preserve">Bir dişli çarkın diş büyüklüğünün nasıl tanımlandığı sorulur; modül kavramına giriş yapılır, örnek dişli çark gösterilir.</t>
  </si>
  <si>
    <t xml:space="preserve">Diş büyüklüğüne bakarak modülün gözle tahmin edilmesi tekniği gösterilir; öğrenciler kendilerine verilen dişli çarkın modülünü tahmin eder.</t>
  </si>
  <si>
    <t xml:space="preserve">Tahminler öğretmen tarafından not edilir, gelecek hafta ölçümle doğrulanacağı belirtilir.</t>
  </si>
  <si>
    <t xml:space="preserve">2. Dişli Çark Ölçümleri</t>
  </si>
  <si>
    <t xml:space="preserve">2. Yapılan tahmine göre modül kumpasının ağzını ayarlar.
3. Modül kumpasını diş üzerine yerleştirip ölçüm yapar.</t>
  </si>
  <si>
    <t xml:space="preserve">Geçen haftaki modül tahmini hatırlatılır; bu hafta tahminin modül kumpasıyla doğrulanacağı söylenir.</t>
  </si>
  <si>
    <t xml:space="preserve">Yapılan tahmine göre modül kumpasının ağzının ayarlanması gösterilir; modül kumpasının diş üzerine doğru yerleştirilip ölçüm yapılması adım adım anlatılır.</t>
  </si>
  <si>
    <t xml:space="preserve">Ölçülen modül değeri geçen haftaki tahminle karşılaştırılır.</t>
  </si>
  <si>
    <t xml:space="preserve">Geçen haftaki modül ölçümü hatırlatılır; bu hafta farklı bir dişli çark ile pekiştirileceği söylenir.</t>
  </si>
  <si>
    <t xml:space="preserve">Farklı diş büyüklüğüne sahip ikinci bir dişli çark üzerinde modül tahmini, kumpas ayarı ve ölçüm süreci tekrar uygulatılır.</t>
  </si>
  <si>
    <t xml:space="preserve">Ölçüm sonuçları kaydedilerek Dişli Çarkları Ölçme ünitesi tamamlanır.</t>
  </si>
  <si>
    <t xml:space="preserve">MASTARLAR VE OPTİK CAMLARLA YÜZEY KONTROLÜ YAPMA - 1. Mastar Türleri ve Mastar Seçimi</t>
  </si>
  <si>
    <t xml:space="preserve">1. Ölçülecek profile göre mastarı seçer.
2. Mastarları birleştirir.</t>
  </si>
  <si>
    <t xml:space="preserve">Bir deliğin ya da milin ölçüsünün tek tek ölçü aletiyle değil, hızlı bir 'geçer-geçmez' kontrolüyle nasıl yapılabileceği sorulur; mastar örnekleri gösterilir.</t>
  </si>
  <si>
    <t xml:space="preserve">Mastar türleri (tapa mastarı, çatal mastar) ve ölçülecek profile göre mastar seçimi anlatılır; mastarların birleştirilme (geçer-geçmez uçlarının bir arada kullanılması) şekli gösterilir.</t>
  </si>
  <si>
    <t xml:space="preserve">Öğrencilerden verilen bir parça için uygun mastar türünü seçmeleri istenir.</t>
  </si>
  <si>
    <t xml:space="preserve">1. Mastar Türleri ve Mastar Seçimi</t>
  </si>
  <si>
    <t xml:space="preserve">1. Ölçülecek profile göre mastarı seçer.
2. Mastarları birleştirir.
23 NİSAN Ulusal Egemenlik ve Çocuk Bayramı</t>
  </si>
  <si>
    <t xml:space="preserve">23 Nisan haftasına denk gelen bu haftada, geçen haftaki mastar seçimi hatırlatılarak pekiştirileceği söylenir.</t>
  </si>
  <si>
    <t xml:space="preserve">Farklı ölçüdeki parçalar için mastar seçimi ve birleştirme uygulaması tekrarlanır.</t>
  </si>
  <si>
    <t xml:space="preserve">Mastar seçimlerinin doğruluğu öğretmen tarafından kontrol edilir.</t>
  </si>
  <si>
    <t xml:space="preserve">2. Mastarlarla Ölçüm Yapma</t>
  </si>
  <si>
    <t xml:space="preserve">3. Mastarları iş parçasına yerleştirir.
4. Mastarlar ile kontrol işlemleri yapar.</t>
  </si>
  <si>
    <t xml:space="preserve">Geçen haftaki mastar seçimi hatırlatılır; bu hafta mastarın iş parçasına nasıl yerleştirileceği ve kontrolün nasıl yapılacağı işleneceği söylenir.</t>
  </si>
  <si>
    <t xml:space="preserve">Mastarın iş parçasına (deliğe veya mile) yerleştirilmesi gösterilir; 'geçer' ve 'geçmez' uçlarının sonucu nasıl yorumlanacağı (parçanın toleransta olup olmadığı) anlatılır. Öğrenciler mastarla kontrol uygulaması yapar.</t>
  </si>
  <si>
    <t xml:space="preserve">Kontrol sonuçları (kabul/ret) bir forma kaydedilir.</t>
  </si>
  <si>
    <t xml:space="preserve">Geçen haftaki mastarla kontrol hatırlatılır; bu hafta farklı bir parça ile pekiştirileceği söylenir.</t>
  </si>
  <si>
    <t xml:space="preserve">Farklı ölçüdeki bir parça üzerinde mastar yerleştirme ve kontrol işlemi tekrar uygulatılır.</t>
  </si>
  <si>
    <t xml:space="preserve">Kontrol sonuçları kaydedilerek Mastarlarla Ölçüm ünitesi tamamlanır.</t>
  </si>
  <si>
    <t xml:space="preserve">ŞEKİL TOLERANS KONTROLÜ YAPMA - 1. Şekil Konum Kontrol Aracı Seçimi</t>
  </si>
  <si>
    <t xml:space="preserve">1. İmalat resmine bakılarak uygun şekil kontrol aracı seçer.
19 MAYIS Atatürk'ü Anma Gençlik ve Spor Bayramı</t>
  </si>
  <si>
    <t xml:space="preserve">19 Mayıs kutlamasının ardından, bir parçanın sadece ölçüsünün değil şeklinin de (düzlük, dairesellik) doğru olması gerektiği sorulur; imalat resmi örneği üzerinden şekil tolerans sembolleri gösterilir.</t>
  </si>
  <si>
    <t xml:space="preserve">İmalat resmine bakılarak uygun şekil kontrol aracının (komparatör, mastar, açı mastarı) nasıl seçileceği gösterilir.</t>
  </si>
  <si>
    <t xml:space="preserve">Öğrencilerden örnek bir imalat resmindeki şekil tolerans sembolünü yorumlamaları istenir.</t>
  </si>
  <si>
    <t xml:space="preserve">2. Şekil Konum Kontrolü</t>
  </si>
  <si>
    <t xml:space="preserve">2. Kontrolü yapılacak iş parçasını hazırlar.
3. Kontrol işlemi yapar ve sonucu kaydeder.</t>
  </si>
  <si>
    <t xml:space="preserve">Geçen haftaki şekil kontrol aracı seçimi hatırlatılır; bu hafta kontrolü yapılacak parçanın nasıl hazırlanacağı işleneceği söylenir.</t>
  </si>
  <si>
    <t xml:space="preserve">Kontrol öncesi iş parçasının temizlenmesi ve düzgün bir referans yüzeye yerleştirilmesi gösterilir; komparatörle şekil/konum kontrolü yapılıp sonucun kaydedilmesi uygulanır.</t>
  </si>
  <si>
    <t xml:space="preserve">Kaydedilen kontrol sonucu toleransla karşılaştırılır.</t>
  </si>
  <si>
    <t xml:space="preserve">Geçen haftaki kontrol işlemi hatırlatılır; bu hafta farklı bir parça ile pekiştirileceği söylenir.</t>
  </si>
  <si>
    <t xml:space="preserve">Farklı bir parça üzerinde hazırlık, kontrol ve sonuç kaydetme adımları tekrar uygulatılır.</t>
  </si>
  <si>
    <t xml:space="preserve">Şekil Tolerans Kontrolü ünitesi genel bir değerlendirmeyle tamamlanır.</t>
  </si>
  <si>
    <t xml:space="preserve">BOYUT TOLERANS KONTROLÜ YAPMA - 1. Boyut Tolerans Kontrol Aracı Seçimi</t>
  </si>
  <si>
    <t xml:space="preserve">1. İmalat resmine bakarak uygun mastar seçer.</t>
  </si>
  <si>
    <t xml:space="preserve">Şekil kontrolünden farklı olarak, bir parçanın boyutunun tolerans sınırları içinde olup olmadığının nasıl kontrol edileceği sorulur; imalat resmi üzerinden boyut tolerans örneği gösterilir.</t>
  </si>
  <si>
    <t xml:space="preserve">İmalat resmine bakarak uygun mastarın (boyut tolerans mastarı) nasıl seçileceği gösterilir.</t>
  </si>
  <si>
    <t xml:space="preserve">Öğrencilerden örnek bir boyut tolerans değerine uygun mastar seçmeleri istenir.</t>
  </si>
  <si>
    <t xml:space="preserve">2. Boyut Tolerans Kontrolü</t>
  </si>
  <si>
    <t xml:space="preserve">Geçen haftaki mastar seçimi hatırlatılır; bu hafta kontrolü yapılacak parçanın hazırlanmasına odaklanılacağı söylenir.</t>
  </si>
  <si>
    <t xml:space="preserve">Kontrol öncesi parçanın hazırlanması (temizlik, çapak alma) ve mastarla boyut tolerans kontrolü yapılıp sonucun kaydedilmesi gösterilir.</t>
  </si>
  <si>
    <t xml:space="preserve">Kayıt edilen sonuç tolerans sınırlarıyla karşılaştırılır.</t>
  </si>
  <si>
    <t xml:space="preserve">Geçen haftaki boyut tolerans kontrolü hatırlatılır; bu hafta farklı bir parça ile pekiştirileceği söylenir.</t>
  </si>
  <si>
    <t xml:space="preserve">Kontrol sonuçları karşılaştırılarak değerlendirilir.</t>
  </si>
  <si>
    <t xml:space="preserve">Yılın son haftası olduğu, kumpastan mastara kadar öğrenilen tüm ölçüm araçlarının kısa bir özetiyle derse başlanacağı söylenir.</t>
  </si>
  <si>
    <t xml:space="preserve">Öğrencilere karma bir final uygulaması verilir: aynı parça üzerinde kumpas, mikrometre ve mastar kullanılarak farklı ölçümler yapılıp sonuçlar bir ölçüm raporuna kaydedilir.</t>
  </si>
  <si>
    <t xml:space="preserve">Hazırlanan ölçüm raporları toplanıp yıl boyunca gelişim genel olarak değerlendirilir, öğrencilere yıl sonu dönütü verilir.</t>
  </si>
  <si>
    <t xml:space="preserve">İMALAT YÖNTEMLERİ</t>
  </si>
  <si>
    <t xml:space="preserve">İŞ SAĞLIĞI VE GÜVENLİĞİ EĞİTİMİ - • Atölye İş Güvenliği Kuralları - • Kişisel Koruyucu Donanımlar - • Tezgâh Güvenliği</t>
  </si>
  <si>
    <t xml:space="preserve">İş Sağlığı ve Güvenliği Eğitimi
• Atölyede uyulması gereken kurallar açıklanır.
• Tezgâhlardan meydana gelebilecek iş kazaları açıklanır.
• İş güvenliği ve emniyet kuralları açıklanır.
• Kişisel koruyucu donanımlar tanıtılır.</t>
  </si>
  <si>
    <t xml:space="preserve">Öğretim yılının ilk dersi olduğu için önceki bir konu tekrarı yapılmaz; bunun yerine bu dönem torna, freze, taşlama ve kaynak gibi gerçek imalat tezgâhlarında çalışılacağı, bu yüzden iş güvenliğinin hayati önemde olduğu vurgulanarak derse başlanır.</t>
  </si>
  <si>
    <t xml:space="preserve">Atölyede uyulması gereken kurallar, tezgâhlardan kaynaklanabilecek iş kazaları ve bunlara karşı alınacak tedbirler örneklerle anlatılır; kişisel koruyucu donanımlar (gözlük, eldiven, kaynak maskesi, iş önlüğü) tek tek gösterilir ve doğru kullanımları uygulamalı gösterilir.</t>
  </si>
  <si>
    <t xml:space="preserve">Öğrencilerden atölyedeki her tezgâh için en kritik gördükleri bir güvenlik kuralını söylemeleri istenir.</t>
  </si>
  <si>
    <t xml:space="preserve">Gösteri, Soru-Cevap, Bireyselleştirilmiş Öğretim, Temrin Çalışmaları, Uygulamalı Öğretim</t>
  </si>
  <si>
    <t xml:space="preserve">İmalat İşlemleri Atölyesi, torna tezgahı, freze tezgahı, taşlama tezgahı, kaynak makinesi, oksi-gaz kaynak seti, ölçme ve kontrol aletleri, akıllı tahta</t>
  </si>
  <si>
    <t xml:space="preserve">TORNA TEZGÂHLARINDA DELİK DELME VE BÜYÜTME - 1. Tornada Delik Delmek ve Büyütme</t>
  </si>
  <si>
    <t xml:space="preserve">1. Tornada iş sağlığı ve güvenliği tedbirlerini alarak torna tezgâhında delik delme ve büyütme işlemleri yapar.
• Torna tezgâhında delik büyütme işlemini delik kalemi kullanarak yapar.</t>
  </si>
  <si>
    <t xml:space="preserve">Geçen haftaki genel iş güvenliği kuralları hatırlatılır; bu hafta özellikle torna tezgâhında delik delme ve büyütme işlemine özgü güvenlik noktalarına değinilir.</t>
  </si>
  <si>
    <t xml:space="preserve">Torna tezgâhında delik kalemiyle delik büyütme işleminin nasıl yapıldığı öğretmen tarafından gösterilir; devir ve ilerleme ayarları ile soğutma sıvısı kullanımı vurgulanır.</t>
  </si>
  <si>
    <t xml:space="preserve">Öğrencilerden izledikleri işlem sırasını kendi cümleleriyle özetlemeleri istenir.</t>
  </si>
  <si>
    <t xml:space="preserve">1. Tornada Delik Delmek ve Büyütme - 2. Ölçme ve Kontrol Yapma</t>
  </si>
  <si>
    <t xml:space="preserve">• Öğrencilere temrin parçasına delik büyütme işlemlerinin yapılması sağlanır.
2. Torna tezgâhında ölçme ve kontrol yapma
• Kumpas çeşitleri ve kullanılmasındaki hassas noktalar açıklanır.</t>
  </si>
  <si>
    <t xml:space="preserve">Geçen hafta izlenen delik büyütme işleminin bu hafta öğrenciler tarafından uygulanacağı söylenir; ölçme aracı olarak kumpas hatırlatılır.</t>
  </si>
  <si>
    <t xml:space="preserve">Öğrenciler kendi temrin parçalarında delik büyütme işlemi yapar; ardından kumpas çeşitleri ve kullanımındaki hassas noktalar (çene temizliği, doğru konumlandırma) tekrar gösterilir.</t>
  </si>
  <si>
    <t xml:space="preserve">Büyütülen delik çapları kumpasla ölçülüp kontrol edilir.</t>
  </si>
  <si>
    <t xml:space="preserve">2. Ölçme ve Kontrol Yapma</t>
  </si>
  <si>
    <t xml:space="preserve">• Mikrometreler ve kullanılma alanları açıklanarak uygulama yapılır.
• Komparatörler ve kullanılma alanları açıklanarak uygulama yapılır.</t>
  </si>
  <si>
    <t xml:space="preserve">Geçen haftaki kumpas ölçümü hatırlatılır; bu hafta daha hassas ölçüm araçları olan mikrometre ve komparatöre geçileceği söylenir.</t>
  </si>
  <si>
    <t xml:space="preserve">Mikrometrenin kullanım alanları ve tekniği gösterilip uygulama yaptırılır; ardından komparatörün salgı/düzlük kontrolünde nasıl kullanıldığı gösterilir ve öğrenciler kısa bir uygulama yapar.</t>
  </si>
  <si>
    <t xml:space="preserve">Mikrometre ve komparatörle elde edilen sonuçlar karşılaştırılır.</t>
  </si>
  <si>
    <t xml:space="preserve">2. Torna tezgâhında ölçme ve kontrol yapma
• Kumpas çeşitleri ve kullanılmasındaki hassas noktalar açıklanır.
• Mikrometreler ve kullanılma alanları açıklanarak uygulama yapılır.
• Komparatörler ve kullanılma alanları açıklanarak uygulama yapılır.</t>
  </si>
  <si>
    <t xml:space="preserve">Geçen haftaki mikrometre ve komparatör kullanımı hatırlatılır; bu hafta bu iki aracın torna tezgâhında ölçme-kontrol amacıyla birlikte kullanılacağı söylenir.</t>
  </si>
  <si>
    <t xml:space="preserve">Kumpas, mikrometre ve komparatörün torna tezgâhında işlenen bir parça üzerinde sırasıyla nasıl kullanılacağı gösterilir; öğrenciler kendi parçalarında üç aracı da kullanarak ölçme-kontrol uygulaması yapar.</t>
  </si>
  <si>
    <t xml:space="preserve">Elde edilen üç ölçüm sonucu karşılaştırılıp tutarlılık değerlendirilir.</t>
  </si>
  <si>
    <t xml:space="preserve">1. Tornada iş sağlığı ve güvenliği tedbirlerini alarak torna tezgâhında delik delme ve büyütme işlemleri yapar.
• Torna tezgâhında delik büyütme işlemini delik kalemi kullanarak yapar.
• Öğrencilere temrin parçasına delik büyütme işlemlerinin yapılması sağlanır.</t>
  </si>
  <si>
    <t xml:space="preserve">Geçen haftaki ölçme-kontrol pekiştirilerek, bu hafta delik delme-büyütme ve ölçme becerilerinin bir arada bir temrin parçasında uygulanacağı söylenir.</t>
  </si>
  <si>
    <t xml:space="preserve">Öğrenciler bir temrin parçasında delik büyütme işlemini tamamlar ve ardından kumpas/mikrometre ile ölçüp kontrol eder; öğretmen bireysel dönüt verir.</t>
  </si>
  <si>
    <t xml:space="preserve">Tamamlanan parçalar teslim alınıp Delik Delme ve Büyütme ünitesi değerlendirilir.</t>
  </si>
  <si>
    <t xml:space="preserve">TORNA TEZGÂHLARINDA VİDA AÇMA - 1. Üçgen Vida Açma</t>
  </si>
  <si>
    <t xml:space="preserve">1. Tornada iş sağlığı ve güvenliği tedbirlerini alarak üçgen vida ve somunu açma işlemleri yapar.
• Üçgen vida torna tezgâhında açılması sağlanır.
29 EKİM Cumhuriyet Bayramı</t>
  </si>
  <si>
    <t xml:space="preserve">29 Ekim Cumhuriyet Bayramı nedeniyle kısa bir haftaya girildiği hatırlatılır; bir cıvatanın üzerindeki dişin torna tezgâhında nasıl açılacağı sorulur, üçgen vida örneği gösterilir.</t>
  </si>
  <si>
    <t xml:space="preserve">Üçgen vida açma işleminin iş güvenliği tedbirleri (kalem açısı, devir ayarı) ile birlikte torna tezgâhında nasıl yapıldığı gösterilir; öğrenciler kendi parçalarında üçgen vida açma uygulamasına başlar.</t>
  </si>
  <si>
    <t xml:space="preserve">Başlanan vida açma işlemi kontrol edilip gelecek hafta devam edileceği belirtilir.</t>
  </si>
  <si>
    <t xml:space="preserve">1. Üçgen Vida Açma</t>
  </si>
  <si>
    <t xml:space="preserve">• Yapılan vida ve somun iki parça birlikte çalıştırılır.</t>
  </si>
  <si>
    <t xml:space="preserve">Geçen hafta açılan üçgen vidanın bu hafta somunla test edileceği söylenir.</t>
  </si>
  <si>
    <t xml:space="preserve">Açılan vida ile hazırlanan somunun birlikte çalıştırılması (yuvarlanma, sıkışmama) kontrol edilir; uyumsuzluk varsa kalem ayarı yeniden gözden geçirilir.</t>
  </si>
  <si>
    <t xml:space="preserve">Vida-somun uyumu öğretmen tarafından değerlendirilir.</t>
  </si>
  <si>
    <t xml:space="preserve">1. Tornada iş sağlığı ve güvenliği tedbirlerini alarak üçgen vida ve somunu açma işlemleri yapar.
• Üçgen vida torna tezgâhında açılması sağlanır.
10 KASIM Atatürk'ü Anma Günü ve Atatürk Haftası</t>
  </si>
  <si>
    <t xml:space="preserve">10 Kasım Atatürk'ü Anma Günü anması sonrası, geçen haftaki üçgen vida açma tekniği hatırlatılarak bu haftanın pekiştirme çalışması olacağı söylenir.</t>
  </si>
  <si>
    <t xml:space="preserve">Farklı bir parça üzerinde üçgen vida açma işlemi baştan sona tekrar uygulatılır; öğretmen bireysel dönüt verir.</t>
  </si>
  <si>
    <t xml:space="preserve">Tamamlanan parçalar teslim alınıp Üçgen Vida Açma ünitesi değerlendirilir.</t>
  </si>
  <si>
    <t xml:space="preserve">2. Kare Vida Açma</t>
  </si>
  <si>
    <t xml:space="preserve">2. Torna tezgâhında kare vida açar.
• Kare vida açılması sağlanır.</t>
  </si>
  <si>
    <t xml:space="preserve">Ara tatil dönüşü kısa bir hatırlatmanın ardından, üçgen vidadan farklı olarak kuvvet iletiminde kullanılan kare vidaya geçileceği söylenir; örnek kare vidalı mil (mengene mili gibi) gösterilir.</t>
  </si>
  <si>
    <t xml:space="preserve">Kare vida profilinin üçgen vidadan farkı anlatılır; kare vida açma işlem sırası gösterilir. Öğrenciler kendi parçalarında kare vida açma uygulamasına başlar.</t>
  </si>
  <si>
    <t xml:space="preserve">Başlanan kare vida işlemi kontrol edilir.</t>
  </si>
  <si>
    <t xml:space="preserve">Geçen hafta başlanan kare vida açma işlemi hatırlatılır; bu hafta tamamlanacağı söylenir.</t>
  </si>
  <si>
    <t xml:space="preserve">Kare vida açma işlemine devam edilir; kalem geometrisi ve pasolama sırası öğretmen gözetiminde tekrar kontrol edilir.</t>
  </si>
  <si>
    <t xml:space="preserve">Tamamlanan kare vidalar profil şablonuyla kontrol edilir.</t>
  </si>
  <si>
    <t xml:space="preserve">3. Trapez Vida Açma</t>
  </si>
  <si>
    <t xml:space="preserve">3. İmalat resmine uygun trapez vida açma işlemlerini yapar.
• İşlem sırasına uygun trapez vida açması sağlanır.</t>
  </si>
  <si>
    <t xml:space="preserve">Kare vidadan farklı olarak, eğik yüzeyli ve daha az sürtünmeli trapez vidanın hangi amaçla kullanıldığı sorulur (örn. tezgâh kızağı mili).</t>
  </si>
  <si>
    <t xml:space="preserve">İmalat resmine uygun trapez vida açma işlem sırası (kaba paso, ince paso, açı kontrolü) gösterilir; öğrenciler trapez vida açma uygulamasına başlar.</t>
  </si>
  <si>
    <t xml:space="preserve">Başlanan trapez vida işlemi kontrol edilir.</t>
  </si>
  <si>
    <t xml:space="preserve">Geçen hafta başlanan trapez vida açma işlemi hatırlatılır; bu hafta devam edileceği söylenir.</t>
  </si>
  <si>
    <t xml:space="preserve">Trapez vida açma işlemine devam edilir; açı ve derinlik kontrolü tekrar gösterilir.</t>
  </si>
  <si>
    <t xml:space="preserve">İşlemin bu aşamadaki kalitesi öğretmen tarafından kontrol edilir.</t>
  </si>
  <si>
    <t xml:space="preserve">Geçen haftaki trapez vida çalışmasının bu hafta tamamlanacağı söylenir.</t>
  </si>
  <si>
    <t xml:space="preserve">Trapez vida açma işlemi son pasolarla tamamlanır; profil mastarıyla son kontrol yapılır.</t>
  </si>
  <si>
    <t xml:space="preserve">Tamamlanan trapez vidalar teslim alınıp Torna Tezgâhlarında Vida Açma ünitesi genel olarak değerlendirilir.</t>
  </si>
  <si>
    <t xml:space="preserve">FREZEDE DELİK DELME VE KAMA KANALI AÇMA - 1. Freze Tezgâhında Delik Delmek ve Büyütme</t>
  </si>
  <si>
    <t xml:space="preserve">1. Freze tezgâhında delik delme ve delik büyütme işlemleri yapar.
• Freze tezgâhında delik delme ve büyütme işlemleri iş güvenliği tedbirlerini alarak uygulaması sağlanır.</t>
  </si>
  <si>
    <t xml:space="preserve">Yılın son haftası öncesinde, tornadan farklı olarak freze tezgâhında delik delme ve büyütmenin nasıl yapılacağı sorulur; öğrenciler freze tezgâhına yönlendirilir.</t>
  </si>
  <si>
    <t xml:space="preserve">Freze tezgâhında delik delme ve büyütme işlemi iş güvenliği tedbirleriyle birlikte gösterilir; öğrenciler nezaret altında uygulama yapar.</t>
  </si>
  <si>
    <t xml:space="preserve">2. Freze Tezgâhında Kama Kanalı Açma</t>
  </si>
  <si>
    <t xml:space="preserve">2. Freze tezgâhında imalatı yapılacak olan iş parçasının üzerine kama kanalı açma işlemlerini yapar.
• Kama kanalının kullanım amacını açıklar.
• Kama kanalı açmada kullanılan kesicileri sınıflandırır.
• Kama kanalı açmada işlem sırasını açıklar.
• Kesicileri tezgâha bağlar.</t>
  </si>
  <si>
    <t xml:space="preserve">2. dönemin ilk haftası olması nedeniyle geçen dönemde işlenenlerin kısa bir özeti yapılır; bir milin üzerine kamanın nasıl oturduğu sorulur, kama kanalı örneği gösterilir.</t>
  </si>
  <si>
    <t xml:space="preserve">Kama kanalının kullanım amacı, kama kanalı açmada kullanılan kesiciler ve işlem sırası anlatılır; kesicilerin tezgâha bağlanması gösterilir.</t>
  </si>
  <si>
    <t xml:space="preserve">Öğrencilerden kama kanalı açma işlem sırasını sıralamaları istenir.</t>
  </si>
  <si>
    <t xml:space="preserve">• İş parçasını uygun bağlama aparatları ile tezgâha bağlar.
• Miller üzerine kama kanalını açar.
• Düzlemsel parçalar üzerine kama kanalı açar.
• Düzlemsel parçalar üzerine T kanalı açar.
• Deliklere kama kanalı açar.
• Kama ölçülerine göre kama kanalını kontrol eder.</t>
  </si>
  <si>
    <t xml:space="preserve">Geçen haftaki kama kanalı açma bilgisi hatırlatılır; bu hafta farklı parça tiplerinde (mil, düzlemsel parça, delik) uygulama yapılacağı söylenir.</t>
  </si>
  <si>
    <t xml:space="preserve">İş parçası uygun bağlama aparatlarıyla tezgâha bağlanır; miller üzerine, düzlemsel parçalar üzerine (T kanalı dahil) ve deliklere kama kanalı açma teknikleri sırayla gösterilip uygulatılır; kama ölçülerine göre kanal kontrolü yapılır.</t>
  </si>
  <si>
    <t xml:space="preserve">Açılan kanallar kama ile denenerek uyumu kontrol edilir.</t>
  </si>
  <si>
    <t xml:space="preserve">3. Freze Tezgâhlarının Bakım İşlemleri</t>
  </si>
  <si>
    <t xml:space="preserve">3. Freze tezgâhlarının bakım işlemlerini yapar.</t>
  </si>
  <si>
    <t xml:space="preserve">Freze tezgâhının da tıpkı diğer tezgâhlar gibi düzenli bakıma ihtiyaç duyduğu sorulur.</t>
  </si>
  <si>
    <t xml:space="preserve">Freze tezgâhlarının bakım işlemleri (yağlama, temizlik, kayış/kızak kontrolü) gösterilir; öğrenciler nezaret altında kendi tezgâhlarında basit bakım uygulaması yapar.</t>
  </si>
  <si>
    <t xml:space="preserve">Yapılan bakım işlemleri bir kontrol listesiyle değerlendirilir; Freze ile Delik Delme ve Kama Kanalı ünitesi tamamlanır.</t>
  </si>
  <si>
    <t xml:space="preserve">FREZEDE DİŞLİ AÇMA - 1. Düz Dişli Açma</t>
  </si>
  <si>
    <t xml:space="preserve">1. Freze tezgâhında işlem sırasına dikkat ederek hesaplarına göre düz dişliyi açar.
• Düz dişli hesabının yapılması sağlanır.
• Düz dişli temrinin yapılması sağlanır.
• Açılan düz dişlinin kontrolünü yapar.</t>
  </si>
  <si>
    <t xml:space="preserve">Yarıyıl tatili dönüşü kısa bir hatırlatmayla derse başlanır; bir dişli çarkın freze tezgâhında nasıl açıldığı sorulur, düz dişli örneği gösterilir.</t>
  </si>
  <si>
    <t xml:space="preserve">Düz dişli hesabının (modül, diş sayısı) nasıl yapıldığı gösterilir; hesaplanan değerlere göre düz dişli açma temrini başlatılır.</t>
  </si>
  <si>
    <t xml:space="preserve">Hesaplama sonuçları öğretmen tarafından kontrol edilir.</t>
  </si>
  <si>
    <t xml:space="preserve">1. Düz Dişli Açma</t>
  </si>
  <si>
    <t xml:space="preserve">1. Freze tezgâhında işlem sırasına dikkat ederek hesaplarına göre düz dişliyi açar.
• Düz dişli temrinin yapılması sağlanır.
• Açılan düz dişlinin kontrolünü yapar.</t>
  </si>
  <si>
    <t xml:space="preserve">Geçen haftaki düz dişli hesabı hatırlatılır; bu hafta hesaplanan dişlinin açılıp kontrol edileceği söylenir.</t>
  </si>
  <si>
    <t xml:space="preserve">Düz dişli açma temrini tamamlanır; açılan düz dişlinin diş kalınlığı ve modül kontrolü modül kumpasıyla yapılır.</t>
  </si>
  <si>
    <t xml:space="preserve">Kontrol sonuçları hesap değerleriyle karşılaştırılır.</t>
  </si>
  <si>
    <t xml:space="preserve">2. Kremayer Dişli Açma</t>
  </si>
  <si>
    <t xml:space="preserve">2. Freze tezgâhında yapılan hesaba göre kremayer dişli açar.
• Kremayer dişli hesabının yapılması sağlanır.
• Kremayer dişli temrinin yapılması sağlanır.
• Açılan kremayer dişlinin kontrolünü yapar.</t>
  </si>
  <si>
    <t xml:space="preserve">Düz dişliden farklı olarak, düz bir çubuk üzerine diş açılan kremayer dişli kavramına geçileceği söylenir; kremayer-pinyon sistemine örnek (mengene, vinç) verilir.</t>
  </si>
  <si>
    <t xml:space="preserve">Kremayer dişli hesabının nasıl yapıldığı gösterilir; hesaplanan değerlere göre kremayer dişli açma temrini başlatılır.</t>
  </si>
  <si>
    <t xml:space="preserve">2. Freze tezgâhında yapılan hesaba göre kremayer dişli açar.
• Kremayer dişli temrinin yapılması sağlanır.
• Açılan kremayer dişlinin kontrolünü yapar.</t>
  </si>
  <si>
    <t xml:space="preserve">Geçen haftaki kremayer dişli hesabı hatırlatılır; bu hafta temrinin tamamlanıp kontrol edileceği söylenir.</t>
  </si>
  <si>
    <t xml:space="preserve">Kremayer dişli açma temrini tamamlanır; açılan kremayer dişlinin kontrolü yapılır.</t>
  </si>
  <si>
    <t xml:space="preserve">Kontrol sonuçları değerlendirilir; Frezede Dişli Açma ünitesi tamamlanır.</t>
  </si>
  <si>
    <t xml:space="preserve">TEMEL TAŞLAMA İŞLEMLERİ - 1. Zımpara Taşlarını Dengelemek ve Tezgâha Bağlama</t>
  </si>
  <si>
    <t xml:space="preserve">1. Zımpara Taşlarını Dengeleyerek Tezgâha Bağlar.
• Taş dengeleme sehbasını kullanma ve balans ayarı yaptırılarak uygulama yaptırılmasına fırsat verilir.</t>
  </si>
  <si>
    <t xml:space="preserve">Tatil dönüşü kısa bir hatırlatmayla başlanır; taşlama tezgâhında kullanılan zımpara taşının neden önce dengelenmesi gerektiği (titreşim riski) sorulur.</t>
  </si>
  <si>
    <t xml:space="preserve">Taş dengeleme sehbası kullanılarak zımpara taşının balans ayarının nasıl yapıldığı gösterilir; öğrenciler nezaret altında taş dengeleme ve tezgâha bağlama uygulaması yapar.</t>
  </si>
  <si>
    <t xml:space="preserve">Dengelenen taşın çalışırken titreşimsiz dönüp dönmediği gözlemlenir.</t>
  </si>
  <si>
    <t xml:space="preserve">1. Zımpara Taşlarını Dengelemek ve Tezgâha Bağlama</t>
  </si>
  <si>
    <t xml:space="preserve">Geçen haftaki taş dengeleme işlemi hatırlatılır; bu hafta farklı bir taşla pekiştirileceği söylenir.</t>
  </si>
  <si>
    <t xml:space="preserve">Farklı ölçüdeki bir zımpara taşı için dengeleme ve tezgâha bağlama işlemi tekrar uygulatılır.</t>
  </si>
  <si>
    <t xml:space="preserve">Dengeleme becerisi genel olarak değerlendirilip Zımpara Taşlarını Dengeleme konusu tamamlanır.</t>
  </si>
  <si>
    <t xml:space="preserve">2. Düzlem Yüzey Taşlama</t>
  </si>
  <si>
    <t xml:space="preserve">2. Düzlem yüzey taşlama işlemleri yapar.
• Yüzey pürüzlülüğü ve yüzey işleme işaretleri hakkında bilgi toplaması istenir.</t>
  </si>
  <si>
    <t xml:space="preserve">Dengelenen taşın bu hafta gerçek bir yüzey taşlama işleminde kullanılacağı söylenir; yüzey pürüzlülüğü konusunda kısa bir araştırma ödevi hatırlatılır.</t>
  </si>
  <si>
    <t xml:space="preserve">Düzlem yüzey taşlama işlem sırası (talaş derinliği, ilerleme, soğutma sıvısı) gösterilir; öğrenciler kendi parçalarında düzlem yüzey taşlama uygulamasına başlar.</t>
  </si>
  <si>
    <t xml:space="preserve">Taşlanan yüzeyin pürüzlülüğü gözle/elle kontrol edilir.</t>
  </si>
  <si>
    <t xml:space="preserve">Geçen hafta başlanan düzlem yüzey taşlama işleminin bu hafta tamamlanacağı söylenir.</t>
  </si>
  <si>
    <t xml:space="preserve">Düzlem yüzey taşlama işlemine devam edilir; yüzey işleme işaretleriyle istenen pürüzlülük değeri karşılaştırılır.</t>
  </si>
  <si>
    <t xml:space="preserve">Tamamlanan yüzeyler kontrol edilip Düzlem Yüzey Taşlama konusu değerlendirilir.</t>
  </si>
  <si>
    <t xml:space="preserve">3. Silindirik Taşlama</t>
  </si>
  <si>
    <t xml:space="preserve">3. Silindirik Taşlama işlemleri yapar.
• Delik ve Mil geçme sistemleri hakkında bilgi toplaması istenir.</t>
  </si>
  <si>
    <t xml:space="preserve">Düzlem yüzeyden farklı olarak, bir milin dış yüzeyinin taşlanmasının (silindirik taşlama) nasıl yapıldığı sorulur; delik-mil geçme sistemleriyle ilgili kısa araştırma hatırlatılır.</t>
  </si>
  <si>
    <t xml:space="preserve">Silindirik taşlama işlem sırası gösterilir; öğrenciler kendi mil parçalarında silindirik taşlama uygulamasına başlar.</t>
  </si>
  <si>
    <t xml:space="preserve">Başlanan silindirik taşlama işlemi kontrol edilir.</t>
  </si>
  <si>
    <t xml:space="preserve">3. Silindirik Taşlama işlemleri yapar.
• Delik ve Mil geçme sistemleri hakkında bilgi toplaması istenir.
23 NİSAN Ulusal Egemenlik ve Çocuk Bayramı</t>
  </si>
  <si>
    <t xml:space="preserve">23 Nisan haftasına denk gelen bu haftada, geçen hafta başlanan silindirik taşlama işleminin bu hafta tamamlanacağı söylenir.</t>
  </si>
  <si>
    <t xml:space="preserve">Silindirik taşlama işlemine devam edilir; taşlanan milin çapı mikrometreyle ölçülüp delik-mil geçme toleransına uygunluğu kontrol edilir.</t>
  </si>
  <si>
    <t xml:space="preserve">Tamamlanan parçalar teslim alınıp Temel Taşlama İşlemleri ünitesi değerlendirilir.</t>
  </si>
  <si>
    <t xml:space="preserve">ELEKTRİK ARKI İLE DİKİŞ ÇEKME - 1. Kaynak Makinesi Bağlantısı</t>
  </si>
  <si>
    <t xml:space="preserve">1. Kaynak makinesini güç kaynağına bağlar.
• Elektrik ark kaynağının tarihçesi ve kullanılan kaynak yöntemleri açıklanır.
• Temel ve yardımcı elemanlar tanıtılır.
• Elektrik ark kaynak makinelerinin özellikleri belirtilir.</t>
  </si>
  <si>
    <t xml:space="preserve">Talaşlı imalattan farklı olarak, iki metal parçanın ısıyla birleştirilmesi (kaynak) konusuna geçileceği söylenir; elektrik ark kaynak makinesi tanıtılır.</t>
  </si>
  <si>
    <t xml:space="preserve">Elektrik ark kaynağının tarihçesi ve yöntemleri kısaca anlatılır; kaynak makinesinin temel ve yardımcı elemanları tanıtılır, makinenin güç kaynağına bağlanması gösterilir.</t>
  </si>
  <si>
    <t xml:space="preserve">Öğrencilerden kaynak makinesinin ana parçalarını isimlendirmeleri istenir.</t>
  </si>
  <si>
    <t xml:space="preserve">2. Elektrik Ark Kaynağı ile Ark Yapımı</t>
  </si>
  <si>
    <t xml:space="preserve">2. Elektrik ark kaynağı ile ark yapar.
• Kaynak arkı oluşturma için temel ve yardımcı elemanlar hazırlanır.
• Ark oluşturulacak parça yüzeyini temizlemesi istenir.
• Elektrot çapına uygun amper ayarı seçiminin önemi açıklanır.</t>
  </si>
  <si>
    <t xml:space="preserve">Geçen haftaki kaynak makinesi bağlantısı hatırlatılır; bu hafta ilk kez ark oluşturma uygulamasına geçileceği söylenir.</t>
  </si>
  <si>
    <t xml:space="preserve">Ark oluşturmadan önce parça yüzeyinin temizlenmesi ve elektrot çapına uygun amper ayarının önemi anlatılır; öğrenciler nezaret altında ilk ark oluşturma denemesini yapar.</t>
  </si>
  <si>
    <t xml:space="preserve">Oluşturulan arkların stabilitesi öğretmen tarafından değerlendirilir.</t>
  </si>
  <si>
    <t xml:space="preserve">3. Yatayda Düz Dikiş Çekme</t>
  </si>
  <si>
    <t xml:space="preserve">3. Yatayda düz dikiş çeker.
• Markalama yapmanın önemi açıklanır.
• Başlangıç ve bitiş noktalarında dikkat edilecek hususlar belirtilir.
19 MAYIS Atatürk'ü Anma Gençlik ve Spor Bayramı</t>
  </si>
  <si>
    <t xml:space="preserve">19 Mayıs kutlamasının ardından, oluşturulan arkın bu hafta düz bir dikiş çekmede kullanılacağı söylenir.</t>
  </si>
  <si>
    <t xml:space="preserve">Markalamanın önemi ve dikişe başlangıç/bitiş noktalarında dikkat edilecek hususlar anlatılır; öğrenciler yatayda düz dikiş çekme uygulamasına başlar.</t>
  </si>
  <si>
    <t xml:space="preserve">Çekilen dikişin düzgünlüğü gözle kontrol edilir.</t>
  </si>
  <si>
    <t xml:space="preserve">3. Yatayda düz dikiş çeker.
• Markalama yapmanın önemi açıklanır.
• Başlangıç ve bitiş noktalarında dikkat edilecek hususlar belirtilir.</t>
  </si>
  <si>
    <t xml:space="preserve">Geçen hafta başlanan düz dikiş çekme çalışmasının bu hafta pekiştirileceği söylenir.</t>
  </si>
  <si>
    <t xml:space="preserve">Yatayda düz dikiş çekme uygulaması farklı bir parça üzerinde tekrarlanır; elektrot açısı ve ilerleme hızı üzerinde durulur.</t>
  </si>
  <si>
    <t xml:space="preserve">İki dikiş örneği karşılaştırılarak gelişim değerlendirilir; Elektrik Arkı ile Dikiş Çekme ünitesi tamamlanır.</t>
  </si>
  <si>
    <t xml:space="preserve">OKSİ GAZ İLE DİKİŞ ÇEKME - 1. Oksijen ve Asetilen Tüplerini Açıp Kapatma</t>
  </si>
  <si>
    <t xml:space="preserve">1. Oksijen ve asetilen tüplerini açıp kapatır ve manometre ayarı yapar.
• Tüplerin taşınma kuralları açıklanır.
• Manometrenin tüplere takılmasında dikkat edilecek hususlar hatırlatılır.
• Çalışma basıncı ayarı ve gaz kaçak kontrolü yapılır.</t>
  </si>
  <si>
    <t xml:space="preserve">Elektrik arkından farklı bir kaynak yöntemi olan oksi-gaz kaynağına geçileceği söylenir; oksijen ve asetilen tüpleri gösterilir.</t>
  </si>
  <si>
    <t xml:space="preserve">Tüplerin taşınma kuralları, manometrenin tüplere takılması, çalışma basıncı ayarı ve gaz kaçak kontrolü adım adım gösterilir; öğrenciler nezaret altında tüpleri açıp kapatma uygulaması yapar.</t>
  </si>
  <si>
    <t xml:space="preserve">Basınç ayarlarının doğruluğu öğretmen tarafından kontrol edilir.</t>
  </si>
  <si>
    <t xml:space="preserve">2. Alev Oluşturma ve Alev Ayarı - 3. Yatayda Telsiz Dikiş Çekme</t>
  </si>
  <si>
    <t xml:space="preserve">2. Alev oluşturarak alev ayarı yapar.
• Normal alev oluşturularak uygulama yapılır.
3. Yatayda telsiz dikiş çeker.
• Hazırlık işlemleri yapılır.
• Gereci markalar ve ön temizliğini yapar.
• Basınç ve normal alev ayarını yaparak telsiz dikiş çeker.</t>
  </si>
  <si>
    <t xml:space="preserve">Geçen haftaki tüp ve basınç ayarı hatırlatılır; bu hafta alev oluşturma ve telsiz dikiş çekmeye geçileceği söylenir.</t>
  </si>
  <si>
    <t xml:space="preserve">Normal alev oluşturma tekniği gösterilir; ardından gerecin markalanıp ön temizliğinin yapılması ve uygun basınç/alev ayarıyla yatayda telsiz dikiş çekme uygulaması yaptırılır.</t>
  </si>
  <si>
    <t xml:space="preserve">Çekilen telsiz dikişin görünümü kontrol edilir.</t>
  </si>
  <si>
    <t xml:space="preserve">4. Yatayda Telli Dikiş Çekme</t>
  </si>
  <si>
    <t xml:space="preserve">4. Yatayda telli dikiş çeker.
• Hazırlık işlemleri yapılır.
• Gereci markalar ve ön temizliğini yapar.
• Basınç ve normal alev ayarını yaparak telli dikiş çeker.</t>
  </si>
  <si>
    <t xml:space="preserve">Geçen haftaki telsiz dikiş çekme hatırlatılır; bu hafta ilave dolgu teli kullanılarak telli dikiş çekileceği söylenir.</t>
  </si>
  <si>
    <t xml:space="preserve">Gerecin markalanması ve ön temizliği tekrarlanır; basınç ve alev ayarı yapılarak yatayda telli dikiş çekme uygulaması adım adım gösterilip yaptırılır.</t>
  </si>
  <si>
    <t xml:space="preserve">Çekilen telli dikişin dolgu düzgünlüğü kontrol edilir.</t>
  </si>
  <si>
    <t xml:space="preserve">Geçen haftaki telli dikiş çekme çalışması hatırlatılır; bu hafta farklı bir parça üzerinde pekiştirileceği söylenir.</t>
  </si>
  <si>
    <t xml:space="preserve">Yatayda telli dikiş çekme uygulaması farklı bir gereç üzerinde tekrarlanır; elektrot/tel ilerleme açısı üzerinde durulur.</t>
  </si>
  <si>
    <t xml:space="preserve">İki dikiş örneği karşılaştırılarak gelişim değerlendirilir.</t>
  </si>
  <si>
    <t xml:space="preserve">4. Yatayda telli dikiş çeker.
• Yatayda sağdan sola/soldan sağa telli düz kaynak dikişi çekmesi sağlanarak uygulama yapmasına fırsat verilir.</t>
  </si>
  <si>
    <t xml:space="preserve">Yılın son haftası olduğu; sağdan sola ve soldan sağa telli düz kaynak dikişi çekme becerisiyle yıl boyunca öğrenilen tüm imalat yöntemlerinin (tornalama, frezeleme, taşlama, kaynak) kısa bir özetiyle derse başlanacağı söylenir.</t>
  </si>
  <si>
    <t xml:space="preserve">Öğrenciler yatayda sağdan sola ve soldan sağa telli düz kaynak dikişi çekme uygulaması yapar; öğretmen bireysel dönüt verir.</t>
  </si>
  <si>
    <t xml:space="preserve">Çekilen son dikişler değerlendirilip yıl boyunca gelişim genel olarak gözden geçirilir, öğrencilere yıl sonu dönütü verilir.</t>
  </si>
  <si>
    <t xml:space="preserve">SOSYAL MEDYA (SEÇMELİ)</t>
  </si>
  <si>
    <t xml:space="preserve">Makine Teknolojisi Alanı / Makine Bakım Onarım Dalı</t>
  </si>
  <si>
    <t xml:space="preserve">AMP 11-A</t>
  </si>
  <si>
    <t xml:space="preserve">E-Ticaret</t>
  </si>
  <si>
    <t xml:space="preserve">E-ticarete ilişkin temel kavramları açıklar.
E-ticaretin avantaj ve dezavantajlarını açıklar.</t>
  </si>
  <si>
    <t xml:space="preserve">Öğretim yılının ilk dersi olduğu için önceki bir konu tekrarı yapılmaz; bunun yerine öğrencilere en son internetten hangi ürünü satın aldıkları sorularak e-ticaret kavramına giriş yapılır.</t>
  </si>
  <si>
    <t xml:space="preserve">E-ticaretin temel kavramları (online mağaza, dijital ödeme, kargo süreci) örnek bir alışveriş sitesi üzerinden gösterilir; e-ticaretin avantajları (zaman tasarrufu, geniş ürün yelpazesi) ve dezavantajları (güven sorunu, kargo süresi) sınıfça tartışılır.</t>
  </si>
  <si>
    <t xml:space="preserve">Öğrencilerden e-ticaretin kendi hayatlarındaki bir avantajını ve dezavantajını paylaşmaları istenir.</t>
  </si>
  <si>
    <t xml:space="preserve">Anlatım, Gösteri, Soru-Cevap, Bireyselleştirilmiş Öğretim, Temrin Çalışmaları</t>
  </si>
  <si>
    <t xml:space="preserve">Bilişim Teknolojileri Laboratuvarı, akıllı tahta/projeksiyon, bilgisayar, yazıcı/tarayıcı, internet, sosyal medya analiz/raporlama araçları, veri görselleştirme yazılımları</t>
  </si>
  <si>
    <t xml:space="preserve">E-Ticaret Türleri</t>
  </si>
  <si>
    <t xml:space="preserve">E-ticaret türlerini açıklar.
E-ticaret çalışma şekil ve örneklerini açıklar.</t>
  </si>
  <si>
    <t xml:space="preserve">Geçen haftaki genel e-ticaret kavramı hatırlatılır; her online alışverişin aynı şekilde çalışmadığı, farklı e-ticaret türleri olduğu sorulur.</t>
  </si>
  <si>
    <t xml:space="preserve">İşletmeden tüketiciye (B2C), işletmeden işletmeye (B2B), tüketiciden tüketiciye (C2C) gibi e-ticaret türleri örnek platformlar üzerinden gösterilir ve çalışma şekilleri karşılaştırılır.</t>
  </si>
  <si>
    <t xml:space="preserve">Öğrencilerden bildikleri bir platformun hangi e-ticaret türüne girdiğini sınıflandırmaları istenir.</t>
  </si>
  <si>
    <t xml:space="preserve">E-Ticarette Pazarlama</t>
  </si>
  <si>
    <t xml:space="preserve">E-ticarette pazarlama aşamalarını sıralar.
E-ticaretle yapılacak işin planlamasını açıklar.</t>
  </si>
  <si>
    <t xml:space="preserve">Geçen haftaki e-ticaret türleri hatırlatılır; bir ürünü online satmaya karar veren birinin ilk ne yapması gerektiği sorulur.</t>
  </si>
  <si>
    <t xml:space="preserve">E-ticarette pazarlama aşamaları (pazar araştırması, hedef kitle belirleme, ürün konumlandırma) sıralanır; örnek bir ürün üzerinden e-ticaret işinin nasıl planlanacağı grup çalışmasıyla ele alınır.</t>
  </si>
  <si>
    <t xml:space="preserve">Gruplardan hazırladıkları basit planı kısaca paylaşmaları istenir.</t>
  </si>
  <si>
    <t xml:space="preserve">Pazarlama için kullanılacak araçları açıklar.</t>
  </si>
  <si>
    <t xml:space="preserve">Geçen haftaki planlama aşamaları hatırlatılır; bir ürünü nasıl duyuracağımız sorulur.</t>
  </si>
  <si>
    <t xml:space="preserve">Pazarlama için kullanılacak araçlar (sosyal medya reklamı, e-posta pazarlaması, arama motoru reklamı) örneklerle tanıtılır; her aracın hangi durumda daha etkili olabileceği tartışılır.</t>
  </si>
  <si>
    <t xml:space="preserve">Öğrencilerden kendi ürün fikirleri için en uygun pazarlama aracını seçmeleri istenir.</t>
  </si>
  <si>
    <t xml:space="preserve">Elektronik pazarlama yöntemlerini açıklar.</t>
  </si>
  <si>
    <t xml:space="preserve">Geçen haftaki pazarlama araçları hatırlatılır; 'elektronik pazarlama' teriminin klasik pazarlamadan farkı sorulur.</t>
  </si>
  <si>
    <t xml:space="preserve">Elektronik pazarlama yöntemleri (SEO, içerik pazarlaması, influencer iş birlikleri) örnek kampanyalarla anlatılır.</t>
  </si>
  <si>
    <t xml:space="preserve">E-Ticarette Pazarlama konusu genel bir özetle tamamlanır.</t>
  </si>
  <si>
    <t xml:space="preserve">Alt Yapı ve Güvenlik</t>
  </si>
  <si>
    <t xml:space="preserve">E-ticaret için gereken teknik alt yapı ve güvenlik unsurlarını açıklar.
E-ticaret için kullanılacak teknik internet alt yapısı, yazılımı ve hazır yazılım paketlerini açıklar.</t>
  </si>
  <si>
    <t xml:space="preserve">Bir e-ticaret sitesinin arka planda hangi teknik alt yapıya ihtiyaç duyduğu sorulur; örnek bir e-ticaret paneli (varsa demo) gösterilir.</t>
  </si>
  <si>
    <t xml:space="preserve">E-ticaret için gereken teknik internet alt yapısı, yazılımlar ve hazır e-ticaret yazılım paketleri (kendi sunucu vs hazır paket) karşılaştırmalı olarak anlatılır.</t>
  </si>
  <si>
    <t xml:space="preserve">Öğrencilerden küçük bir işletme için hangi seçeneğin (hazır paket/özel yazılım) daha uygun olabileceğini tartışmaları istenir.</t>
  </si>
  <si>
    <t xml:space="preserve">Güvenlik sistemlerini açıklar.</t>
  </si>
  <si>
    <t xml:space="preserve">29 Ekim Cumhuriyet Bayramı nedeniyle kısa bir haftaya girildiği hatırlatılır; online alışverişte insanların en çok neden çekindiği sorulur.</t>
  </si>
  <si>
    <t xml:space="preserve">E-ticaret güvenlik sistemleri (SSL sertifikası, güvenli ödeme altyapısı) örneklerle tanıtılır; bir sitenin güvenli olup olmadığının nasıl anlaşılacağı (kilit simgesi, https) gösterilir.</t>
  </si>
  <si>
    <t xml:space="preserve">Öğrencilerden sık kullandıkları bir sitenin güvenlik simgesini kontrol etmeleri istenir.</t>
  </si>
  <si>
    <t xml:space="preserve">Güvenli ödeme yöntemlerini açıklar.</t>
  </si>
  <si>
    <t xml:space="preserve">Geçen haftaki güvenlik sistemleri hatırlatılır; parayı nasıl güvenle ödeyebileceğimiz sorulur.</t>
  </si>
  <si>
    <t xml:space="preserve">Güvenli ödeme yöntemleri (kredi kartı, kapıda ödeme, dijital cüzdan) karşılaştırmalı olarak anlatılır; her yöntemin avantaj/riskleri tartışılır.</t>
  </si>
  <si>
    <t xml:space="preserve">Alt Yapı ve Güvenlik konusu genel bir özetle tamamlanır.</t>
  </si>
  <si>
    <t xml:space="preserve">E-Ticarette Hukuki Düzenlemeler</t>
  </si>
  <si>
    <t xml:space="preserve">E-ticaret ile ilgili hukuki düzenlemeleri takip eder.
E-ticaret kanun ve uygulamalarını açıklar.</t>
  </si>
  <si>
    <t xml:space="preserve">10 Kasım Atatürk'ü Anma Günü anması sonrası, bir e-ticaret sitesinin hangi yasalara uyması gerektiği sorulur.</t>
  </si>
  <si>
    <t xml:space="preserve">E-ticaretle ilgili güncel hukuki düzenlemeler ve kanunlar (mesafeli satış sözleşmesi, tüketici hakları) örneklerle tanıtılır.</t>
  </si>
  <si>
    <t xml:space="preserve">E-Ticaret ünitesi genel bir özetle tamamlanır.</t>
  </si>
  <si>
    <t xml:space="preserve">Etik ve Bilişim Etiği</t>
  </si>
  <si>
    <t xml:space="preserve">Sosyal medyayı kullanırken temel hak ve özgürlükler kapsamında etik kurallara uygun paylaşım yapar.
Etik kavramını açıklar.</t>
  </si>
  <si>
    <t xml:space="preserve">Ara tatil dönüşü kısa bir hatırlatmanın ardından, sosyal medyada paylaşım yaparken nelere dikkat edilmesi gerektiği sorulur; yeni ünite olan Etik ve Bilişim Etiği'ne geçilir.</t>
  </si>
  <si>
    <t xml:space="preserve">Etik kavramı günlük hayattan örneklerle tanımlanır; sosyal medyada temel hak ve özgürlükler kapsamında etik kurallara uygun paylaşım yapmanın önemi tartışılır.</t>
  </si>
  <si>
    <t xml:space="preserve">Öğrencilerden sosyal medyada gördükleri etik olmayan bir paylaşım örneğini (isim vermeden) paylaşmaları istenir.</t>
  </si>
  <si>
    <t xml:space="preserve">Etik ilkeleri açıklar.
Bilişim etiği ile ilgili bilgi verir.</t>
  </si>
  <si>
    <t xml:space="preserve">Geçen haftaki etik kavramı hatırlatılır; bilişim alanına özgü etik kuralların neler olabileceği sorulur.</t>
  </si>
  <si>
    <t xml:space="preserve">Etik ilkeler (dürüstlük, saygı, gizlilik) sıralanır; bilişim etiği kavramı ve kapsamı örneklerle anlatılır.</t>
  </si>
  <si>
    <t xml:space="preserve">Öğrencilerden bir bilişim etiği ilkesi örneği vermeleri istenir.</t>
  </si>
  <si>
    <t xml:space="preserve">Bilişimde temel hak ve özgürlükler kavramları ile ilgili bilgi verir.
Sosyal medya etiği kavramları ile ilgili bilgi verir.</t>
  </si>
  <si>
    <t xml:space="preserve">Geçen haftaki bilişim etiği hatırlatılır; internette 'temel hak ve özgürlüklerin' neler olduğu sorulur.</t>
  </si>
  <si>
    <t xml:space="preserve">Bilişimde temel hak ve özgürlükler (ifade özgürlüğü, gizlilik hakkı) kavramları anlatılır; sosyal medya etiği kavramları örneklerle desteklenir.</t>
  </si>
  <si>
    <t xml:space="preserve">Öğrencilerden sosyal medya etiğine uygun bir paylaşım örneği kurgulamaları istenir.</t>
  </si>
  <si>
    <t xml:space="preserve">İnternet etiği kavramları ile ilgili bilgi verir.</t>
  </si>
  <si>
    <t xml:space="preserve">Geçen haftaki sosyal medya etiği hatırlatılır; internet etiğinin sosyal medya etiğinden nasıl farklı/geniş olduğu sorulur.</t>
  </si>
  <si>
    <t xml:space="preserve">İnternet etiği kavramları (dijital saygı, kaynak gösterme, siber zorbalık yapmama) örneklerle anlatılır.</t>
  </si>
  <si>
    <t xml:space="preserve">Etik ve Bilişim Etiği ünitesi genel bir özetle tamamlanır.</t>
  </si>
  <si>
    <t xml:space="preserve">Bilgi Güvenliği ve Hukuki Kurallar</t>
  </si>
  <si>
    <t xml:space="preserve">Kimlik gizlemeden hukuki kuralların sorumluluklarını göze alarak sosyal medya kullanır.
Bilgi ve bilgi güvenliği kavramları ile ilgili bilgi verir.</t>
  </si>
  <si>
    <t xml:space="preserve">Sahte hesap açmanın neden riskli olduğu sorulur; yeni konu olan Bilgi Güvenliği ve Hukuki Kurallar'a geçilir.</t>
  </si>
  <si>
    <t xml:space="preserve">Kimlik gizlemeden, hukuki kuralların sorumluluklarını göz önünde bulundurarak sosyal medya kullanmanın önemi anlatılır; bilgi ve bilgi güvenliği kavramları örneklerle desteklenir.</t>
  </si>
  <si>
    <t xml:space="preserve">Öğrencilerden kendi hesap güvenliği için aldıkları bir önlemi paylaşmaları istenir.</t>
  </si>
  <si>
    <t xml:space="preserve">Siber Zorbalıktan Korunma Yöntemleri</t>
  </si>
  <si>
    <t xml:space="preserve">Sosyal medya kullanırken siber şiddete karşı kendini korur.
Siber zorbalık kapsamını açıklar.</t>
  </si>
  <si>
    <t xml:space="preserve">Yılın son haftası öncesinde, sosyal medyada karşılaşılabilecek olumsuz bir deneyim (alay, hakaret) sorulur; siber zorbalık kavramına geçilir.</t>
  </si>
  <si>
    <t xml:space="preserve">Sosyal medya kullanırken siber şiddete karşı kendini korumanın yolları anlatılır; siber zorbalığın kapsamı (taciz, dışlama, itibar zedeleme) örneklerle gösterilir.</t>
  </si>
  <si>
    <t xml:space="preserve">Güvenlik yazılımlarını açıklar.
Siber zorbalıktan korunma yöntemlerini açıklar.</t>
  </si>
  <si>
    <t xml:space="preserve">2. dönemin ilk haftası olması nedeniyle geçen dönem işlenenlerin kısa bir özeti yapılır; siber zorbalığa karşı hangi araçların kullanılabileceği sorulur.</t>
  </si>
  <si>
    <t xml:space="preserve">Güvenlik yazılımları (antivirüs, gizlilik ayarları) tanıtılır; siber zorbalıktan korunma yöntemleri (engelleme, şikâyet etme, kanıt saklama) örneklerle anlatılır.</t>
  </si>
  <si>
    <t xml:space="preserve">Siber Zorbalıktan Korunma Yöntemleri ünitesi genel bir özetle tamamlanır.</t>
  </si>
  <si>
    <t xml:space="preserve">Dijital Marka Yönetimi ve Dijital Dönüşüm</t>
  </si>
  <si>
    <t xml:space="preserve">Dijital marka yönetimini ve dijital dönüşüm gerekliliğini açıklar.
Dijital marka yönetimi ve dönüşümü açıklar.</t>
  </si>
  <si>
    <t xml:space="preserve">Bir markanın sosyal medyada nasıl tanındığı ve büyüdüğü sorulur; dijital marka yönetimi kavramına geçilir.</t>
  </si>
  <si>
    <t xml:space="preserve">Dijital marka yönetimi ve dijital dönüşüm gerekliliği örnek marka hesapları üzerinden anlatılır.</t>
  </si>
  <si>
    <t xml:space="preserve">Öğrencilerden takip ettikleri bir markanın dijital dönüşüm örneğini paylaşmaları istenir.</t>
  </si>
  <si>
    <t xml:space="preserve">Sosyal Medya Araçları</t>
  </si>
  <si>
    <t xml:space="preserve">Sosyal medya araçlarını açıklar.
Sosyal medyada kullanılan araçları açıklar.</t>
  </si>
  <si>
    <t xml:space="preserve">Geçen haftaki marka yönetimi hatırlatılır; markaların hangi araçları kullandığı sorulur.</t>
  </si>
  <si>
    <t xml:space="preserve">Sosyal medya araçları (planlama araçları, tasarım araçları, analiz araçları) tanıtılır; her aracın işlevi örneklerle gösterilir.</t>
  </si>
  <si>
    <t xml:space="preserve">Sosyal Medya Araçları ünitesi genel bir özetle tamamlanır.</t>
  </si>
  <si>
    <t xml:space="preserve">Sosyal Medya İçerik Planı</t>
  </si>
  <si>
    <t xml:space="preserve">Sosyal medya platformları için içerik planı oluşturur.
Hedef kitlenin tespitini açıklar.</t>
  </si>
  <si>
    <t xml:space="preserve">Yarıyıl tatili dönüşü kısa bir hatırlatmayla derse başlanır; bir markanın sosyal medyada ne paylaşacağını nasıl planladığı sorulur.</t>
  </si>
  <si>
    <t xml:space="preserve">Sosyal medya platformları için içerik planı oluşturma süreci anlatılır; hedef kitlenin nasıl tespit edileceği (yaş, ilgi alanı, demografi) örneklerle gösterilir.</t>
  </si>
  <si>
    <t xml:space="preserve">Öğrencilerden kendi seçtikleri bir konu için hedef kitle profili oluşturmaları istenir.</t>
  </si>
  <si>
    <t xml:space="preserve">Uygun kategorilerin oluşturulmasını açıklar.
İçerik planı takviminin hazırlanmasını açıklar.</t>
  </si>
  <si>
    <t xml:space="preserve">Geçen haftaki hedef kitle tespiti hatırlatılır; bir içerik planının nasıl düzenli hâle getirileceği sorulur.</t>
  </si>
  <si>
    <t xml:space="preserve">İçerik kategorileri oluşturma ve bir içerik planı takvimi hazırlama teknikleri gösterilir; öğrenciler örnek bir haftalık içerik takvimi hazırlar.</t>
  </si>
  <si>
    <t xml:space="preserve">Hazırlanan içerik takvimleri sınıfta kısaca paylaşılır; Sosyal Medya İçerik Planı ünitesi tamamlanır.</t>
  </si>
  <si>
    <t xml:space="preserve">Sosyal Medya Analiz ve Raporlama</t>
  </si>
  <si>
    <t xml:space="preserve">Sosyal medya analizi ve raporlama yapar.
Hedef kitle ile iletişimin önemini açıklar.</t>
  </si>
  <si>
    <t xml:space="preserve">Paylaşılan bir içeriğin başarılı olup olmadığının nasıl anlaşılacağı sorulur; sosyal medya analizi kavramına geçilir.</t>
  </si>
  <si>
    <t xml:space="preserve">Sosyal medya analizi ve raporlama yapmanın önemi anlatılır; hedef kitleyle iletişimin ölçülmesinin (beğeni, yorum, paylaşım) neden önemli olduğu tartışılır.</t>
  </si>
  <si>
    <t xml:space="preserve">Öğrencilerden bir gönderinin başarısını hangi verilerle ölçebileceklerini sıralamaları istenir.</t>
  </si>
  <si>
    <t xml:space="preserve">Sosyal medya analizini açıklar.
Analizde kullanılan bazı siteleri açıklar.</t>
  </si>
  <si>
    <t xml:space="preserve">Geçen haftaki analiz kavramları hatırlatılır; bu analizlerin hangi araçlarla yapıldığı sorulur.</t>
  </si>
  <si>
    <t xml:space="preserve">Sosyal medya analizinde kullanılan bazı siteler/araçlar tanıtılır; örnek bir analiz ekran görüntüsü üzerinden veriler yorumlanır.</t>
  </si>
  <si>
    <t xml:space="preserve">Sosyal Medya Analiz ve Raporlama ünitesi genel bir özetle tamamlanır.</t>
  </si>
  <si>
    <t xml:space="preserve">Kriz İletişimi</t>
  </si>
  <si>
    <t xml:space="preserve">Sosyal medyada kriz iletişimi kampanyası planlama ve uygulama yapar.
Sosyal medya politikasının oluşumunu açıklar.</t>
  </si>
  <si>
    <t xml:space="preserve">Tatil dönüşü kısa bir hatırlatmayla başlanır; bir markanın sosyal medyada olumsuz bir olayla karşılaştığında ne yapması gerektiği sorulur; kriz iletişimi kavramına geçilir.</t>
  </si>
  <si>
    <t xml:space="preserve">Sosyal medyada kriz iletişimi kampanyası planlama ve uygulama süreci anlatılır; sosyal medya politikasının nasıl oluşturulduğu örneklerle gösterilir.</t>
  </si>
  <si>
    <t xml:space="preserve">Öğrencilerden bir kriz senaryosunda ilk yapılması gereken adımı tahmin etmeleri istenir.</t>
  </si>
  <si>
    <t xml:space="preserve">Örnek olaylar hakkında açıklamalar yapar.
Kriz iletişim planının oluşturulmasını açıklar.</t>
  </si>
  <si>
    <t xml:space="preserve">Geçen haftaki kriz iletişimi hatırlatılır; gerçek hayattan örnek olayların bu konuyu daha iyi anlatabileceği söylenir.</t>
  </si>
  <si>
    <t xml:space="preserve">Örnek kriz iletişimi olayları (marka özür açıklamaları, kriz yönetimi başarı öyküleri) üzerinden tartışma yapılır; kriz iletişim planının nasıl oluşturulduğu adım adım anlatılır.</t>
  </si>
  <si>
    <t xml:space="preserve">Öğrencilerden basit bir kriz iletişim planı taslağı oluşturmaları istenir.</t>
  </si>
  <si>
    <t xml:space="preserve">Deneyimler araştırılarak uygulamalar yapar.</t>
  </si>
  <si>
    <t xml:space="preserve">Geçen haftaki kriz iletişim planı hatırlatılır; bu hafta gerçek deneyimlerden öğrenmeye odaklanılacağı söylenir.</t>
  </si>
  <si>
    <t xml:space="preserve">Farklı kriz iletişimi deneyimleri araştırılıp sınıfta paylaşılır; öğrenciler küçük bir uygulama senaryosu üzerinde kriz iletişim planı hazırlar.</t>
  </si>
  <si>
    <t xml:space="preserve">Hazırlanan planlar kısaca sunulur; Kriz İletişimi ünitesi tamamlanır.</t>
  </si>
  <si>
    <t xml:space="preserve">Veri ve Bilgi</t>
  </si>
  <si>
    <t xml:space="preserve">Veri ve bilgi kavramını açıklar.
Veri kavramını açıklar.</t>
  </si>
  <si>
    <t xml:space="preserve">Sosyal medya analizinde bahsedilen 'veri' kavramının aslında ne anlama geldiği sorulur; yeni ünite olan Veri ve Bilgi'ye geçilir.</t>
  </si>
  <si>
    <t xml:space="preserve">Veri kavramı örneklerle (bir gönderinin beğeni sayısı, yorum sayısı gibi ham veriler) tanımlanır.</t>
  </si>
  <si>
    <t xml:space="preserve">Öğrencilerden günlük hayatlarında ürettikleri bir veri örneği vermeleri istenir.</t>
  </si>
  <si>
    <t xml:space="preserve">Bilgi kavramını açıklar.</t>
  </si>
  <si>
    <t xml:space="preserve">Geçen haftaki veri kavramı hatırlatılır; verinin işlenip anlamlı hâle gelmesiyle neyin ortaya çıktığı sorulur.</t>
  </si>
  <si>
    <t xml:space="preserve">Bilgi kavramı, veriden bilgiye dönüşüm süreci örneklerle anlatılır (örn. tek tek beğeni sayıları -veri- toplanıp haftalık ortalama -bilgi- hesaplanması).</t>
  </si>
  <si>
    <t xml:space="preserve">Veri ve Bilgi ünitesi genel bir özetle tamamlanır.</t>
  </si>
  <si>
    <t xml:space="preserve">Veri Türleri</t>
  </si>
  <si>
    <t xml:space="preserve">Veri türlerini ve çevresindeki veri kaynaklarını açıklar.
Veri türlerini açıklar.</t>
  </si>
  <si>
    <t xml:space="preserve">Verinin her zaman aynı türde olmadığı sorulur; sayısal ve sayısal olmayan veri örnekleri gösterilir.</t>
  </si>
  <si>
    <t xml:space="preserve">Veri türleri (sayısal, kategorik, metin) ve çevremizdeki veri kaynakları (anket, sosyal medya, sensör) örneklerle anlatılır.</t>
  </si>
  <si>
    <t xml:space="preserve">Öğrencilerden bir veri türü örneği sınıflandırmaları istenir.</t>
  </si>
  <si>
    <t xml:space="preserve">Veri kaynaklarını (birincil/ikincil) açıklar.</t>
  </si>
  <si>
    <t xml:space="preserve">Geçen haftaki veri kaynakları hatırlatılır; verinin doğrudan mı yoksa başka bir kaynaktan mı toplandığı sorulur.</t>
  </si>
  <si>
    <t xml:space="preserve">Birincil (doğrudan toplanan) ve ikincil (var olan kaynaklardan alınan) veri kaynakları karşılaştırmalı örneklerle anlatılır.</t>
  </si>
  <si>
    <t xml:space="preserve">Veri Türleri ünitesi genel bir özetle tamamlanır.</t>
  </si>
  <si>
    <t xml:space="preserve">Veri Toplama</t>
  </si>
  <si>
    <t xml:space="preserve">Veri toplama araçlarıyla veriyi toplar ve veri kümesi oluşturur.
Veri toplama yöntemlerini açıklar.</t>
  </si>
  <si>
    <t xml:space="preserve">Bir araştırma için verinin nasıl toplandığı sorulur; anket örneği gösterilir.</t>
  </si>
  <si>
    <t xml:space="preserve">Veri toplama araçları (anket, gözlem, form) ve yöntemleri anlatılır; öğrenciler basit bir konuda (örn. sınıf arkadaşlarının en sevdiği sosyal medya uygulaması) küçük bir veri toplama uygulaması yapar.</t>
  </si>
  <si>
    <t xml:space="preserve">Toplanan veriler sınıfta kısaca paylaşılır.</t>
  </si>
  <si>
    <t xml:space="preserve">Veri kümesi oluşturmayı açıklar.</t>
  </si>
  <si>
    <t xml:space="preserve">Geçen hafta toplanan verilerin nasıl bir araya getirileceği sorulur.</t>
  </si>
  <si>
    <t xml:space="preserve">Veri kümesi oluşturma tekniği (verileri düzenli bir listede toplama) gösterilir; öğrenciler geçen haftaki verilerini bir veri kümesi hâline getirir.</t>
  </si>
  <si>
    <t xml:space="preserve">Oluşturulan veri kümeleri kontrol edilir; Veri Toplama ünitesi tamamlanır.</t>
  </si>
  <si>
    <t xml:space="preserve">Veri Hazırlama</t>
  </si>
  <si>
    <t xml:space="preserve">Tablolar halinde veri hazırlar.</t>
  </si>
  <si>
    <t xml:space="preserve">Oluşturulan veri kümesinin nasıl daha okunabilir hâle getirileceği sorulur.</t>
  </si>
  <si>
    <t xml:space="preserve">Verilerin tablo hâlinde hazırlanması (satır-sütun düzeni, başlıklandırma) gösterilir; öğrenciler kendi veri kümelerini tabloya aktarır.</t>
  </si>
  <si>
    <t xml:space="preserve">Hazırlanan tablolar kontrol edilir.</t>
  </si>
  <si>
    <t xml:space="preserve">Elde edilen verilerin bir tabloya aktarılarak açıklanmasını sağlar.</t>
  </si>
  <si>
    <t xml:space="preserve">Geçen haftaki tablo hazırlama hatırlatılır; bu hafta tablodaki verilerin nasıl açıklanacağı işleneceği söylenir.</t>
  </si>
  <si>
    <t xml:space="preserve">Tabloya aktarılan verilerin kısa açıklamalarla (özet cümle, ortalama, en yüksek/en düşük değer) desteklenmesi gösterilir; öğrenciler kendi tablolarını açıklamalarla tamamlar.</t>
  </si>
  <si>
    <t xml:space="preserve">Veri Hazırlama ünitesi genel bir özetle tamamlanır.</t>
  </si>
  <si>
    <t xml:space="preserve">Grafik Çeşitleri</t>
  </si>
  <si>
    <t xml:space="preserve">Grafik çeşitlerini tanır ve amaca uygun grafik seçimi yapar.
Grafik çeşitlerini açıklar.</t>
  </si>
  <si>
    <t xml:space="preserve">Bir tablodaki sayıların bazen grafikle daha kolay anlaşılabileceği sorulur; yeni konu olan Grafik Çeşitleri'ne geçilir.</t>
  </si>
  <si>
    <t xml:space="preserve">Grafik çeşitleri (sütun, çizgi, pasta grafik) örneklerle tanıtılır; her grafiğin hangi tür veri için uygun olduğu anlatılır.</t>
  </si>
  <si>
    <t xml:space="preserve">Öğrencilerden kendi verileri için hangi grafik türünün uygun olacağını seçmeleri istenir.</t>
  </si>
  <si>
    <t xml:space="preserve">Amaca uygun grafik seçimini yaptırır.</t>
  </si>
  <si>
    <t xml:space="preserve">Geçen haftaki grafik çeşitleri hatırlatılır; bu hafta amaca uygun grafik seçimi pratiğine odaklanılacağı söylenir.</t>
  </si>
  <si>
    <t xml:space="preserve">Farklı veri örnekleri (zaman içindeki değişim, kategori karşılaştırması, oran) için uygun grafik türü seçme uygulaması yaptırılır.</t>
  </si>
  <si>
    <t xml:space="preserve">Yapılan seçimler doğruluğu açısından kontrol edilir; Grafik Çeşitleri ünitesi tamamlanır.</t>
  </si>
  <si>
    <t xml:space="preserve">Grafik Oluşturma</t>
  </si>
  <si>
    <t xml:space="preserve">Veri görselleştirme araçlarını kullanarak veriye dayalı grafikler oluşturur.
Veri kaynaklarının grafikte kullanımını açıklar.</t>
  </si>
  <si>
    <t xml:space="preserve">Şimdiye kadar kâğıt üzerinde konuşulan grafiklerin bu hafta bilgisayarda gerçekten oluşturulacağı söylenir.</t>
  </si>
  <si>
    <t xml:space="preserve">Bir veri görselleştirme aracı (ör. tablolama programı grafik özelliği) kullanılarak kendi veri kaynaklarının grafikte nasıl kullanılacağı adım adım gösterilir; öğrenciler kendi verileriyle ilk grafiklerini oluşturur.</t>
  </si>
  <si>
    <t xml:space="preserve">Oluşturulan grafikler sınıfta kısaca paylaşılır.</t>
  </si>
  <si>
    <t xml:space="preserve">Verilerle grafikler oluşturulmasını sağlar.</t>
  </si>
  <si>
    <t xml:space="preserve">Yılın son haftası olduğu, veri toplamadan grafik oluşturmaya kadar tüm sürecin kısa bir özetiyle derse başlanacağı söylenir.</t>
  </si>
  <si>
    <t xml:space="preserve">Öğrenciler yıl boyunca topladıkları/hazırladıkları verilerle son bir grafik oluşturma uygulaması yapar; öğretmen bireysel dönüt verir.</t>
  </si>
  <si>
    <t xml:space="preserve">Oluşturulan grafikler toplanıp yıl boyunca gelişim genel olarak değerlendirilir, öğrencilere yıl sonu dönütü verilir.</t>
  </si>
  <si>
    <t xml:space="preserve">WEB UYGULAMALARI</t>
  </si>
  <si>
    <t xml:space="preserve">WEB TASARIM EDİTÖRÜ - Alan Adı (Domain) Tanımlama - Hosting (Barındırma) Tanımlama - Web Sayfası Tasarım Editörü Tanıma</t>
  </si>
  <si>
    <t xml:space="preserve">Alan adı (Domain) kavramını açıklar.
Hosting (Barındırma) kavramını açıklar.
Web sayfası tasarım editörünü tanır.</t>
  </si>
  <si>
    <t xml:space="preserve">Öğretim yılının ilk dersi olduğu için önceki bir konu tekrarı yapılmaz; bunun yerine bir web sitesine yazılan adresin (www.ornek.com) bilgisayarımızı nasıl bulduğu sorularak derse başlanır.</t>
  </si>
  <si>
    <t xml:space="preserve">Alan adı (domain) ve hosting (barındırma) kavramları örnek bir site adresi üzerinden anlatılır; web sayfası tasarım editörü açılarak genel arayüzü tanıtılır.</t>
  </si>
  <si>
    <t xml:space="preserve">Öğrencilerden alan adı ile hosting arasındaki farkı kendi cümleleriyle özetlemeleri istenir.</t>
  </si>
  <si>
    <t xml:space="preserve">Anlatım, Gösteri, Soru-Cevap, Uygulama, Bireyselleştirilmiş Öğretim</t>
  </si>
  <si>
    <t xml:space="preserve">Tasarım Bilgisayar Laboratuvarı, bilgisayar, etkileşimli tahta/projeksiyon, internet</t>
  </si>
  <si>
    <t xml:space="preserve">Web Tasarım Editörü Temel İşlemler Yapma</t>
  </si>
  <si>
    <t xml:space="preserve">Web tasarım editöründe temel işlemler yapar.
Editör arayüz yapısını tanır.
Çalışma ekranlarını tanır.
Site tanımlaması yapar.
Ön izlemede kullanılacak web tarayıcıyı seçer.
Paneller ve araç çubuklarını tanır.
Web sayfası oluşturur ve kaydeder.</t>
  </si>
  <si>
    <t xml:space="preserve">Geçen hafta tanıtılan web tasarım editörü hatırlatılır; bu hafta editörde ilk projeye başlanacağı söylenir.</t>
  </si>
  <si>
    <t xml:space="preserve">Editörün arayüz yapısı, çalışma ekranları, paneller ve araç çubukları gösterilir; öğrenciler kendi site tanımlamalarını yaparak önizlemede kullanılacak tarayıcıyı seçer.</t>
  </si>
  <si>
    <t xml:space="preserve">Öğrencilerden ilk web sayfalarını oluşturup kaydetmeleri istenir.</t>
  </si>
  <si>
    <t xml:space="preserve">Web tasarım editöründe temel işlemler yapar.
Editör arayüz yapısını tanır.
Çalışma ekranlarını tanır.
Site tanımlaması yapar.
Web sayfası oluşturur ve kaydeder.</t>
  </si>
  <si>
    <t xml:space="preserve">Geçen hafta oluşturulan web sayfası hatırlatılır; bu hafta aynı adımların pekiştirileceği söylenir.</t>
  </si>
  <si>
    <t xml:space="preserve">Site tanımlama ve web sayfası oluşturma-kaydetme adımları farklı bir proje üzerinde tekrar uygulatılır; öğretmen bireysel dönüt verir.</t>
  </si>
  <si>
    <t xml:space="preserve">Kaydedilen dosyaların doğru klasör yapısında olup olmadığı kontrol edilir.</t>
  </si>
  <si>
    <t xml:space="preserve">Metin Girişi - Temel Metin Düzenleme İşlemleri</t>
  </si>
  <si>
    <t xml:space="preserve">Metin girişi işlemleri yapar.
Temel metin düzenleme işlemleri yapar.
Satır ve paragraf işlemleri yapar.
Karakter biçimlendirme işlemleri yapar.
Yazı tipini değiştirir.</t>
  </si>
  <si>
    <t xml:space="preserve">Boş bir web sayfasına ilk içeriğin nasıl ekleneceği sorulur; metin girişinin en temel içerik türü olduğu söylenir.</t>
  </si>
  <si>
    <t xml:space="preserve">Metin girişi, temel metin düzenleme, satır/paragraf işlemleri ve karakter biçimlendirme (kalın, italik, renk) ile yazı tipi değiştirme işlemleri gösterilir; öğrenciler kendi sayfalarına metin ekleyip biçimlendirir.</t>
  </si>
  <si>
    <t xml:space="preserve">Biçimlendirilen metinler ekran görüntüsüyle kontrol edilir.</t>
  </si>
  <si>
    <t xml:space="preserve">Listeler</t>
  </si>
  <si>
    <t xml:space="preserve">Metin hizalar ve girinti verir.
Listeler oluşturur.
İç içe liste oluşturur.</t>
  </si>
  <si>
    <t xml:space="preserve">Geçen haftaki metin biçimlendirme hatırlatılır; bir tarif ya da adım listesinin web sayfasında nasıl düzenli gösterileceği sorulur.</t>
  </si>
  <si>
    <t xml:space="preserve">Metin hizalama ve girinti verme, sıralı/sırasız liste oluşturma ve iç içe liste yapma işlemleri gösterilir; öğrenciler kendi sayfalarında liste oluşturur.</t>
  </si>
  <si>
    <t xml:space="preserve">Oluşturulan listelerin hizalaması kontrol edilir.</t>
  </si>
  <si>
    <t xml:space="preserve">Geçen haftaki liste oluşturma hatırlatılır; bu hafta daha karmaşık bir iç içe liste ile pekiştirileceği söylenir.</t>
  </si>
  <si>
    <t xml:space="preserve">Farklı bir içerik için iç içe liste oluşturma uygulaması tekrarlanır; öğretmen bireysel dönüt verir.</t>
  </si>
  <si>
    <t xml:space="preserve">Metin Girişi ve Listeler konusu genel bir değerlendirmeyle tamamlanır.</t>
  </si>
  <si>
    <t xml:space="preserve">Tablo Expanded Modu</t>
  </si>
  <si>
    <t xml:space="preserve">Satır ve sütun ekler ve siler.
Satır ve sütun düzenler.
Tablo expanded modunu kavrar ve uygular.
29 EKİM Cumhuriyet Bayramı</t>
  </si>
  <si>
    <t xml:space="preserve">29 Ekim Cumhuriyet Bayramı nedeniyle kısa bir haftaya girildiği hatırlatılır; verilerin satır-sütun düzeninde nasıl gösterileceği sorulur; tablo kavramına geçilir.</t>
  </si>
  <si>
    <t xml:space="preserve">Tabloya satır ve sütun ekleme-silme, satır/sütun düzenleme ve tablo expanded modunun kullanımı gösterilir; öğrenciler kendi sayfalarında bir tablo oluşturur.</t>
  </si>
  <si>
    <t xml:space="preserve">Oluşturulan tablonun düzeni kontrol edilir.</t>
  </si>
  <si>
    <t xml:space="preserve">Satır ve sütun ekler ve siler.
Satır ve sütun düzenler.
Tablo expanded modunu kavrar ve uygular.</t>
  </si>
  <si>
    <t xml:space="preserve">Geçen haftaki tablo oluşturma hatırlatılır; bu hafta farklı bir veri seti ile pekiştirileceği söylenir.</t>
  </si>
  <si>
    <t xml:space="preserve">Farklı bir tablo örneği üzerinde satır/sütun ekleme-düzenleme ve expanded modu tekrar uygulatılır.</t>
  </si>
  <si>
    <t xml:space="preserve">Tablo Expanded Modu konusu genel bir değerlendirmeyle tamamlanır.</t>
  </si>
  <si>
    <t xml:space="preserve">Resimlerle Çalışma</t>
  </si>
  <si>
    <t xml:space="preserve">Arka plan resmi kullanır.
Sayfaya resim ekler.
Asset panelinden sayfaya resim ekler.
Görüntü yer tutucu (Image Placeholder) ekler.
10 KASIM Atatürk'ü Anma Günü ve Atatürk Haftası</t>
  </si>
  <si>
    <t xml:space="preserve">10 Kasım Atatürk'ü Anma Günü anması sonrası, sadece yazıdan oluşan bir sayfanın sıkıcı olabileceği, görsellerin önemi sorulur.</t>
  </si>
  <si>
    <t xml:space="preserve">Sayfaya arka plan resmi ekleme, doğrudan resim ekleme, Asset panelinden resim ekleme ve görüntü yer tutucu (image placeholder) kullanma işlemleri gösterilir; öğrenciler kendi sayfalarına resim ekler.</t>
  </si>
  <si>
    <t xml:space="preserve">Eklenen resimlerin boyutu ve konumu kontrol edilir.</t>
  </si>
  <si>
    <t xml:space="preserve">Rollover Image ekler.
Resim düzenleme işlemleri yapar.</t>
  </si>
  <si>
    <t xml:space="preserve">Ara tatil dönüşü kısa bir hatırlatmanın ardından, fare üzerine gelince değişen resimlerin (buton efekti gibi) nasıl yapıldığı sorulur.</t>
  </si>
  <si>
    <t xml:space="preserve">Rollover Image (üzerine gelince değişen resim) ekleme tekniği gösterilir; ardından temel resim düzenleme işlemleri (kırpma, boyutlandırma) uygulanır.</t>
  </si>
  <si>
    <t xml:space="preserve">Öğrencilerden kendi sayfalarına bir rollover image eklemeleri istenir.</t>
  </si>
  <si>
    <t xml:space="preserve">Animasyon Ekleme</t>
  </si>
  <si>
    <t xml:space="preserve">Flash animasyon ekler.
Flash video ekler.
Ses oynatıcısı ekler.
Param ekler.</t>
  </si>
  <si>
    <t xml:space="preserve">Geçen haftaki resim çalışmaları hatırlatılır; bir sayfaya hareketli içerik (animasyon, video, ses) nasıl eklenir sorulur.</t>
  </si>
  <si>
    <t xml:space="preserve">Flash animasyon ekleme, flash video ekleme, ses oynatıcısı ekleme ve param ekleme işlemleri gösterilir; öğrenciler kendi sayfalarına bir medya öğesi ekler.</t>
  </si>
  <si>
    <t xml:space="preserve">Eklenen medya öğesinin sayfada doğru çalışıp çalışmadığı kontrol edilir.</t>
  </si>
  <si>
    <t xml:space="preserve">Metinlere Bağlantı Ekleme - Bağlantı Özellikleri - Bağlantı Adreslerinin Açılış Şekilleri - Resimlere Bağlantı</t>
  </si>
  <si>
    <t xml:space="preserve">Bağlantı özelliklerini düzenler.
Bağlantı adreslerinin açılış şekillerini yapar.
Resimlere bağlantı verme işlemini yapar.</t>
  </si>
  <si>
    <t xml:space="preserve">Bir sayfadan başka bir sayfaya nasıl geçiş yapılacağı sorulur; köprü/bağlantı kavramına geçilir.</t>
  </si>
  <si>
    <t xml:space="preserve">Metinlere bağlantı ekleme, bağlantı özelliklerini düzenleme, bağlantı adreslerinin açılış şekillerini (aynı sekme/yeni sekme) ayarlama ve resimlere bağlantı verme işlemleri gösterilir; öğrenciler kendi sayfalarında bağlantılar oluşturur.</t>
  </si>
  <si>
    <t xml:space="preserve">Oluşturulan bağlantıların doğru çalışıp çalışmadığı test edilir.</t>
  </si>
  <si>
    <t xml:space="preserve">Etkin Resim Noktaları - Named Anchor (Çapa) - Eposta Bağlantıları</t>
  </si>
  <si>
    <t xml:space="preserve">Etkin resim noktaları oluşturur.
Named Anchor (çapa) ekleme işlemini yapar.
Eposta Bağlantı işlemlerini yapar.</t>
  </si>
  <si>
    <t xml:space="preserve">Geçen haftaki bağlantı türleri hatırlatılır; bir sayfanın belirli bir bölümüne doğrudan nasıl atlanacağı sorulur.</t>
  </si>
  <si>
    <t xml:space="preserve">Etkin resim noktaları oluşturma, Named Anchor (çapa) ekleme ve e-posta bağlantısı oluşturma işlemleri gösterilir; öğrenciler kendi sayfalarında bu bağlantı türlerini dener.</t>
  </si>
  <si>
    <t xml:space="preserve">Metinlere Bağlantı Ekleme ünitesi genel bir değerlendirmeyle tamamlanır.</t>
  </si>
  <si>
    <t xml:space="preserve">HAZIR BLOG VE WEB SİTESİ ŞABLONU - Yerel Sunucu Kurulumu</t>
  </si>
  <si>
    <t xml:space="preserve">Yerel sunucu kurulumunu yapar.
PhpMyAdmin ile Veritabanı oluşturur.
Veri tabanı kullanıcısı oluşturur.</t>
  </si>
  <si>
    <t xml:space="preserve">Şimdiye kadar statik sayfalar hazırlandığı, bu hafta hazır bir blog/web sitesi altyapısı kurulacağı söylenir; yerel sunucu kavramına geçilir.</t>
  </si>
  <si>
    <t xml:space="preserve">Yerel sunucu kurulumu adım adım gösterilir; PhpMyAdmin ile veritabanı ve veritabanı kullanıcısı oluşturma işlemi uygulanır.</t>
  </si>
  <si>
    <t xml:space="preserve">Oluşturulan veritabanının bağlantı bilgileri not edilir.</t>
  </si>
  <si>
    <t xml:space="preserve">Yerel Sunucu Kurulumu</t>
  </si>
  <si>
    <t xml:space="preserve">Hazır blog/şablon dosyalarını internetten indirir ve localhost'a yükler.
Hazır blog/website kurulumunu yapar.</t>
  </si>
  <si>
    <t xml:space="preserve">Geçen hafta hazırlanan veritabanı hatırlatılır; bu hafta hazır bir blog altyapısının kurulacağı söylenir.</t>
  </si>
  <si>
    <t xml:space="preserve">Hazır blog/şablon dosyalarının internetten indirilip localhost'a yüklenmesi gösterilir; kurulum adımları başlatılır.</t>
  </si>
  <si>
    <t xml:space="preserve">Kurulumun ilk adımlarının doğru tamamlanıp tamamlanmadığı kontrol edilir.</t>
  </si>
  <si>
    <t xml:space="preserve">Hazır blog/website kurulumunu yapar.
Kurulum sonrası dil ayarlarını yapar.
Son sürüm dosyalarını indirerek yükler.</t>
  </si>
  <si>
    <t xml:space="preserve">Geçen hafta başlanan kurulum hatırlatılır; bu hafta tamamlanacağı söylenir.</t>
  </si>
  <si>
    <t xml:space="preserve">Hazır blog/website kurulumu tamamlanır; kurulum sonrası dil ayarları yapılır, son sürüm dosyaları indirilip yüklenir.</t>
  </si>
  <si>
    <t xml:space="preserve">Kurulumu tamamlanan site tarayıcıda açılarak kontrol edilir.</t>
  </si>
  <si>
    <t xml:space="preserve">Hazır Blog/Websitesi Yönetim Paneli ve Ayarları</t>
  </si>
  <si>
    <t xml:space="preserve">Genel ayarlarda, Site başlığı, slogan, site adresi (url), zaman dilimi, tarih biçimi düzenlemeleri yapar.
Okuma, yazma, tartışma ve ortam ayarlarını düzenler.</t>
  </si>
  <si>
    <t xml:space="preserve">Kurulan sitenin ismi, adresi gibi genel bilgilerinin nereden değiştirileceği sorulur; yönetim paneline geçilir.</t>
  </si>
  <si>
    <t xml:space="preserve">Genel ayarlarda site başlığı, slogan, site adresi (url), zaman dilimi ve tarih biçimi düzenlemeleri gösterilir; okuma, yazma, tartışma ve ortam ayarları da ayarlanır.</t>
  </si>
  <si>
    <t xml:space="preserve">Yapılan ayarların siteye yansıyıp yansımadığı kontrol edilir.</t>
  </si>
  <si>
    <t xml:space="preserve">Kullanıcı tanımlar ve yetkilerini düzenler.
Kalıcı bağlantıları düzenler.</t>
  </si>
  <si>
    <t xml:space="preserve">Bir siteyi birden fazla kişinin yönetmesi gerektiğinde ne yapılacağı sorulur; kullanıcı yönetimine geçilir.</t>
  </si>
  <si>
    <t xml:space="preserve">Kullanıcı tanımlama ve yetki düzenleme (yönetici, yazar, katkıda bulunan) işlemleri gösterilir; kalıcı bağlantıların (URL yapısı) düzenlenmesi anlatılır.</t>
  </si>
  <si>
    <t xml:space="preserve">Yarıyıl tatili dönüşü kısa bir hatırlatmayla derse başlanır; geçen dönem sonunda işlenen kullanıcı ve kalıcı bağlantı ayarları hatırlatılarak pekiştirileceği söylenir.</t>
  </si>
  <si>
    <t xml:space="preserve">Kullanıcı tanımlama ve kalıcı bağlantı düzenleme uygulamaları farklı bir senaryo üzerinde tekrarlanır.</t>
  </si>
  <si>
    <t xml:space="preserve">Hazır Blog/Websitesi Yönetim Paneli ünitesi tamamlanır.</t>
  </si>
  <si>
    <t xml:space="preserve">Tema Ayarları ve Düzenleme</t>
  </si>
  <si>
    <t xml:space="preserve">Yeni tema yükler veya yüklü temaları aktif yapar.
Tema özelliklerinden site başlığını (banner) düzenler.</t>
  </si>
  <si>
    <t xml:space="preserve">Bir sitenin görünümünün nasıl değiştirileceği sorulur; tema kavramına geçilir.</t>
  </si>
  <si>
    <t xml:space="preserve">Yeni tema yükleme veya yüklü temaları aktif etme işlemi gösterilir; tema özelliklerinden site başlığı (banner) düzenlenir.</t>
  </si>
  <si>
    <t xml:space="preserve">Seçilen temanın sitede nasıl göründüğü kontrol edilir.</t>
  </si>
  <si>
    <t xml:space="preserve">Anasayfa blog düzenini ayarlar.
Web sitesi/blog footer sabit bilgilerini düzenler ve görünümünü ayarlar.
Menülere alt başlık ekler ve menü yapısını düzenler.</t>
  </si>
  <si>
    <t xml:space="preserve">Geçen haftaki tema seçimi hatırlatılır; ana sayfanın düzeninin ve alt bilgisinin nasıl özelleştirileceği sorulur.</t>
  </si>
  <si>
    <t xml:space="preserve">Ana sayfa blog düzeni ayarlanır; web sitesi/blog footer (alt bilgi) sabit bilgileri düzenlenir; menülere alt başlık eklenip menü yapısı düzenlenir.</t>
  </si>
  <si>
    <t xml:space="preserve">Düzenlenen footer ve menü yapısı sitede kontrol edilir.</t>
  </si>
  <si>
    <t xml:space="preserve">Tema Ayarları ve Düzenleme - Eklenti Yüklemek ve Düzenleme</t>
  </si>
  <si>
    <t xml:space="preserve">Ana sayfa ve sayfalarda kullanılacak bileşenleri düzenler.
Oluşturulacak sayfaların özelliklerini düzenler.
Eklenti yükler ve eklenti ayarlarını yapar.</t>
  </si>
  <si>
    <t xml:space="preserve">Geçen haftaki menü düzenlemesi hatırlatılır; sitenin işlevselliğinin eklentilerle nasıl artırılacağı sorulur.</t>
  </si>
  <si>
    <t xml:space="preserve">Ana sayfa ve sayfalarda kullanılacak bileşenler düzenlenir; oluşturulacak sayfaların özellikleri ayarlanır; bir eklenti yüklenip ayarları yapılır.</t>
  </si>
  <si>
    <t xml:space="preserve">Tema Ayarları ve Düzenleme ünitesi genel bir değerlendirmeyle tamamlanır.</t>
  </si>
  <si>
    <t xml:space="preserve">Kategori ve Etiket Oluşturma - Sayfa ve Yazı Oluşturma</t>
  </si>
  <si>
    <t xml:space="preserve">Kategori ve Etiket oluşturur.
Blog/websitesi için sayfalar oluşturur.
Sayfa oluşturarak içerik ekler ve yayınlar.</t>
  </si>
  <si>
    <t xml:space="preserve">Tatil dönüşü kısa bir hatırlatmayla başlanır; sitede yazıların nasıl gruplandırılacağı sorulur.</t>
  </si>
  <si>
    <t xml:space="preserve">Kategori ve etiket oluşturma işlemleri gösterilir; blog/websitesi için yeni bir sayfa oluşturularak içerik eklenip yayınlanır.</t>
  </si>
  <si>
    <t xml:space="preserve">Yayınlanan sayfa ve kategorisi kontrol edilir.</t>
  </si>
  <si>
    <t xml:space="preserve">Sayfa ve Yazı Oluşturma</t>
  </si>
  <si>
    <t xml:space="preserve">Sayfaları bölümler ekleyerek resim, şekil, tablo ekler.
Sayfaları menülere bağlar.
Sayfa oluştururken öne çıkan görseli ayarlar.</t>
  </si>
  <si>
    <t xml:space="preserve">Geçen haftaki sayfa oluşturma hatırlatılır; bir sayfaya resim/şekil/tablo nasıl eklenir sorulur.</t>
  </si>
  <si>
    <t xml:space="preserve">Sayfalara bölümler ekleyerek resim, şekil ve tablo ekleme gösterilir; sayfaların menülere bağlanması ve öne çıkan görsel ayarlanması uygulanır.</t>
  </si>
  <si>
    <t xml:space="preserve">Menüye bağlanan sayfa sitede test edilir.</t>
  </si>
  <si>
    <t xml:space="preserve">Sayfa içinde textbox, banner, düğme ve köprü kullanır.
Sayfa yapısını blog post olarak ayarlar.
Sayfa içine arama kutusu, galeri ve video ekler.</t>
  </si>
  <si>
    <t xml:space="preserve">Geçen haftaki sayfa düzenleme hatırlatılır; bir sayfaya buton veya arama kutusu gibi etkileşimli öğelerin nasıl eklendiği sorulur.</t>
  </si>
  <si>
    <t xml:space="preserve">Sayfa içinde textbox, banner, düğme ve köprü kullanımı gösterilir; sayfa yapısının blog post olarak ayarlanması, arama kutusu, galeri ve video eklenmesi uygulanır.</t>
  </si>
  <si>
    <t xml:space="preserve">Eklenen etkileşimli öğelerin çalışırlığı test edilir.</t>
  </si>
  <si>
    <t xml:space="preserve">Sayfa içinde yeni satır ve grid oluşturarak düzenler.
Portfolyo sayfası yapar.
Sayfa içine slider, akordion ve tab menü ekler.</t>
  </si>
  <si>
    <t xml:space="preserve">Geçen haftaki etkileşimli öğeler hatırlatılır; bir portfolyo sayfasının nasıl düzenli hazırlanacağı sorulur.</t>
  </si>
  <si>
    <t xml:space="preserve">Sayfa içinde yeni satır ve grid oluşturarak düzenleme yapılır; bir portfolyo sayfası hazırlanır; sayfa içine slider, akordiyon ve tab menü eklenir.</t>
  </si>
  <si>
    <t xml:space="preserve">Hazırlanan portfolyo sayfası sınıfta kısaca gösterilir.</t>
  </si>
  <si>
    <t xml:space="preserve">Ortam Kütüphanesi Oluşturma - Yorum İzinleri Düzenleme - İletişim Formu Oluşturma</t>
  </si>
  <si>
    <t xml:space="preserve">Ortam kütüphanesine resim, video, animasyon dosyası ekler ve sayfa içinde kullanır.
Sayfa ve yazıların yorum izinlerini düzenler.
Sayfa içine iletişim formu ekler ve menü bağlantısını yapar.</t>
  </si>
  <si>
    <t xml:space="preserve">Sayfalarda kullanılacak medyanın nereden yönetileceği sorulur; ortam kütüphanesi kavramına geçilir.</t>
  </si>
  <si>
    <t xml:space="preserve">Ortam kütüphanesine resim, video, animasyon dosyası ekleme ve sayfa içinde kullanma gösterilir; sayfa ve yazıların yorum izinleri düzenlenir; sayfa içine iletişim formu eklenip menü bağlantısı yapılır.</t>
  </si>
  <si>
    <t xml:space="preserve">Eklenen iletişim formunun çalışırlığı test edilir.</t>
  </si>
  <si>
    <t xml:space="preserve">Ortam kütüphanesine resim, video, animasyon dosyası ekler ve sayfa içinde kullanır.
Sayfa ve yazıların yorum izinlerini düzenler.
Sayfa içine iletişim formu ekler ve menü bağlantısını yapar.
23 NİSAN Ulusal Egemenlik ve Çocuk Bayramı</t>
  </si>
  <si>
    <t xml:space="preserve">23 Nisan haftasına denk gelen bu haftada, geçen haftaki ortam kütüphanesi ve iletişim formu çalışmasının pekiştirileceği söylenir.</t>
  </si>
  <si>
    <t xml:space="preserve">Farklı bir medya dosyasıyla ortam kütüphanesi kullanımı ve iletişim formu oluşturma tekrar uygulatılır.</t>
  </si>
  <si>
    <t xml:space="preserve">Formların ve medya öğelerinin doğru çalıştığı kontrol edilir.</t>
  </si>
  <si>
    <t xml:space="preserve">Geçen haftaki çalışma hatırlatılır; bu hafta Sayfa ve Yazı Oluşturma ünitesinin son pekiştirme çalışması yapılacağı söylenir.</t>
  </si>
  <si>
    <t xml:space="preserve">Öğrenciler kendi web sitelerinde ortam kütüphanesi, yorum izinleri ve iletişim formunu bir arada içeren bir sayfa tamamlar.</t>
  </si>
  <si>
    <t xml:space="preserve">Tamamlanan sayfalar teslim alınıp Sayfa ve Yazı Oluşturma ünitesi değerlendirilir.</t>
  </si>
  <si>
    <t xml:space="preserve">Web Sitesi Güvenliğini Sağlama</t>
  </si>
  <si>
    <t xml:space="preserve">Güçlü şifre oluşturur.
Blog/websitesini düzenli olarak güncellemesini yapar.</t>
  </si>
  <si>
    <t xml:space="preserve">Hazırlanan sitenin kötü niyetli kişilerden nasıl korunacağı sorulur; web sitesi güvenliği konusuna geçilir.</t>
  </si>
  <si>
    <t xml:space="preserve">Güçlü şifre oluşturma kuralları (uzunluk, karakter çeşitliliği) anlatılır; blog/websitesinin düzenli güncellenmesinin önemi vurgulanır.</t>
  </si>
  <si>
    <t xml:space="preserve">Öğrencilerden kendi sitelerinin şifresini güçlendirmeleri istenir.</t>
  </si>
  <si>
    <t xml:space="preserve">Web Sitesi Güvenliğini Sağlama - Blog/Websitesi Yedekleme</t>
  </si>
  <si>
    <t xml:space="preserve">Güvenlik eklentilerini yükler.
Düzenli yedekleme yapar.
19 MAYIS Atatürk'ü Anma Gençlik ve Spor Bayramı</t>
  </si>
  <si>
    <t xml:space="preserve">19 Mayıs kutlamasının ardından, güçlü şifre dışında hangi ek önlemlerin alınabileceği sorulur.</t>
  </si>
  <si>
    <t xml:space="preserve">Güvenlik eklentileri yükleme işlemi gösterilir; düzenli yedekleme almanın önemi anlatılır.</t>
  </si>
  <si>
    <t xml:space="preserve">Web Sitesi Güvenliğini Sağlama konusunun ilk kısmı özetlenir.</t>
  </si>
  <si>
    <t xml:space="preserve">Blog/Websitesi Yedekleme</t>
  </si>
  <si>
    <t xml:space="preserve">Blok/Websitesini yedekleme yapar.
Veritabanı yedeklemesini yapar.</t>
  </si>
  <si>
    <t xml:space="preserve">Geçen haftaki yedekleme kavramı hatırlatılır; bir sitenin tamamının nasıl yedekleneceği sorulur.</t>
  </si>
  <si>
    <t xml:space="preserve">Blog/websitesi yedekleme işlemi ve veritabanı yedeklemesi adım adım gösterilir; öğrenciler kendi sitelerinin yedeğini alır.</t>
  </si>
  <si>
    <t xml:space="preserve">Alınan yedeğin dosya boyutu ve içeriği kontrol edilir.</t>
  </si>
  <si>
    <t xml:space="preserve">Ftp bağlantısı oluşturur ve dosya yedeklemesi yapar.</t>
  </si>
  <si>
    <t xml:space="preserve">Geçen haftaki yedekleme hatırlatılır; yedek dosyaların sunucudan bilgisayara nasıl indirileceği sorulur.</t>
  </si>
  <si>
    <t xml:space="preserve">FTP bağlantısı oluşturma ve dosya yedeklemesi yapma işlemi gösterilir; öğrenciler kendi dosyalarını FTP ile indirir.</t>
  </si>
  <si>
    <t xml:space="preserve">İndirilen dosyaların eksiksiz olup olmadığı kontrol edilir.</t>
  </si>
  <si>
    <t xml:space="preserve">Güçlü şifre oluşturur.
Blog/websitesini düzenli olarak güncellemesini yapar.
Güvenlik eklentilerini yükler.</t>
  </si>
  <si>
    <t xml:space="preserve">Şimdiye kadar öğrenilen güvenlik ve yedekleme konularının bir arada pekiştirileceği söylenir.</t>
  </si>
  <si>
    <t xml:space="preserve">Güçlü şifre oluşturma, düzenli güncelleme ve güvenlik eklentisi yükleme adımları bir kontrol listesi hâlinde tekrar gözden geçirilir.</t>
  </si>
  <si>
    <t xml:space="preserve">Öğrencilerin kendi sitelerindeki güvenlik durumu bir kontrol listesiyle değerlendirilir.</t>
  </si>
  <si>
    <t xml:space="preserve">Düzenli yedekleme yapar.
Blok/Websitesini yedekleme yapar.
Veritabanı yedeklemesini yapar.</t>
  </si>
  <si>
    <t xml:space="preserve">Geçen haftaki güvenlik kontrol listesi hatırlatılır; düzenli yedeklemenin bir rutine dönüştürülmesi gerektiği vurgulanır.</t>
  </si>
  <si>
    <t xml:space="preserve">Düzenli yedekleme takvimi oluşturma, blog/website ve veritabanı yedeklemesi tekrar uygulatılır.</t>
  </si>
  <si>
    <t xml:space="preserve">Oluşturulan yedekleme takvimi kontrol edilir.</t>
  </si>
  <si>
    <t xml:space="preserve">Geçen haftaki yedekleme takvimi hatırlatılır; FTP ile dosya yedeklemenin bu takvime nasıl entegre edileceği sorulur.</t>
  </si>
  <si>
    <t xml:space="preserve">FTP bağlantısıyla düzenli dosya yedeklemesi alma uygulaması tekrarlanır.</t>
  </si>
  <si>
    <t xml:space="preserve">Yedekleme sürecinin eksiksiz tamamlanıp tamamlanmadığı kontrol edilir.</t>
  </si>
  <si>
    <t xml:space="preserve">Yılın son haftası olduğu, alan adı seçiminden site güvenliğine kadar tüm sürecin kısa bir özetiyle derse başlanacağı söylenir.</t>
  </si>
  <si>
    <t xml:space="preserve">Öğrenciler yıl boyunca geliştirdikleri web sitelerinin son kontrolünü yapar: içerik, tasarım, güvenlik ve yedekleme adımlarını içeren bir kapanış kontrol listesi tamamlanır.</t>
  </si>
  <si>
    <t xml:space="preserve">Tamamlanan siteler ve kontrol listeleri teslim alınıp yıl boyunca gelişim genel olarak değerlendirilir, öğrencilere yıl sonu dönütü verilir.</t>
  </si>
  <si>
    <t xml:space="preserve">TEMEL ELEKTRİK BİLGİSİ</t>
  </si>
  <si>
    <t xml:space="preserve">AMP 11/A</t>
  </si>
  <si>
    <t xml:space="preserve">İLETKEN HAZIRLAMA - İletken Üzerindeki Yalıtkanı Soyma</t>
  </si>
  <si>
    <t xml:space="preserve">Elektrik ve elektrikte kullanılan birimleri tanımlanır.
İletkenlerin özelliklerini açıklaması istenir.
İletkenleri kesmede kullanılan takımlar hakkında bilgi toplaması istenir.</t>
  </si>
  <si>
    <t xml:space="preserve">Öğretim yılının ilk dersi olduğu için önceki bir konu tekrarı yapılmaz; bunun yerine bir kablonun içindeki bakır telin dışında neden plastik bir tabaka olduğu sorularak iletken ve yalıtkan kavramına giriş yapılır.</t>
  </si>
  <si>
    <t xml:space="preserve">Elektrik ve elektrikte kullanılan temel birimler (volt, amper, ohm) kısaca tanıtılır; iletkenlerin özellikleri anlatılır; iletken soymada kullanılan takımlar (kablo soyma penseti, yan keski) sınıfa getirilip tanıtılır.</t>
  </si>
  <si>
    <t xml:space="preserve">Öğrencilerden getirilen takımlardan birini tanımaları ve kullanım amacını söylemeleri istenir.</t>
  </si>
  <si>
    <t xml:space="preserve">Mekanik Bakım Onarım Atölyesi, temel elektrik malzemeleri, etkileşimli tahta/projeksiyon, bilgisayar</t>
  </si>
  <si>
    <t xml:space="preserve">İletken Üzerindeki Yalıtkanı Soyma</t>
  </si>
  <si>
    <t xml:space="preserve">İletken üzerindeki yalıtkanı soyar.
Soyulacak farklı kalınlıktaki iletken kabloları ve el takımlarının özellikleri açıklanır.</t>
  </si>
  <si>
    <t xml:space="preserve">Geçen hafta tanınan takımlar hatırlatılır; bu hafta ilk uygulamalı iletken soyma çalışmasına geçileceği söylenir.</t>
  </si>
  <si>
    <t xml:space="preserve">Farklı kalınlıktaki iletken kabloların (1,5 mm², 2,5 mm²) özellikleri anlatılır; kablo soyma penseti ile yalıtkanın zarar vermeden soyulması adım adım gösterilir. Öğrenciler ince bir kabloda soyma uygulaması yapar.</t>
  </si>
  <si>
    <t xml:space="preserve">Soyulan iletkenin bakır telinin zarar görüp görmediği kontrol edilir.</t>
  </si>
  <si>
    <t xml:space="preserve">İletkenleri farklı takımlarla istenilen ölçüde soydurularak uygulama imkânı sağlanmıştır.</t>
  </si>
  <si>
    <t xml:space="preserve">Geçen haftaki ince kablo soyma çalışması hatırlatılır; bu hafta farklı takımlarla farklı kalınlıkta kablo soyulacağı söylenir.</t>
  </si>
  <si>
    <t xml:space="preserve">Yan keski ve kombine pense gibi farklı takımlarla, istenilen ölçüde (örn. 2 cm) yalıtkan soyma uygulaması yaptırılır.</t>
  </si>
  <si>
    <t xml:space="preserve">Soyulan iletkenlerin ölçüsü cetvelle kontrol edilir.</t>
  </si>
  <si>
    <t xml:space="preserve">İletken üzerindeki yalıtkanı soyar.
İletkenleri farklı takımlarla istenilen ölçüde soydurularak uygulama imkânı sağlanmıştır.</t>
  </si>
  <si>
    <t xml:space="preserve">Geçen haftaki ölçülü soyma çalışması hatırlatılır; bu hafta kalın kablolarla pekiştirileceği söylenir.</t>
  </si>
  <si>
    <t xml:space="preserve">Kalın kesitli bir kablo (4 mm² gibi) üzerinde farklı takımlarla istenilen ölçüde soyma uygulaması tekrarlanır.</t>
  </si>
  <si>
    <t xml:space="preserve">İletken Üzerindeki Yalıtkanı Soyma ünitesi genel bir değerlendirmeyle tamamlanır.</t>
  </si>
  <si>
    <t xml:space="preserve">İletkenleri Bükme</t>
  </si>
  <si>
    <t xml:space="preserve">İletkenleri büker.
Kablo çeşitlerini ve özelliklerini açıklanır.
Kabloların bükümünde dikkat edilecek hususlar açıklanarak kablo bükme uygulamaları yaptırılır.</t>
  </si>
  <si>
    <t xml:space="preserve">Soyulmuş bir iletkenin bir vidaya nasıl düzgün sarılacağı sorulur; iletken bükme kavramına geçilir.</t>
  </si>
  <si>
    <t xml:space="preserve">Kablo çeşitleri (tek telli, çok telli) ve özellikleri anlatılır; kabloların bükümünde dikkat edilecek hususlar (halka yönü, sıkı sarım) gösterilir. Öğrenciler tek telli bir iletkenle halka bükme uygulaması yapar.</t>
  </si>
  <si>
    <t xml:space="preserve">Bükülen halkanın vida yönüne uygunluğu kontrol edilir.</t>
  </si>
  <si>
    <t xml:space="preserve">İletkenleri büker.
Kabloların bükümünde dikkat edilecek hususlar açıklanarak kablo bükme uygulamaları yaptırılır.</t>
  </si>
  <si>
    <t xml:space="preserve">Geçen haftaki tek telli iletken bükme hatırlatılır; bu hafta çok telli iletkenlerle pekiştirileceği söylenir.</t>
  </si>
  <si>
    <t xml:space="preserve">Çok telli bir iletkenin bükülmesinde dikkat edilecek ek hususlar (tellerin dağılmaması) gösterilir; öğrenciler çok telli iletkenle bükme uygulaması yapar.</t>
  </si>
  <si>
    <t xml:space="preserve">Bükülen iletkenin tellerinin dağılıp dağılmadığı kontrol edilir.</t>
  </si>
  <si>
    <t xml:space="preserve">İletkenleri büker.
Kablo çeşitlerini ve özelliklerini açıklanır.
29 EKİM Cumhuriyet Bayramı</t>
  </si>
  <si>
    <t xml:space="preserve">29 Ekim Cumhuriyet Bayramı nedeniyle kısa bir haftaya girildiği hatırlatılır; farklı kablo çeşitlerinin (NYA, NYM) hangi ortamlarda kullanıldığı sorulur.</t>
  </si>
  <si>
    <t xml:space="preserve">Kablo çeşitleri ve kullanım alanları örneklerle anlatılır; öğrenciler farklı bir kablo türüyle bükme uygulamasına devam eder.</t>
  </si>
  <si>
    <t xml:space="preserve">Bükme becerisi genel olarak gözlemlenip değerlendirilir.</t>
  </si>
  <si>
    <t xml:space="preserve">Geçen haftaki kablo çeşitleri hatırlatılır; bu hafta farklı çaplarda iletkenlerle bükme pratiğine devam edileceği söylenir.</t>
  </si>
  <si>
    <t xml:space="preserve">Farklı çaptaki iletkenlerde bükme uygulaması tekrarlanır; öğretmen bireysel dönüt verir.</t>
  </si>
  <si>
    <t xml:space="preserve">Yapılan bükme çalışmaları karşılaştırılarak değerlendirilir.</t>
  </si>
  <si>
    <t xml:space="preserve">İletkenleri büker.
Kablo bükme uygulamaları yaptırılır.
10 KASIM Atatürk'ü Anma Günü ve Atatürk Haftası</t>
  </si>
  <si>
    <t xml:space="preserve">10 Kasım Atatürk'ü Anma Günü anması sonrası, geçen haftaki bükme becerisinin son bir uygulamayla pekiştirileceği söylenir.</t>
  </si>
  <si>
    <t xml:space="preserve">Öğrencilere farklı ölçülerde birkaç iletken verilerek bükme uygulaması serbest çalışma şeklinde tamamlattırılır.</t>
  </si>
  <si>
    <t xml:space="preserve">Tamamlanan bükme örnekleri toplanıp İletkenleri Bükme ünitesi değerlendirilir.</t>
  </si>
  <si>
    <t xml:space="preserve">İLETKEN BİRLEŞTİRME - Çiftli Düz Ek Yapma</t>
  </si>
  <si>
    <t xml:space="preserve">Tek telli iletkenlerle tekli düz ek yapımı açıklanır.
Çok telli iletkenlerle tekli düz ek yapımı açıklanır.</t>
  </si>
  <si>
    <t xml:space="preserve">Ara tatil dönüşü kısa bir hatırlatmanın ardından, iki ayrı kablo parçasının nasıl birleştirileceği sorulur; iletken birleştirme (ek yapma) kavramına geçilir.</t>
  </si>
  <si>
    <t xml:space="preserve">Tek telli iletkenlerle tekli düz ek yapımı ve çok telli iletkenlerle tekli düz ek yapımı gösterilir; öğrenciler çiftli düz ek yapımına ilk kez giriş yapar.</t>
  </si>
  <si>
    <t xml:space="preserve">Yapılan ilk ek denemesi kontrol edilir.</t>
  </si>
  <si>
    <t xml:space="preserve">Çiftli Düz Ek Yapma</t>
  </si>
  <si>
    <t xml:space="preserve">Çiftli düz ek yapar.
Tek telli iletkenlere çiftli düz ek yapması gerçekleştirilir.</t>
  </si>
  <si>
    <t xml:space="preserve">Geçen haftaki ek yapım tekniği hatırlatılır; bu hafta tek telli iletkenlerle çiftli düz ek yapımına odaklanılacağı söylenir.</t>
  </si>
  <si>
    <t xml:space="preserve">Tek telli iletkenlere çiftli düz ek yapma tekniği adım adım gösterilir; öğrenciler uygulama yapar.</t>
  </si>
  <si>
    <t xml:space="preserve">Yapılan ekin sağlamlığı hafifçe çekilerek kontrol edilir.</t>
  </si>
  <si>
    <t xml:space="preserve">Çok telli iletkenlere çiftli düz ek yapması sağlanır.
Çiftli düz ek yerlerine yalıtım yapmanın önemi açıklanır.</t>
  </si>
  <si>
    <t xml:space="preserve">Geçen haftaki tek telli ek hatırlatılır; bu hafta çok telli iletkenlerde ek yapımına ve yalıtımın önemine geçileceği söylenir.</t>
  </si>
  <si>
    <t xml:space="preserve">Çok telli iletkenlere çiftli düz ek yapımı gösterilir; ek yerlerine izole bant ile yalıtım yapmanın önemi vurgulanarak uygulanır.</t>
  </si>
  <si>
    <t xml:space="preserve">Yalıtılan ek noktaları görsel olarak kontrol edilir; İletken Birleştirme ünitesi tamamlanır.</t>
  </si>
  <si>
    <t xml:space="preserve">Klemens ile Bağlantı Yapma</t>
  </si>
  <si>
    <t xml:space="preserve">Klemens ile bağlantı yapar.
Klemens bağlantısı için kablo uçları hazırlattırılır.</t>
  </si>
  <si>
    <t xml:space="preserve">Ek yapmak yerine bazen kabloların bir bağlantı elemanına (klemens) tutturulduğu sorulur; klemens örnekleri gösterilir.</t>
  </si>
  <si>
    <t xml:space="preserve">Klemens ile bağlantı yapma tekniği gösterilir; klemens bağlantısı için kablo uçlarının nasıl hazırlanacağı (uygun uzunlukta soyma) anlatılır. Öğrenciler kablo ucu hazırlama uygulaması yapar.</t>
  </si>
  <si>
    <t xml:space="preserve">Hazırlanan kablo uçlarının klemense uygunluğu kontrol edilir.</t>
  </si>
  <si>
    <t xml:space="preserve">Farklı klemens çeşitleri ile bağlantılar yapması sağlanır.</t>
  </si>
  <si>
    <t xml:space="preserve">Geçen haftaki klemens bağlantısı hatırlatılır; farklı klemens çeşitlerinin (vidalı, yaylı) olduğu söylenir.</t>
  </si>
  <si>
    <t xml:space="preserve">Farklı klemens çeşitleriyle bağlantı yapma uygulaması yaptırılır.</t>
  </si>
  <si>
    <t xml:space="preserve">Yapılan bağlantıların sıkılığı kontrol edilir.</t>
  </si>
  <si>
    <t xml:space="preserve">Klemens ile bağlantı yapar.
Farklı klemens çeşitleri ile bağlantılar yapması sağlanır.</t>
  </si>
  <si>
    <t xml:space="preserve">Yılın son haftası öncesinde, geçen haftaki klemens çeşitleriyle bağlantı pratiğinin pekiştirileceği söylenir.</t>
  </si>
  <si>
    <t xml:space="preserve">Farklı klemens çeşitleriyle bağlantı uygulaması tekrarlanır; öğretmen bireysel dönüt verir.</t>
  </si>
  <si>
    <t xml:space="preserve">1. dönem sonu genel bir değerlendirme yapılır, Klemens ile Bağlantı ünitesi tamamlanır.</t>
  </si>
  <si>
    <t xml:space="preserve">İletkenlerin Terminale Bağlantısını Yapma</t>
  </si>
  <si>
    <t xml:space="preserve">İletkenlerin terminale bağlantısını yapar.
Terminallere bağlantı için kablo uçları hazırlattırılır.</t>
  </si>
  <si>
    <t xml:space="preserve">2. dönemin ilk haftası olması nedeniyle geçen dönem işlenenlerin kısa bir özeti yapılır; bir kablonun bir cihazın terminaline nasıl bağlandığı sorulur.</t>
  </si>
  <si>
    <t xml:space="preserve">İletkenlerin terminale bağlantısı için kablo uçlarının nasıl hazırlanacağı gösterilir.</t>
  </si>
  <si>
    <t xml:space="preserve">Hazırlanan kablo uçları kontrol edilir.</t>
  </si>
  <si>
    <t xml:space="preserve">İletkenleri pabuç (yüksük) ile terminallere bağlantısı gerçekleştirilir.
İletkenleri jak (soket) ile terminallere bağlaması sağlanarak uygulama yapmasına fırsat tanınır.</t>
  </si>
  <si>
    <t xml:space="preserve">Geçen haftaki kablo ucu hazırlama hatırlatılır; pabuç ve jak gibi özel uçların ne işe yaradığı sorulur.</t>
  </si>
  <si>
    <t xml:space="preserve">İletkenlerin pabuç (yüksük) ile terminallere bağlanması gösterilir; jak (soket) ile terminale bağlama uygulaması da yaptırılır.</t>
  </si>
  <si>
    <t xml:space="preserve">Pabuçlu ve jaklı bağlantıların sağlamlığı kontrol edilir.</t>
  </si>
  <si>
    <t xml:space="preserve">İletkenlerin terminale bağlantısını yapar.
İletkenleri pabuç (yüksük) ile terminallere bağlantısı gerçekleştirilir.</t>
  </si>
  <si>
    <t xml:space="preserve">Geçen haftaki pabuç ve jak bağlantıları hatırlatılır; bu hafta pekiştirme çalışması yapılacağı söylenir.</t>
  </si>
  <si>
    <t xml:space="preserve">Farklı bir terminal üzerinde pabuçla bağlantı uygulaması tekrarlanır.</t>
  </si>
  <si>
    <t xml:space="preserve">İletkenlerin Terminale Bağlantısı ünitesi genel bir değerlendirmeyle tamamlanır.</t>
  </si>
  <si>
    <t xml:space="preserve">Topraklı Fiş ve Prize Kablo Bağlantısı Yapma</t>
  </si>
  <si>
    <t xml:space="preserve">Topraklı fiş ve prize kablo bağlantısı yapar.
Topraklamanın önemini açıklanarak topraklama çeşitlerini belirtilir.</t>
  </si>
  <si>
    <t xml:space="preserve">Yarıyıl tatili dönüşü kısa bir hatırlatmayla derse başlanır; bir prizin neden topraklamalı olması gerektiği sorulur; topraklı fiş ve priz örnekleri gösterilir.</t>
  </si>
  <si>
    <t xml:space="preserve">Topraklamanın önemi ve topraklama çeşitleri anlatılır; topraklı fiş ve prize kablo bağlantısı işlem sırası gösterilmeye başlanır.</t>
  </si>
  <si>
    <t xml:space="preserve">Öğrencilerden topraklamanın hangi tehlikeyi önlediğini özetlemeleri istenir.</t>
  </si>
  <si>
    <t xml:space="preserve">Sıfırlama açıklanarak sıfırlamanın önemi belirtilir.
Topraklı fiş ve priz bağlantısı için kablo uçları hazırlatılarak topraklı fiş ve prize kablo bağlantıları yaptırılır.</t>
  </si>
  <si>
    <t xml:space="preserve">Geçen haftaki topraklama konusu hatırlatılır; 'sıfırlama' kavramının ne anlama geldiği sorulur.</t>
  </si>
  <si>
    <t xml:space="preserve">Sıfırlama ve önemi anlatılır; topraklı fiş ve priz bağlantısı için kablo uçları hazırlanarak bağlantı uygulaması yaptırılır.</t>
  </si>
  <si>
    <t xml:space="preserve">Yapılan bağlantı test cihazıyla (varsa) kontrol edilir.</t>
  </si>
  <si>
    <t xml:space="preserve">Topraklı fiş ve prize kablo bağlantısı yapar.
Topraklı fiş ve priz bağlantısı için kablo uçları hazırlatılarak topraklı fiş ve prize kablo bağlantıları yaptırılır.</t>
  </si>
  <si>
    <t xml:space="preserve">Geçen haftaki fiş-priz bağlantısı hatırlatılır; bu hafta farklı bir fiş-priz seti ile pekiştirileceği söylenir.</t>
  </si>
  <si>
    <t xml:space="preserve">Farklı bir topraklı fiş ve priz setinde kablo ucu hazırlama ve bağlantı uygulaması tekrarlanır.</t>
  </si>
  <si>
    <t xml:space="preserve">Bağlantının doğruluğu kontrol edilir.</t>
  </si>
  <si>
    <t xml:space="preserve">Topraklamanın önemini açıklanarak topraklama çeşitlerini belirtilir.
Topraklı fiş ve prize kablo bağlantısı yapar.</t>
  </si>
  <si>
    <t xml:space="preserve">Geçen haftaki bağlantı pratiği hatırlatılır; topraklama çeşitlerinin tekrar gözden geçirileceği söylenir.</t>
  </si>
  <si>
    <t xml:space="preserve">Topraklamanın önemi ve çeşitleri tekrar örneklerle pekiştirilir; öğrenciler topraklı fiş-priz bağlantısı uygulamasını tamamlar.</t>
  </si>
  <si>
    <t xml:space="preserve">Tamamlanan bağlantılar teslim alınır.</t>
  </si>
  <si>
    <t xml:space="preserve">Tatil dönüşü kısa bir hatırlatmayla başlanır; sıfırlamanın önemi tekrar hatırlatılarak bu haftanın pekiştirme çalışması olacağı söylenir.</t>
  </si>
  <si>
    <t xml:space="preserve">Farklı bir fiş-priz setinde kablo ucu hazırlama ve topraklı bağlantı uygulaması tekrarlanır.</t>
  </si>
  <si>
    <t xml:space="preserve">Bağlantı sağlamlığı kontrol edilir.</t>
  </si>
  <si>
    <t xml:space="preserve">Geçen haftaki bağlantı çalışması hatırlatılır; Topraklı Fiş ve Prize Kablo Bağlantısı ünitesinin son pekiştirmesinin yapılacağı söylenir.</t>
  </si>
  <si>
    <t xml:space="preserve">Öğrencilere serbest bir fiş-priz bağlantı uygulaması verilir; öğretmen bireysel dönüt verir.</t>
  </si>
  <si>
    <t xml:space="preserve">Tamamlanan bağlantılar toplanıp ünite değerlendirilir.</t>
  </si>
  <si>
    <t xml:space="preserve">BASİT ELEKTRİK DEVRESİ KURMA VE ÇALIŞTIRMA</t>
  </si>
  <si>
    <t xml:space="preserve">Basit elektrik devresi kurarak çalıştırır.
Elektrik devresi için gerekli elemanlar hazırlattırılır.
Açık ve kapalı devre uygulamaları yaptırılır.</t>
  </si>
  <si>
    <t xml:space="preserve">Şimdiye kadar tek tek öğrenilen kablo hazırlama ve bağlama becerilerinin bu hafta gerçek bir devrede bir araya geleceği söylenir; basit bir devre şeması (pil-anahtar-ampul) gösterilir.</t>
  </si>
  <si>
    <t xml:space="preserve">Basit elektrik devresi kurmak için gerekli elemanlar (pil, anahtar, ampul, kablo) hazırlanır; açık ve kapalı devre uygulamaları yaptırılır.</t>
  </si>
  <si>
    <t xml:space="preserve">Kurulan devrenin anahtar açık/kapalı durumunda çalışıp çalışmadığı gözlemlenir.</t>
  </si>
  <si>
    <t xml:space="preserve">Basit Elektrik Devresi Kurma ve Çalıştırma</t>
  </si>
  <si>
    <t xml:space="preserve">Kısa devre uygulamaları yaptırılır.
Devre bağlantılarını sökmesi sağlanır.</t>
  </si>
  <si>
    <t xml:space="preserve">Geçen haftaki açık-kapalı devre hatırlatılır; bir devrede 'kısa devre' olduğunda ne olacağı sorulur.</t>
  </si>
  <si>
    <t xml:space="preserve">Kontrollü bir ortamda kısa devre uygulaması gösterilir (sigорта/güvenlik önlemiyle); ardından devre bağlantılarının doğru sökülmesi öğretilir.</t>
  </si>
  <si>
    <t xml:space="preserve">Devrenin güvenli şekilde söküldüğü kontrol edilir.</t>
  </si>
  <si>
    <t xml:space="preserve">Basit elektrik devresi kurarak çalıştırır.
Açık ve kapalı devre uygulamaları yaptırılır.
23 NİSAN Ulusal Egemenlik ve Çocuk Bayramı</t>
  </si>
  <si>
    <t xml:space="preserve">23 Nisan haftasına denk gelen bu haftada, geçen haftaki devre kurma bilgisinin farklı bir devre ile pekiştirileceği söylenir.</t>
  </si>
  <si>
    <t xml:space="preserve">Farklı elemanlarla (iki ampul, seri/paralel bağlantı) basit bir devre kurulup açık-kapalı devre uygulaması tekrarlanır.</t>
  </si>
  <si>
    <t xml:space="preserve">Kurulan devrenin çalışması gözlemlenir.</t>
  </si>
  <si>
    <t xml:space="preserve">Geçen haftaki devre kurma hatırlatılır; kısa devre ve devre sökme pratiğinin pekiştirileceği söylenir.</t>
  </si>
  <si>
    <t xml:space="preserve">Kısa devre uygulaması ve devre bağlantılarını sökme işlemi tekrar uygulatılır; Basit Elektrik Devresi Kurma ünitesi tamamlanır.</t>
  </si>
  <si>
    <t xml:space="preserve">Söküm sonrası tüm elemanların sağlam kaldığı kontrol edilir.</t>
  </si>
  <si>
    <t xml:space="preserve">Basit Faz (Enerji) Kontrol Yapma</t>
  </si>
  <si>
    <t xml:space="preserve">Basit faz (enerji) kontrolü yapar.
Enerji kontrol ve ölçü aletlerini hazırlaması sağlanır.
Faz ve nötr tespitinin önemi açıklanır.</t>
  </si>
  <si>
    <t xml:space="preserve">Bir prizde gerçekten elektrik olup olmadığının nasıl anlaşılacağı sorulur; enerji kontrol ve ölçü aletleri (avometre, faz kalemi) gösterilir.</t>
  </si>
  <si>
    <t xml:space="preserve">Enerji kontrol ve ölçü aletlerinin hazırlanması gösterilir; faz ve nötr tespitinin önemi anlatılır.</t>
  </si>
  <si>
    <t xml:space="preserve">Öğrencilerden faz kalemiyle bir prizde faz ucunu tespit etmeleri istenir.</t>
  </si>
  <si>
    <t xml:space="preserve">Bir fazlı prizlerde faz ile nötr arasındaki gerilim değerleri ölçtürülür.
Üç fazlı prizlerde faz ile nötr arasındaki gerilim değerlerini ölçmesi sağlanır.</t>
  </si>
  <si>
    <t xml:space="preserve">Geçen haftaki faz tespiti hatırlatılır; bir fazlı prizde gerilimin nasıl ölçüleceği sorulur.</t>
  </si>
  <si>
    <t xml:space="preserve">Bir fazlı prizlerde faz ile nötr arasındaki gerilim değerleri ölçtürülür; üç fazlı prizlerde faz-nötr gerilimi ölçme uygulaması da yaptırılır.</t>
  </si>
  <si>
    <t xml:space="preserve">Ölçülen gerilim değerleri standart değerlerle (220V) karşılaştırılır.</t>
  </si>
  <si>
    <t xml:space="preserve">Üç fazlı prizlerde fazlar arasındaki gerilim değerlerini ölçmesi sağlanarak uygulama yapmasına fırsat verilir.
19 MAYIS Atatürk'ü Anma Gençlik ve Spor Bayramı</t>
  </si>
  <si>
    <t xml:space="preserve">19 Mayıs kutlamasının ardından, üç fazlı sistemde fazlar arasındaki gerilimin de ölçülebileceği söylenir.</t>
  </si>
  <si>
    <t xml:space="preserve">Üç fazlı prizlerde fazlar arasındaki gerilim değerlerini ölçme uygulaması yaptırılır.</t>
  </si>
  <si>
    <t xml:space="preserve">Ölçülen değerler standart değerle (380V) karşılaştırılır.</t>
  </si>
  <si>
    <t xml:space="preserve">Basit faz (enerji) kontrolü yapar.
Üç fazlı prizlerde fazlar arasındaki gerilim değerlerini ölçmesi sağlanarak uygulama yapmasına fırsat verilir.</t>
  </si>
  <si>
    <t xml:space="preserve">Geçen haftaki faz arası gerilim ölçümü hatırlatılır; bu hafta pekiştirme çalışması yapılacağı söylenir.</t>
  </si>
  <si>
    <t xml:space="preserve">Üç fazlı prizlerde fazlar arasındaki gerilim ölçümü farklı bir priz üzerinde tekrarlanır.</t>
  </si>
  <si>
    <t xml:space="preserve">Basit Faz Kontrolü ünitesi genel bir değerlendirmeyle tamamlanır.</t>
  </si>
  <si>
    <t xml:space="preserve">Basit Müdahale ile Motor Devir Yönünü Değiştirme</t>
  </si>
  <si>
    <t xml:space="preserve">Basit müdahale ile motor devir yönünü değiştirir.
Motorların dönüş yönünün tespiti açıklanır.</t>
  </si>
  <si>
    <t xml:space="preserve">Bir elektrik motorunun her zaman aynı yönde dönmediği, bazen yönünün değiştirilebileceği sorulur; motor örneği gösterilir.</t>
  </si>
  <si>
    <t xml:space="preserve">Motorların dönüş yönünün nasıl tespit edileceği anlatılır; basit müdahaleyle motor devir yönünü değiştirme mantığı gösterilmeye başlanır.</t>
  </si>
  <si>
    <t xml:space="preserve">Öğrencilerden bir motorun dönüş yönünü tespit etmeleri istenir.</t>
  </si>
  <si>
    <t xml:space="preserve">Tek fazlı motorlarda devir yönü değiştirilir.</t>
  </si>
  <si>
    <t xml:space="preserve">Geçen haftaki dönüş yönü tespiti hatırlatılır; tek fazlı bir motorda devir yönünün nasıl değiştirileceği sorulur.</t>
  </si>
  <si>
    <t xml:space="preserve">Tek fazlı motorlarda devir yönü değiştirme işlemi (sargı uçlarının yer değiştirmesi) gösterilir; öğrenciler nezaret altında uygulama yapar.</t>
  </si>
  <si>
    <t xml:space="preserve">Motorun yeni dönüş yönü gözlemlenerek kontrol edilir.</t>
  </si>
  <si>
    <t xml:space="preserve">Üç fazlı motorlarda devir yönünü değiştirilerek uygulama yapmasına fırsat verilir.</t>
  </si>
  <si>
    <t xml:space="preserve">Geçen haftaki tek fazlı motor hatırlatılır; üç fazlı bir motorda devir yönünün nasıl değiştirileceği sorulur.</t>
  </si>
  <si>
    <t xml:space="preserve">Üç fazlı motorlarda devir yönü değiştirme işlemi (iki faz ucunun yer değiştirmesi) gösterilir; öğrenciler nezaret altında uygulama yapar.</t>
  </si>
  <si>
    <t xml:space="preserve">Basit müdahale ile motor devir yönünü değiştirir.
Tek fazlı ve üç fazlı motorlarda devir yönü değiştirme uygulamaları yaptırılır.</t>
  </si>
  <si>
    <t xml:space="preserve">Geçen haftaki üç fazlı motor uygulaması hatırlatılır; bu hafta hem tek fazlı hem üç fazlı motorlarla pekiştirme yapılacağı söylenir.</t>
  </si>
  <si>
    <t xml:space="preserve">Tek fazlı ve üç fazlı motorlarda devir yönü değiştirme uygulamaları sırayla tekrarlanır.</t>
  </si>
  <si>
    <t xml:space="preserve">İki motor türündeki uygulama karşılaştırılarak değerlendirilir.</t>
  </si>
  <si>
    <t xml:space="preserve">Yılın son haftası olduğu, iletken hazırlamadan motor devir yönü değiştirmeye kadar yıl boyunca öğrenilen tüm becerilerin kısa bir özetiyle derse başlanacağı söylenir.</t>
  </si>
  <si>
    <t xml:space="preserve">Öğrencilere tek fazlı ve üç fazlı motorlarda devir yönü değiştirme son uygulaması yaptırılır; öğretmen bireysel dönüt verir.</t>
  </si>
  <si>
    <t xml:space="preserve">Yıl boyunca yapılan uygulamalar genel olarak değerlendirilir, öğrencilere yıl sonu dönütü verilir.</t>
  </si>
  <si>
    <t xml:space="preserve">MEKANİK BAKIM ONARIM</t>
  </si>
  <si>
    <t xml:space="preserve">MAKİNE KURMA İŞLEMLERİ - Makinenin Kurulum Yeri Belirleme - Makinenin Alt Yapısı Hazırlama</t>
  </si>
  <si>
    <t xml:space="preserve">Makinenin kurulum yeri belirleme.
Makinenin alt yapısını hazırlar.
Örnek makine kullanma kılavuzu edinerek makine hakkında araştırma yapması istenir.</t>
  </si>
  <si>
    <t xml:space="preserve">Öğretim yılının ilk dersi olduğu için önceki bir konu tekrarı yapılmaz; bunun yerine bir makinenin atölyeye gelmeden önce nereye, nasıl kurulacağının planlanması gerektiği sorularak derse başlanır.</t>
  </si>
  <si>
    <t xml:space="preserve">Makinenin kurulacağı yerin nasıl belirleneceği (zemin sağlamlığı, havalandırma, erişim) anlatılır; makinenin alt yapısının (temel, elektrik/hava hattı) hazırlanması örneklerle gösterilir. Öğrencilerden örnek bir makine kullanma kılavuzu bulup incelemeleri istenir.</t>
  </si>
  <si>
    <t xml:space="preserve">Öğrencilerden incelediği kılavuzdan makinenin kurulum gereksinimlerinden birini paylaşması istenir.</t>
  </si>
  <si>
    <t xml:space="preserve">Makine Bakım Onarım Atölyesi, anahtar takımları, bakım onarım masası, etkileşimli tahta/projeksiyon, kataloglar, ölçü aletleri</t>
  </si>
  <si>
    <t xml:space="preserve">Makine Yerleşimi</t>
  </si>
  <si>
    <t xml:space="preserve">Makinenin yerleşim planını atölyenin fiziki şartlarına ve makinenin işlevine göre iş sağlığı ve güvenliği tedbirleri alınarak hazırlar.
Makine yerleşim planı yaparak kroki çizimi yapar.
Örnek makine yerleşimi için araştırma yapması istenir.</t>
  </si>
  <si>
    <t xml:space="preserve">Geçen haftaki alt yapı hazırlığı hatırlatılır; bir atölyede makinelerin nasıl bir düzende yerleştirileceği sorulur.</t>
  </si>
  <si>
    <t xml:space="preserve">Makine yerleşim planının atölyenin fiziki şartlarına ve makinenin işlevine göre, iş sağlığı ve güvenliği tedbirleri gözetilerek nasıl hazırlanacağı anlatılır; öğrenciler basit bir atölye krokisi çizerek makine yerleşim planı hazırlar.</t>
  </si>
  <si>
    <t xml:space="preserve">Hazırlanan yerleşim planları kısaca sınıfta paylaşılır.</t>
  </si>
  <si>
    <t xml:space="preserve">Makine Hidrolik, Pnömatik ve Soğutma Sıvı Bağlantısı</t>
  </si>
  <si>
    <t xml:space="preserve">Yerleşim planı çizerek basınçlı hava tesisatını hazırlar.
Basınçlı hava tesisatını örneklerle izah eder.
Öğrencilerin kendi seçtikleri bir makine ile basınçlı hava tesisatının montajı ile ilgili uygulama yapmasına fırsat verilir.</t>
  </si>
  <si>
    <t xml:space="preserve">Geçen haftaki yerleşim planı hatırlatılır; bazı makinelerin çalışması için basınçlı havaya ihtiyaç duyduğu sorulur.</t>
  </si>
  <si>
    <t xml:space="preserve">Yerleşim planı üzerinde basınçlı hava tesisatının nasıl çizileceği ve hazırlanacağı örneklerle anlatılır; öğrenciler kendi seçtikleri bir makine için basınçlı hava tesisatı montaj uygulaması üzerinde çalışır.</t>
  </si>
  <si>
    <t xml:space="preserve">Hazırlanan tesisat planı kontrol edilir.</t>
  </si>
  <si>
    <t xml:space="preserve">Makine Sabitleme</t>
  </si>
  <si>
    <t xml:space="preserve">Makineyi yerleştirerek, elektrik ve basınçlı hava tesisatını bağlar.
İş sağlığı ve güvenliği tedbirlerini alarak elektrikli ve basınçlı hava tesisatını makineye bağlaması sağlanır.</t>
  </si>
  <si>
    <t xml:space="preserve">Geçen haftaki tesisat planı hatırlatılır; bu hafta gerçek bir makinenin yerine yerleştirilip bağlanacağı söylenir.</t>
  </si>
  <si>
    <t xml:space="preserve">İş sağlığı ve güvenliği tedbirleri alınarak makinenin yerine yerleştirilmesi, elektrik ve basınçlı hava tesisatının bağlanması adım adım gösterilir; öğrenciler nezaret altında bağlantı uygulaması yapar.</t>
  </si>
  <si>
    <t xml:space="preserve">Yapılan bağlantıların güvenliği kontrol edilir.</t>
  </si>
  <si>
    <t xml:space="preserve">Makine Yağlama ve Parçaları Sıkma</t>
  </si>
  <si>
    <t xml:space="preserve">Makinenin uygun yağlama yağlarını koyarak, pnömatik ve soğutma sıvı bağlantısını yapar ve test eder.
Makineyi sabitleyerek koruyucu yağlarını temizler.
Makineye yağlama yağı katar ve gevşeyen parçalarını sıkar.</t>
  </si>
  <si>
    <t xml:space="preserve">Geçen haftaki bağlantı işlemi hatırlatılır; yeni kurulan bir makinenin çalıştırılmadan önce hangi son kontrollerden geçmesi gerektiği sorulur.</t>
  </si>
  <si>
    <t xml:space="preserve">Makinenin koruyucu yağlarının temizlenmesi, uygun yağlama yağının konulması, gevşeyen parçaların sıkılması ve soğutma sıvı bağlantısının test edilmesi gösterilir; öğrenciler bu son kontrolleri uygulamalı yapar.</t>
  </si>
  <si>
    <t xml:space="preserve">Son kontroller tamamlanan makinenin ilk çalıştırma testi gözlemlenir; Makine Kurma İşlemleri ünitesi tamamlanır.</t>
  </si>
  <si>
    <t xml:space="preserve">MAKİNELERİN DÜZENLİ BAKIMI - Katalog Okuma ve Parça Seçimi</t>
  </si>
  <si>
    <t xml:space="preserve">Günlük, haftalık, aylık ve altı aylık bakım takvimini oluşturarak uygulama yapmasına fırsat verilir.
Makine kataloglarını ve atölye yerleşim ve tesisat planlarını okur.
Makine kataloglarından faydalanarak atölye yerleşim ve tesisat planlarını okumasına fırsat verilir.</t>
  </si>
  <si>
    <t xml:space="preserve">Kurulan bir makinenin sürekli bakımsız kalırsa ne olacağı sorulur; düzenli bakım kavramına geçilir.</t>
  </si>
  <si>
    <t xml:space="preserve">Günlük, haftalık, aylık ve altı aylık bakım takviminin nasıl oluşturulacağı anlatılır; makine katalogları ve atölye yerleşim/tesisat planlarının nasıl okunacağı örneklerle gösterilir.</t>
  </si>
  <si>
    <t xml:space="preserve">Öğrencilerden kendi seçtikleri bir makine için basit bir bakım takvimi taslağı hazırlamaları istenir.</t>
  </si>
  <si>
    <t xml:space="preserve">Sızdırmazlık Elemanları Kontrolü</t>
  </si>
  <si>
    <t xml:space="preserve">Sızdırmazlık elemanlarını kullanır.
Sızdırmazlık elemanları ile ilgili araştırma yapması istenir.
Tablolardan standart sızdırmazlık elemanlarının seçimini yapması sağlanır.
29 EKİM Cumhuriyet Bayramı</t>
  </si>
  <si>
    <t xml:space="preserve">29 Ekim Cumhuriyet Bayramı nedeniyle kısa bir haftaya girildiği hatırlatılır; bir makinede sızıntıyı önleyen elemanların ne olduğu sorulur; conta/keçe örnekleri gösterilir.</t>
  </si>
  <si>
    <t xml:space="preserve">Sızdırmazlık elemanlarıyla ilgili kısa araştırma paylaşımı yapılır; standart tablolardan uygun sızdırmazlık elemanı seçimi gösterilir.</t>
  </si>
  <si>
    <t xml:space="preserve">Öğrencilerden bir parça için uygun sızdırmazlık elemanı seçmeleri istenir.</t>
  </si>
  <si>
    <t xml:space="preserve">Karter ve Boyun Sızdırmazlık Elemanları</t>
  </si>
  <si>
    <t xml:space="preserve">Karter ve boyun sızdırmazlık elemanlarını değiştirir.
Karter sızdırmazlık elemanlarını sınıflandırarak sızdırmazlık elemanlarını değiştirmesi uygulaması yaptırılır.</t>
  </si>
  <si>
    <t xml:space="preserve">Geçen haftaki sızdırmazlık elemanı seçimi hatırlatılır; karter ve mil boyun keçelerinin ne zaman değiştirilmesi gerektiği sorulur.</t>
  </si>
  <si>
    <t xml:space="preserve">Karter sızdırmazlık elemanları sınıflandırılır; karter ve boyun sızdırmazlık elemanlarının değiştirilmesi uygulamalı olarak gösterilip yaptırılır.</t>
  </si>
  <si>
    <t xml:space="preserve">Değiştirilen elemanların sızdırmazlığı gözle kontrol edilir.</t>
  </si>
  <si>
    <t xml:space="preserve">Parça Seçimi ve Montajı</t>
  </si>
  <si>
    <t xml:space="preserve">Kataloglardaki makine ve parça resimlerini okuyarak, parça seçimi ve montajını yapar.
Kataloglardan parça seçimi yapması istenir.
Katalogdan seçilen parçayı makineye monte etmesi istenerek uygulama yapmasına fırsat verilir.
10 KASIM Atatürk'ü Anma Günü ve Atatürk Haftası</t>
  </si>
  <si>
    <t xml:space="preserve">10 Kasım Atatürk'ü Anma Günü anması sonrası, bir makine parçası bozulduğunda doğru yedek parçanın nasıl bulunacağı sorulur.</t>
  </si>
  <si>
    <t xml:space="preserve">Kataloglardaki makine ve parça resimlerinin okunması gösterilir; katalogdan parça seçimi ve seçilen parçanın makineye montajı uygulamalı olarak yaptırılır.</t>
  </si>
  <si>
    <t xml:space="preserve">Monte edilen parçanın doğru çalışıp çalışmadığı kontrol edilir.</t>
  </si>
  <si>
    <t xml:space="preserve">Kataloglardaki makine ve parça resimlerini okuyarak, parça seçimi ve montajını yapar.
Katalogdan seçilen parçayı makineye monte etmesi istenerek uygulama yapmasına fırsat verilir.</t>
  </si>
  <si>
    <t xml:space="preserve">Ara tatil dönüşü kısa bir hatırlatmanın ardından, geçen haftaki katalogdan parça seçimi ve montaj becerisinin farklı bir parça ile pekiştirileceği söylenir.</t>
  </si>
  <si>
    <t xml:space="preserve">Farklı bir makine parçası için katalog okuma, parça seçimi ve montaj uygulaması tekrarlanır.</t>
  </si>
  <si>
    <t xml:space="preserve">Parça Seçimi ve Montajı ünitesi genel bir değerlendirmeyle tamamlanır.</t>
  </si>
  <si>
    <t xml:space="preserve">SİSTEMLERİN DÜZENLİ KONTROLLARI - Kavrama ve Fren Sistemi Kontrolü</t>
  </si>
  <si>
    <t xml:space="preserve">Aktarma organlarının makine ve mekanizmaların hayati sistemleri olduğu izah edilir.
İş sağlığı ve güvenliği tedbirlerini alarak gözle ve test cihazları ile aktarma dişlilerinin, rulman ve burçların kontrolünün yapılması sağlanarak uygulama yapmasına fırsat verilir.</t>
  </si>
  <si>
    <t xml:space="preserve">Bir makinenin hareketini ileten dişli, rulman ve burçların da düzenli kontrole ihtiyaç duyduğu sorulur; aktarma organları kavramına geçilir.</t>
  </si>
  <si>
    <t xml:space="preserve">Aktarma organlarının makine ve mekanizmalar için neden hayati olduğu anlatılır; gözle ve test cihazlarıyla aktarma dişlilerinin, rulman ve burçların kontrolü gösterilip uygulatılır.</t>
  </si>
  <si>
    <t xml:space="preserve">Kontrol sonuçları bir forma kaydedilir.</t>
  </si>
  <si>
    <t xml:space="preserve">Kavrama ve Fren Sistemi Kontrolü</t>
  </si>
  <si>
    <t xml:space="preserve">Kavrama ve fren sistemlerinin kontrolünü yapar.
Gözle ve test cihazları ile makine ve mekanizmaların kavrama ve fren sistemini kontrol ederek uygulama yapmasına fırsat verilir.</t>
  </si>
  <si>
    <t xml:space="preserve">Geçen haftaki aktarma organı kontrolü hatırlatılır; bir makinenin hareketinin nasıl durdurulduğu (kavrama, fren) sorulur.</t>
  </si>
  <si>
    <t xml:space="preserve">Gözle ve test cihazlarıyla kavrama ve fren sistemlerinin kontrolü gösterilip uygulatılır.</t>
  </si>
  <si>
    <t xml:space="preserve">Kontrol sonuçları kaydedilir; Kavrama ve Fren Sistemi Kontrolü konusu tamamlanır.</t>
  </si>
  <si>
    <t xml:space="preserve">Kayış Kasnak Sistemi ve Koruyucularının Bakımı</t>
  </si>
  <si>
    <t xml:space="preserve">Kayış kasnak sistemi ve koruyucularının bakımını yapar.
Kayış standartlarına uygun kataloglardan kayış seçimini yapması sağlanır.
Kayış kasnak sistemi ve koruyucuları makine üzerinde söküp takarak kayış gerginliklerinin kontrolü ile uygulama yaptırılmasına fırsat verilir.</t>
  </si>
  <si>
    <t xml:space="preserve">Bir motorun hareketinin kayış-kasnak ile nasıl aktarıldığı sorulur; kayış örnekleri gösterilir.</t>
  </si>
  <si>
    <t xml:space="preserve">Kayış standartlarına uygun katalogdan kayış seçimi gösterilir; kayış-kasnak sistemi ve koruyucularının makine üzerinde sökülüp takılması ile kayış gerginliğinin kontrolü uygulamalı olarak yaptırılır.</t>
  </si>
  <si>
    <t xml:space="preserve">Kayış gerginliği kontrolü doğru yapılıp yapılmadığı değerlendirilir.</t>
  </si>
  <si>
    <t xml:space="preserve">Makine Yağlama Sistemleri Kontrolü</t>
  </si>
  <si>
    <t xml:space="preserve">Makine yağlama sistemlerinin kontrolünü yaparak yağ kataloglarını kullanır.
Makine yağlarının özelliklerini ve çeşitleri hakkında bilgi toplaması istenir.
Yağın viskozitesini ayırt etmesi istenir.
Yağlama pompaları ve çeşitlerini açıklanır.</t>
  </si>
  <si>
    <t xml:space="preserve">Geçen haftaki kayış-kasnak bakımı hatırlatılır; makinenin hareketli parçalarının neden yağlanması gerektiği sorulur.</t>
  </si>
  <si>
    <t xml:space="preserve">Makine yağlarının özellikleri ve çeşitleri anlatılır; yağın viskozitesinin nasıl ayırt edileceği ve yağlama pompaları/çeşitleri gösterilir; yağ kataloglarının kullanımı uygulanır.</t>
  </si>
  <si>
    <t xml:space="preserve">Öğrencilerden bir makine parçası için uygun yağ türünü kataloğa göre seçmeleri istenir.</t>
  </si>
  <si>
    <t xml:space="preserve">Yağ Değişimi</t>
  </si>
  <si>
    <t xml:space="preserve">Yağ değişimini yapar.
Yağ kataloglarını kullanılması izah edilir.
Makine yağlama sistemlerinin kontrolü yaptırılarak özelliğine göre yağ katılası ile uygulama yapmasına fırsat verilir.</t>
  </si>
  <si>
    <t xml:space="preserve">Yılın son haftası öncesinde, geçen haftaki yağ seçiminin bu hafta gerçek bir yağ değişiminde uygulanacağı söylenir.</t>
  </si>
  <si>
    <t xml:space="preserve">Yağ kataloglarının kullanımı tekrar gösterilir; makine yağlama sisteminin kontrolü yapılarak özelliğine uygun yağ değişimi uygulamalı olarak yaptırılır.</t>
  </si>
  <si>
    <t xml:space="preserve">1. dönem sonu genel bir değerlendirme yapılır, Makinelerin Düzenli Bakımı ünitesi tamamlanır.</t>
  </si>
  <si>
    <t xml:space="preserve">KALDIRMA VE TAŞIMA ARAÇLARI - Krikolar</t>
  </si>
  <si>
    <t xml:space="preserve">Kaldırılacak ağırlığa uygun şekilde tel halat ve kaldırma zinciri seçimini yapması sağlanır.
Tel halat ve yük kaldırma zincirlerinin hesaplamalarını yapması sağlanır.
Yük ve kaldırma zincirlerinin gereçlerini ayırt etmesi gerçekleştirilir.
Tel halat ve yük kaldırma zincirlerini kullanarak uygulama yapmasına fırsat verilir.
Krikoları sınıflandırarak krikoları kullanır.</t>
  </si>
  <si>
    <t xml:space="preserve">2. dönemin ilk haftası olması nedeniyle geçen dönem işlenenlerin kısa bir özeti yapılır; ağır bir makine parçasının elle değil bir araçla nasıl kaldırılacağı sorulur; kriko örneği gösterilir.</t>
  </si>
  <si>
    <t xml:space="preserve">Kaldırılacak ağırlığa uygun tel halat ve kaldırma zinciri seçimi ve hesaplamaları gösterilir; yük ve kaldırma zincirlerinin gereçleri ayırt edilir.</t>
  </si>
  <si>
    <t xml:space="preserve">Öğrencilerden verilen bir ağırlık için uygun tel halat/zincir seçmeleri istenir.</t>
  </si>
  <si>
    <t xml:space="preserve">Krikolar - Vinçler</t>
  </si>
  <si>
    <t xml:space="preserve">Krikoların çalışma sistemi ve çeşitleri hakkında bilgi toplaması sağlanır.
Krikolarla yük kaldırması sağlanarak uygulama yapmasına fırsat tanınır.
Vinçleri sınıflandırarak emniyet tedbirlerini alarak kullanır.
Vinçlerin çalışma sistemi ve çeşitleri hakkında bilgi toplaması sağlanır.</t>
  </si>
  <si>
    <t xml:space="preserve">Geçen haftaki tel halat ve zincir hesabı hatırlatılır; krikonun nasıl çalıştığı sorulur.</t>
  </si>
  <si>
    <t xml:space="preserve">Krikoların çalışma sistemi ve çeşitleri anlatılır; krikoyla yük kaldırma uygulaması güvenlik tedbirleriyle yaptırılır. Ardından vinç çeşitleri sınıflandırılıp emniyet tedbirleriyle kullanımı tanıtılır.</t>
  </si>
  <si>
    <t xml:space="preserve">Kriko kullanımının doğruluğu gözlemlenerek değerlendirilir.</t>
  </si>
  <si>
    <t xml:space="preserve">Vinçler - Forkliftler</t>
  </si>
  <si>
    <t xml:space="preserve">Vinçlerin bulunduğu ortamda kullanılması ve/veya görsel video, resim maket gibi eğitim araçları ile uygulama yapması sağlanır.
Forkliftlerle yük taşır.
Forklift çalışma sistemi ve çeşitleri hakkında bilgi toplaması sağlanır.</t>
  </si>
  <si>
    <t xml:space="preserve">Geçen haftaki vinç tanıtımı hatırlatılır; forkliftlerin vinçten farkı sorulur.</t>
  </si>
  <si>
    <t xml:space="preserve">Vinçlerin bulunduğu ortamda kullanımı video/resim/maket gibi eğitim araçlarıyla gösterilir; forkliftlerle yük taşıma ve forklift çalışma sistemi/çeşitleri anlatılır.</t>
  </si>
  <si>
    <t xml:space="preserve">Forkliftler - Elevatörler</t>
  </si>
  <si>
    <t xml:space="preserve">Forklift'in bulunduğu ortamda kullanılması ve/veya görsel video, resim maket gibi eğitim araçları ile uygulama yapması sağlanır.
Elevatörlerle yük taşır.
Elevatörler çalışma sistemi ve çeşitleri hakkında bilgi toplaması sağlanır.
Elevatör'ün bulunduğu ortamda kullanılması ve/veya görsel video, resim maket gibi eğitim araçları ile uygulama yapması sağlanır.</t>
  </si>
  <si>
    <t xml:space="preserve">Yarıyıl tatili dönüşü kısa bir hatırlatmayla derse başlanır; forkliftin çalışma alanı dar olduğunda yükün dikey olarak nasıl taşınabileceği sorulur; elevatör örneği gösterilir.</t>
  </si>
  <si>
    <t xml:space="preserve">Forkliftin bulunduğu ortamda kullanımı görsel araçlarla pekiştirilir; elevatörlerle yük taşıma ve elevatör çalışma sistemi/çeşitleri anlatılır.</t>
  </si>
  <si>
    <t xml:space="preserve">Öğrencilerden forklift ile elevatörün kullanım alanlarını karşılaştırmaları istenir.</t>
  </si>
  <si>
    <t xml:space="preserve">Forkliftlerle yük taşır.
Elevatörlerle yük taşır.
Kaldırma ve taşıma araçları ile ilgili uygulama çalışmaları.</t>
  </si>
  <si>
    <t xml:space="preserve">Geçen haftaki forklift ve elevatör bilgisi hatırlatılır; bu hafta bu iki araçla ilgili uygulama çalışması yapılacağı söylenir.</t>
  </si>
  <si>
    <t xml:space="preserve">Forklift ve elevatörlerle yük taşıma uygulamaları (varsa maket/simülasyon ile) yaptırılır.</t>
  </si>
  <si>
    <t xml:space="preserve">Kaldırma ve Taşıma Araçları ünitesi genel bir değerlendirmeyle tamamlanır.</t>
  </si>
  <si>
    <t xml:space="preserve">ARIZA TESPİTİ - Arıza Nedenleri</t>
  </si>
  <si>
    <t xml:space="preserve">Makine arıza tespit yöntemleri hakkında bilgi toplaması sağlanır.
Arızalı bölüm veya parçayı göz, kulak, temas ve koku gibi duyu organlarını kullanarak tespitini gerçekleştirerek uygulama yapmasına imkân verilir.</t>
  </si>
  <si>
    <t xml:space="preserve">Bir makinenin arızalı olduğunu ilk fark etmenin yollarının neler olabileceği sorulur; arıza tespiti konusuna geçilir.</t>
  </si>
  <si>
    <t xml:space="preserve">Makine arıza tespit yöntemleri hakkında bilgi verilir; arızalı bölüm veya parçanın göz, kulak, temas ve koku gibi duyu organları kullanılarak nasıl tespit edileceği örneklerle gösterilip uygulatılır.</t>
  </si>
  <si>
    <t xml:space="preserve">Öğrencilerden bir arıza belirtisini (ses, koku, titreşim) hangi duyu organıyla fark edeceklerini eşleştirmeleri istenir.</t>
  </si>
  <si>
    <t xml:space="preserve">Makine Arıza Tespit Yöntemleri</t>
  </si>
  <si>
    <t xml:space="preserve">Arızalı bölüm veya parçayı cihazla tespitini gerçekleştirerek uygulama yapmasına imkân verilir.
Makinanın çalışma sistemini tanıyarak arızalı makinenin arıza sebebini araştırır.
Makinelerin çalışma sistemleri hakkında bilgi toplanması sağlanır.</t>
  </si>
  <si>
    <t xml:space="preserve">Geçen haftaki duyu organlarıyla arıza tespiti hatırlatılır; bazı arızaların cihaz olmadan anlaşılamayacağı sorulur.</t>
  </si>
  <si>
    <t xml:space="preserve">Arızalı bölüm/parçanın cihazla (test cihazı, ölçü aleti) tespiti gösterilip uygulatılır; makinenin çalışma sistemi tanınarak arıza sebebinin nasıl araştırılacağı anlatılır.</t>
  </si>
  <si>
    <t xml:space="preserve">Cihazla yapılan tespit sonuçları kaydedilir.</t>
  </si>
  <si>
    <t xml:space="preserve">Arızalı makinenin çalışma ortamını gözden geçirilmesi sağlanarak çevresel şartların arızaya sebebini araştırmasına imkân verilir.
Arızalı bölüm veya parçayı göz, kulak, temas ve koku gibi duyu organlarını kullanarak tespitini gerçekleştirerek uygulama yapmasına imkân verilir.</t>
  </si>
  <si>
    <t xml:space="preserve">Tatil dönüşü kısa bir hatırlatmayla başlanır; bir makinenin bulunduğu ortamın (nem, toz, sıcaklık) arızaya sebep olabileceği sorulur.</t>
  </si>
  <si>
    <t xml:space="preserve">Arızalı makinenin çalışma ortamı gözden geçirilerek çevresel şartların arızaya etkisi araştırılır; duyu organlarıyla tespit tekniği farklı bir makinede tekrar uygulanır.</t>
  </si>
  <si>
    <t xml:space="preserve">Çevresel etkenlerden kaynaklanan bir arıza örneği sınıfça tartışılır.</t>
  </si>
  <si>
    <t xml:space="preserve">Arızalı bölüm veya parçayı cihazla tespitini gerçekleştirerek uygulama yapmasına imkân verilir.
Makinanın çalışma sistemini tanıyarak arızalı makinenin arıza sebebini araştırır.</t>
  </si>
  <si>
    <t xml:space="preserve">Geçen haftaki çevresel etken analizi hatırlatılır; cihazla tespit tekniğinin pekiştirileceği söylenir.</t>
  </si>
  <si>
    <t xml:space="preserve">Farklı bir makine parçasında cihazla arıza tespiti tekrar uygulatılır; makinenin çalışma sistemi tanınarak arıza sebebi araştırılır.</t>
  </si>
  <si>
    <t xml:space="preserve">Tespit sonuçları kaydedilir.</t>
  </si>
  <si>
    <t xml:space="preserve">Arızalı makinenin çalışma ortamını gözden geçirilmesi sağlanarak çevresel şartların arızaya sebebini araştırmasına imkân verilir.
Makinanın çalışma sistemini tanıyarak arızalı makinenin arıza sebebini araştırır.</t>
  </si>
  <si>
    <t xml:space="preserve">Geçen haftaki cihazla tespit hatırlatılır; Makine Arıza Tespit Yöntemleri ünitesinin son pekiştirme çalışmasının yapılacağı söylenir.</t>
  </si>
  <si>
    <t xml:space="preserve">Arızalı makinenin çalışma ortamı ve çalışma sistemi birlikte değerlendirilerek arıza sebebi araştırma uygulaması tamamlanır.</t>
  </si>
  <si>
    <t xml:space="preserve">Arıza Tespiti ünitesi genel bir değerlendirmeyle tamamlanır.</t>
  </si>
  <si>
    <t xml:space="preserve">ARIZALI MAKİNENİN ONARIMI - Arızalı Parça Sökümü</t>
  </si>
  <si>
    <t xml:space="preserve">Vakum makinesi ve diğer temizleme malzemelerini (üstüpü, bez, güderi vb.) kullanıp arızalı kısmı temizler.
Vakumla temizlemenin tekniği açıklanır.</t>
  </si>
  <si>
    <t xml:space="preserve">Arızası tespit edilen bir makinenin onarıma başlamadan önce neden temizlenmesi gerektiği sorulur; vakum makinesi gösterilir.</t>
  </si>
  <si>
    <t xml:space="preserve">Vakum makinesi ve diğer temizleme malzemeleri (üstüpü, bez, güderi) kullanılarak arızalı kısmın temizlenmesi gösterilip uygulatılır.</t>
  </si>
  <si>
    <t xml:space="preserve">Temizlenen bölgenin sökme işlemine hazır olup olmadığı kontrol edilir.</t>
  </si>
  <si>
    <t xml:space="preserve">Arızalı Parça Sökümü</t>
  </si>
  <si>
    <t xml:space="preserve">Sökme takma takımlarını kullanarak arızalı parçayı söker.
Sökme ve montaj takımlarının çeşitleri ve kullanılma tekniği hakkında bilgi toplaması gerçekleştirilir.
Arızalı parçayı sökme işleminde söküm sırasının önemi açıklanır.
Montaj resmine göre parça numaralamayı tayin etmesi sağlanır.
Arızalı parçayı sökerek uygulama yapmasına imkân tanınır.
23 NİSAN Ulusal Egemenlik ve Çocuk Bayramı</t>
  </si>
  <si>
    <t xml:space="preserve">Geçen haftaki temizlik işlemi hatırlatılır; arızalı bir parçanın sökülürken neye dikkat edilmesi gerektiği sorulur.</t>
  </si>
  <si>
    <t xml:space="preserve">Sökme-takma takımlarının çeşitleri ve kullanım tekniği anlatılır; söküm sırasının önemi ve montaj resmine göre parça numaralama gösterilip uygulatılır.</t>
  </si>
  <si>
    <t xml:space="preserve">Sökülen parçaların doğru sırayla numaralandırılıp numaralandırılmadığı kontrol edilir.</t>
  </si>
  <si>
    <t xml:space="preserve">Sökme takma takımlarını kullanarak arızalı parçayı söker.
Arızalı parçayı sökerek uygulama yapmasına imkân tanınır.</t>
  </si>
  <si>
    <t xml:space="preserve">Geçen haftaki söküm sırası ve numaralama hatırlatılır; bu hafta farklı bir parça ile pekiştirileceği söylenir.</t>
  </si>
  <si>
    <t xml:space="preserve">Farklı bir arızalı parça üzerinde sökme-takma takımlarıyla söküm uygulaması tekrarlanır.</t>
  </si>
  <si>
    <t xml:space="preserve">Arızalı Parça Sökümü ünitesi genel bir değerlendirmeyle tamamlanır.</t>
  </si>
  <si>
    <t xml:space="preserve">Arızalı Parça Tamiri ve Değişimi</t>
  </si>
  <si>
    <t xml:space="preserve">Arızalı parçayı onarır veya değiştirir.
Arızalı parça tamiri ve/veya parça değişimi arasındaki ayrıntı açıklanır.
Arızalı parçayı tamir ve parça değişimi işlem sırasının önemi açıklanır.</t>
  </si>
  <si>
    <t xml:space="preserve">Sökülen bir parçanın her zaman tamir edilebilir olmadığı, bazen değiştirilmesi gerektiği sorulur.</t>
  </si>
  <si>
    <t xml:space="preserve">Arızalı parça tamiri ile parça değişimi arasındaki fark (maliyet, süre, parçanın durumu) açıklanır; tamir/değişim işlem sırasının önemi anlatılır.</t>
  </si>
  <si>
    <t xml:space="preserve">Öğrencilerden bir arızalı parça için tamir mi değişim mi tercih edeceklerini gerekçeleriyle söylemeleri istenir.</t>
  </si>
  <si>
    <t xml:space="preserve">Arızalı parçanın tamiri ve/veya parça değişim yaptırılarak uygulama yapmasına imkân tanınır.</t>
  </si>
  <si>
    <t xml:space="preserve">Geçen haftaki tamir/değişim kararı hatırlatılır; bu hafta gerçek bir uygulamaya geçileceği söylenir.</t>
  </si>
  <si>
    <t xml:space="preserve">Arızalı parçanın tamiri veya değişimi uygulamalı olarak yaptırılır; öğretmen bireysel dönüt verir.</t>
  </si>
  <si>
    <t xml:space="preserve">Yapılan tamir/değişim işleminin kalitesi kontrol edilir.</t>
  </si>
  <si>
    <t xml:space="preserve">Arızalı parçayı onarır veya değiştirir.
Arızalı parçanın tamiri ve/veya parça değişim yaptırılarak uygulama yapmasına imkân tanınır.
19 MAYIS Atatürk'ü Anma Gençlik ve Spor Bayramı</t>
  </si>
  <si>
    <t xml:space="preserve">19 Mayıs kutlamasının ardından, geçen haftaki tamir/değişim uygulamasının farklı bir parça ile pekiştirileceği söylenir.</t>
  </si>
  <si>
    <t xml:space="preserve">Farklı bir arızalı parça üzerinde tamir veya değişim uygulaması tekrarlanır.</t>
  </si>
  <si>
    <t xml:space="preserve">Arızalı Parça Tamiri ve Değişimi ünitesi genel bir değerlendirmeyle tamamlanır.</t>
  </si>
  <si>
    <t xml:space="preserve">Makine Çalışma Testi</t>
  </si>
  <si>
    <t xml:space="preserve">Elle veya ölçü aletleri ile tamir sonrası makine testini yapar.
Tamir sonrası elle veya ölçü aleti ile makine testinin önemi açıklanır.</t>
  </si>
  <si>
    <t xml:space="preserve">Tamir edilen bir makinenin gerçekten düzelip düzelmediğinin nasıl anlaşılacağı sorulur; makine çalışma testi kavramına geçilir.</t>
  </si>
  <si>
    <t xml:space="preserve">Tamir sonrası elle veya ölçü aletleriyle makine testinin önemi anlatılır; test işlemi (çalıştırma, titreşim/ses kontrolü, ölçüm) adım adım gösterilip uygulatılır.</t>
  </si>
  <si>
    <t xml:space="preserve">Test sonuçları bir forma kaydedilir.</t>
  </si>
  <si>
    <t xml:space="preserve">Tamir sonrası elle veya ölçü aleti ile makine testi yaptırılarak uygulama yapmasına imkân tanınır.</t>
  </si>
  <si>
    <t xml:space="preserve">Geçen haftaki makine testi hatırlatılır; bu hafta farklı bir makinede pekiştirileceği söylenir.</t>
  </si>
  <si>
    <t xml:space="preserve">Farklı bir tamir edilmiş makinede elle/ölçü aletiyle test uygulaması tekrarlanır.</t>
  </si>
  <si>
    <t xml:space="preserve">Test sonuçları önceki haftayla karşılaştırılır.</t>
  </si>
  <si>
    <t xml:space="preserve">Elle veya ölçü aletleri ile tamir sonrası makine testini yapar.
Tamir sonrası elle veya ölçü aleti ile makine testi yaptırılarak uygulama yapmasına imkân tanınır.</t>
  </si>
  <si>
    <t xml:space="preserve">Geçen haftaki test uygulaması hatırlatılır; bu hafta ünitenin pekiştirilmeye devam edileceği söylenir.</t>
  </si>
  <si>
    <t xml:space="preserve">Farklı bir makine üzerinde makine testi uygulaması tekrarlanır; öğretmen bireysel dönüt verir.</t>
  </si>
  <si>
    <t xml:space="preserve">Test sonuçları kaydedilir.</t>
  </si>
  <si>
    <t xml:space="preserve">Geçen haftaki test uygulamaları hatırlatılır; bu hafta karma bir uygulamaya geçileceği söylenir.</t>
  </si>
  <si>
    <t xml:space="preserve">Öğrenciler birden fazla makine üzerinde elle ve ölçü aletiyle test uygulaması yapar; öğretmen bireysel dönüt verir.</t>
  </si>
  <si>
    <t xml:space="preserve">Test sonuçları karşılaştırılarak değerlendirilir.</t>
  </si>
  <si>
    <t xml:space="preserve">Yıl sonuna yaklaşılırken, geçen haftaki karma test uygulamasının pekiştirileceği söylenir.</t>
  </si>
  <si>
    <t xml:space="preserve">Farklı bir makine üzerinde son bir test uygulaması yaptırılır.</t>
  </si>
  <si>
    <t xml:space="preserve">Yılın son haftası olduğu, makine kurmadan arıza tespiti ve onarıma kadar yıl boyunca öğrenilen tüm sürecin kısa bir özetiyle derse başlanacağı söylenir.</t>
  </si>
  <si>
    <t xml:space="preserve">Öğrenciler yıl boyunca üzerinde çalıştıkları bir makinede son bir çalışma testi yaparak elle ve ölçü aletiyle sonucu kaydeder.</t>
  </si>
  <si>
    <t xml:space="preserve">Yıl boyunca yapılan tüm uygulamalar genel olarak değerlendirilir, öğrencilere yıl sonu dönütü verilir.</t>
  </si>
  <si>
    <t xml:space="preserve">MEKANİZMALAR</t>
  </si>
  <si>
    <t xml:space="preserve">BİRLEŞTİRME ELEMANLARI - Cıvata, Somun ve Rondela ile Makine Parçalarını Birleştirme</t>
  </si>
  <si>
    <t xml:space="preserve">Uygun vidayı seçmesi sağlanır.
Cıvata ile iş parçasını bağlamada dikkat edeceği hususlar açıklanır.</t>
  </si>
  <si>
    <t xml:space="preserve">Öğretim yılının ilk dersi olduğu için önceki bir konu tekrarı yapılmaz; bunun yerine bir masanın veya sandalyenin neden vidalarla değil de bazen sökülebilir bağlantılarla birleştirildiği sorularak derse başlanır. Farklı vida örnekleri sınıfa getirilir.</t>
  </si>
  <si>
    <t xml:space="preserve">Farklı vida çeşitleri (metrik, whitworth) tanıtılır; işe uygun vida seçiminde dikkat edilecek hususlar (baş tipi, malzeme) anlatılır; cıvata ile iş parçasını bağlarken dikkat edilecek noktalar (tork, sıra) gösterilir.</t>
  </si>
  <si>
    <t xml:space="preserve">Öğrencilerden verilen bir parça için uygun vida seçmeleri istenir.</t>
  </si>
  <si>
    <t xml:space="preserve">Mekanik Bakım Onarım Atölyesi, mekanizma örnekleri, etkileşimli tahta/projeksiyon, bilgisayar, standart tablolar ve çizelgeler</t>
  </si>
  <si>
    <t xml:space="preserve">Cıvata, Somun ve Rondela ile Makine Parçalarını Birleştirme</t>
  </si>
  <si>
    <t xml:space="preserve">Uygun cıvata, somun ve rondela çeşitlerini kullanarak iş parçalarını bağlama yaparak uygulama yapma fırsatı verilir.</t>
  </si>
  <si>
    <t xml:space="preserve">Geçen haftaki vida seçimi hatırlatılır; bu hafta gerçek bir birleştirme uygulamasına geçileceği söylenir.</t>
  </si>
  <si>
    <t xml:space="preserve">Uygun cıvata, somun ve rondela çeşitleri kullanılarak iş parçalarını bağlama işlemi adım adım gösterilir; öğrenciler kendi parçalarında bağlama uygulaması yapar.</t>
  </si>
  <si>
    <t xml:space="preserve">Yapılan bağlantının sıkılığı kontrol edilir.</t>
  </si>
  <si>
    <t xml:space="preserve">Saplama kullanarak makine parçalarını birbirine bağlayarak uygulama yapması sağlanır.</t>
  </si>
  <si>
    <t xml:space="preserve">Geçen haftaki cıvatalı bağlantı hatırlatılır; bazı durumlarda cıvata yerine saplamanın kullanıldığı sorulur; saplama örneği gösterilir.</t>
  </si>
  <si>
    <t xml:space="preserve">Saplama kullanarak makine parçalarını birbirine bağlama tekniği gösterilir; öğrenciler saplamalı bağlantı uygulaması yapar.</t>
  </si>
  <si>
    <t xml:space="preserve">Yapılan saplamalı bağlantı kontrol edilir.</t>
  </si>
  <si>
    <t xml:space="preserve">Uygun cıvata, somun ve rondela çeşitlerini kullanarak iş parçalarını bağlama.
Saplama kullanarak makine parçalarını birbirine bağlayarak uygulama yapması sağlanır.</t>
  </si>
  <si>
    <t xml:space="preserve">Geçen haftaki saplamalı bağlantı hatırlatılır; bu hafta cıvata-somun-rondela ve saplama tekniklerinin bir arada pekiştirileceği söylenir.</t>
  </si>
  <si>
    <t xml:space="preserve">Farklı bir parça üzerinde hem cıvatalı hem saplamalı bağlantı uygulaması tekrarlanır.</t>
  </si>
  <si>
    <t xml:space="preserve">Cıvata, Somun ve Rondela ile Birleştirme ünitesi genel bir değerlendirmeyle tamamlanır.</t>
  </si>
  <si>
    <t xml:space="preserve">Pim, Perno, Kama ve Segmanlar ile Makine Parçalarını Birleştirme</t>
  </si>
  <si>
    <t xml:space="preserve">Pim, perno, kama ve segmanlar ile makine parçalarını birleştirir.
Delik çapına uygun pim seçerek pimi yerine yerleştirmesinde dikkat edilecek hususlar açıklanır.</t>
  </si>
  <si>
    <t xml:space="preserve">Cıvatadan farklı olarak bir mile bir parçanın dönmeden nasıl sabitlendiği sorulur; pim örneği gösterilir.</t>
  </si>
  <si>
    <t xml:space="preserve">Delik çapına uygun pim seçimi ve pimin yerine yerleştirilmesinde dikkat edilecek hususlar (sıkı geçme, çekiçle vurma açısı) gösterilir; öğrenciler pimli bağlantı uygulaması yapar.</t>
  </si>
  <si>
    <t xml:space="preserve">Yerleştirilen pimin sağlamlığı kontrol edilir.</t>
  </si>
  <si>
    <t xml:space="preserve">Uygun pernoyu seçerek pernoyu yerine yerleştirmesi sağlanır.
Uygun kamayı seçerek kama kanalına kamayı yerleştirmesi sağlanır.</t>
  </si>
  <si>
    <t xml:space="preserve">Geçen haftaki pimli bağlantı hatırlatılır; perno ve kamanın da benzer amaçlarla kullanıldığı sorulur.</t>
  </si>
  <si>
    <t xml:space="preserve">Uygun perno seçimi ve yerleştirilmesi gösterilir; ardından uygun kama seçimi ve kama kanalına yerleştirilmesi uygulamalı olarak yaptırılır.</t>
  </si>
  <si>
    <t xml:space="preserve">Perno ve kama bağlantılarının doğruluğu kontrol edilir.</t>
  </si>
  <si>
    <t xml:space="preserve">Uygun segmanı seçerek segmanı yerine yerleştirmesi gerçekleştirilir.
Emniyet saclarını kullanarak cıvataları emniyete alınması sağlanır.
29 EKİM Cumhuriyet Bayramı</t>
  </si>
  <si>
    <t xml:space="preserve">29 Ekim Cumhuriyet Bayramı nedeniyle kısa bir haftaya girildiği hatırlatılır; bir milin üzerindeki parçanın eksenel kaymasının nasıl önlendiği sorulur; segman gösterilir.</t>
  </si>
  <si>
    <t xml:space="preserve">Uygun segman seçimi ve yerleştirilmesi gösterilir; emniyet saclarının cıvataları gevşemeye karşı nasıl emniyete aldığı anlatılıp uygulatılır.</t>
  </si>
  <si>
    <t xml:space="preserve">Segman ve emniyet sacı uygulamaları kontrol edilir.</t>
  </si>
  <si>
    <t xml:space="preserve">Pim, perno, kama ve segmanlar ile makine parçalarını birleştirir.</t>
  </si>
  <si>
    <t xml:space="preserve">Geçen haftaki segman ve emniyet sacı hatırlatılır; bu hafta pim-perno-kama-segman becerilerinin bir arada pekiştirileceği söylenir.</t>
  </si>
  <si>
    <t xml:space="preserve">Öğrencilere karma bir parça verilerek pim, perno, kama ve segman bağlantılarının tamamı sırasıyla uygulatılır.</t>
  </si>
  <si>
    <t xml:space="preserve">Tamamlanan karma uygulama teslim alınıp Pim, Perno, Kama ve Segmanlar ünitesi değerlendirilir.</t>
  </si>
  <si>
    <t xml:space="preserve">Makine Parçalarını Perçin ve Kaynak ile Birleştirme</t>
  </si>
  <si>
    <t xml:space="preserve">Makine parçalarını, perçin ve kaynak ile birleştirir.
İki veya daha fazla makine parçasını perçinleme yaparak uygulama yapmasına fırsat verilir.
10 KASIM Atatürk'ü Anma Günü ve Atatürk Haftası</t>
  </si>
  <si>
    <t xml:space="preserve">10 Kasım Atatürk'ü Anma Günü anması sonrası, sökülebilir bağlantılardan farklı olarak kalıcı bir birleştirme yönteminin (perçin) nasıl yapıldığı sorulur.</t>
  </si>
  <si>
    <t xml:space="preserve">İki veya daha fazla makine parçasının perçinleme yöntemiyle birleştirilmesi adım adım gösterilip uygulatılır.</t>
  </si>
  <si>
    <t xml:space="preserve">Yapılan perçin bağlantısının sağlamlığı kontrol edilir.</t>
  </si>
  <si>
    <t xml:space="preserve">İş parçasına kaynak işlemi yaparak birleştirmesi sağlanır.</t>
  </si>
  <si>
    <t xml:space="preserve">Ara tatil dönüşü kısa bir hatırlatmanın ardından, perçinden farklı diğer kalıcı birleştirme yöntemi olan kaynağa geçileceği söylenir.</t>
  </si>
  <si>
    <t xml:space="preserve">İş parçasına kaynak işlemi yaparak birleştirme uygulaması güvenlik tedbirleriyle gösterilip yaptırılır.</t>
  </si>
  <si>
    <t xml:space="preserve">Yapılan kaynak dikişinin görünümü kontrol edilir.</t>
  </si>
  <si>
    <t xml:space="preserve">Makine parçalarını, perçin ve kaynak ile birleştirir.</t>
  </si>
  <si>
    <t xml:space="preserve">Geçen haftaki kaynak uygulaması hatırlatılır; bu hafta perçin ve kaynak tekniklerinin karşılaştırılacağı söylenir.</t>
  </si>
  <si>
    <t xml:space="preserve">Farklı bir parça üzerinde hem perçinli hem kaynaklı birleştirme uygulaması tekrarlanır; iki yöntemin avantaj/dezavantajları tartışılır.</t>
  </si>
  <si>
    <t xml:space="preserve">İki birleştirme yöntemi karşılaştırmalı olarak değerlendirilir.</t>
  </si>
  <si>
    <t xml:space="preserve">Geçen haftaki karşılaştırma hatırlatılır; Makine Parçalarını Perçin ve Kaynak ile Birleştirme ünitesinin son pekiştirme çalışması yapılacağı söylenir.</t>
  </si>
  <si>
    <t xml:space="preserve">Öğrencilere serbest bir kaynak uygulaması verilir; öğretmen bireysel dönüt verir.</t>
  </si>
  <si>
    <t xml:space="preserve">Tamamlanan kaynaklı parçalar teslim alınıp ünite değerlendirilir.</t>
  </si>
  <si>
    <t xml:space="preserve">MEKANİZMALAR - Sabit, Kaymalı, Hareketli ve Esnek Kavrama Makine Elemanlarını Kullanma</t>
  </si>
  <si>
    <t xml:space="preserve">Mil çeşitlerini sınıflandırılarak millerin kullanıldığı yerlere örnekler verilir.
Muyluları sınıflandırılarak muyluların kullanıldığı yerlere örnekler verilir.</t>
  </si>
  <si>
    <t xml:space="preserve">Bir milin bir yatakta nasıl döndüğü sorulur; yeni ünite olan Mekanizmalar'a, mil ve muylu kavramlarıyla geçilir.</t>
  </si>
  <si>
    <t xml:space="preserve">Mil çeşitleri sınıflandırılıp kullanıldığı yerlere örnekler verilir; muylular sınıflandırılıp kullanım yerleri örneklerle gösterilir.</t>
  </si>
  <si>
    <t xml:space="preserve">Öğrencilerden bir makinede gördükleri bir mil örneği paylaşmaları istenir.</t>
  </si>
  <si>
    <t xml:space="preserve">Sabit, Kaymalı, Hareketli ve Esnek Kavrama Makine Elemanlarını Kullanma</t>
  </si>
  <si>
    <t xml:space="preserve">Yatakları tanımlanarak yatakları sınıflandırılır.
Sabit, kaymalı, hareketli ve esnek kavrama makine elemanlarını kullanır.</t>
  </si>
  <si>
    <t xml:space="preserve">Geçen haftaki mil ve muylu hatırlatılır; milin döndüğü yuvanın (yatak) çeşitlerinin neler olduğu sorulur.</t>
  </si>
  <si>
    <t xml:space="preserve">Yataklar tanımlanıp sınıflandırılır; sabit, kaymalı, hareketli ve esnek kavrama makine elemanlarının kullanımına giriş yapılır.</t>
  </si>
  <si>
    <t xml:space="preserve">Öğrencilerden bir yatak çeşidi örneği vermeleri istenir.</t>
  </si>
  <si>
    <t xml:space="preserve">Uygun kavrama çeşidini seçerek kullanım yerine uygunluğunun kontrolü açıklanır.
Kavrama çeşitleri ve aralarındaki farklar açıklanır.</t>
  </si>
  <si>
    <t xml:space="preserve">Geçen haftaki kavrama elemanlarına giriş hatırlatılır; farklı kavrama çeşitlerinin ne zaman kullanılacağı sorulur.</t>
  </si>
  <si>
    <t xml:space="preserve">Uygun kavrama çeşidinin seçimi ve kullanım yerine uygunluğunun kontrolü anlatılır; kavrama çeşitleri arasındaki farklar (sabit, kaymalı, hareketli, esnek) karşılaştırmalı gösterilir.</t>
  </si>
  <si>
    <t xml:space="preserve">Öğrencilerden verilen bir uygulama için uygun kavrama türünü seçmeleri istenir.</t>
  </si>
  <si>
    <t xml:space="preserve">Sabit, kaymalı, hareketli ve esnek kavrama makine elemanlarını kullanır.</t>
  </si>
  <si>
    <t xml:space="preserve">Geçen haftaki kavrama seçimi hatırlatılır; bu hafta gerçek bir kavrama elemanının makineye uygulanacağı söylenir.</t>
  </si>
  <si>
    <t xml:space="preserve">Sabit, kaymalı, hareketli ve esnek kavrama makine elemanlarının makineye montajı uygulamalı olarak gösterilip yaptırılır.</t>
  </si>
  <si>
    <t xml:space="preserve">Yapılan kavrama montajı kontrol edilir; Kavrama Makine Elemanları ünitesi tamamlanır.</t>
  </si>
  <si>
    <t xml:space="preserve">Kam, Kasnak, Kayışlar ile Hareket Aktarma</t>
  </si>
  <si>
    <t xml:space="preserve">Kam, kasnak, kayışlar ile hareket aktarma işlemlerini yapar.
Kamın tanımı yapılarak kamların kullanıldığı yerleri örneklerle açıklanır.</t>
  </si>
  <si>
    <t xml:space="preserve">Kavramadan farklı olarak, dönen bir milin hareketini uzağa nasıl aktardığımız sorulur; kam, kasnak, kayış örnekleri gösterilir.</t>
  </si>
  <si>
    <t xml:space="preserve">Kamın tanımı yapılıp kullanıldığı yerlere örnekler verilir; kam mekanizmasının hareketi nasıl dönüştürdüğü gösterilir.</t>
  </si>
  <si>
    <t xml:space="preserve">Öğrencilerden bir kam mekanizması örneği (motor supap mekanizması gibi) paylaşmaları istenir.</t>
  </si>
  <si>
    <t xml:space="preserve">Kasnağın görevini açıklanarak kasnakların kullanıldığı yerlere örnekler verilir.
Kasnak elemanlarını tanımlanarak kayışları sınıflandırması sağlanır.</t>
  </si>
  <si>
    <t xml:space="preserve">Geçen haftaki kam mekanizması hatırlatılır; iki mil arasında hareketin kayışla nasıl aktarıldığı sorulur.</t>
  </si>
  <si>
    <t xml:space="preserve">Kasnağın görevi ve kullanıldığı yerlere örnekler verilir; kasnak elemanları tanımlanır ve kayışlar sınıflandırılır.</t>
  </si>
  <si>
    <t xml:space="preserve">Kam, Kasnak, Kayışlar konusunun ilk kısmı özetlenerek 1. dönem sonu değerlendirmesi yapılır.</t>
  </si>
  <si>
    <t xml:space="preserve">Kam, kasnak, kayışlar ile hareket aktarma işlemlerini yapar.</t>
  </si>
  <si>
    <t xml:space="preserve">Yarıyıl tatili dönüşü kısa bir hatırlatmayla derse başlanır; geçen dönem sonunda işlenen kayış-kasnak bilgisinin bu hafta uygulamaya geçirileceği söylenir.</t>
  </si>
  <si>
    <t xml:space="preserve">Kam, kasnak ve kayışlarla hareket aktarma işlemi uygulamalı olarak gösterilip yaptırılır.</t>
  </si>
  <si>
    <t xml:space="preserve">Kurulan kayış-kasnak sisteminin gerginliği kontrol edilir.</t>
  </si>
  <si>
    <t xml:space="preserve">Kasnak elemanlarını tanımlanarak kayışları sınıflandırması sağlanır.</t>
  </si>
  <si>
    <t xml:space="preserve">Geçen haftaki hareket aktarma uygulaması hatırlatılır; farklı kasnak elemanları ve kayış türleriyle pekiştirileceği söylenir.</t>
  </si>
  <si>
    <t xml:space="preserve">Kasnak elemanları tanımlanıp farklı kayış türleri (V kayış, düz kayış) sınıflandırılarak sistem üzerinde denenir.</t>
  </si>
  <si>
    <t xml:space="preserve">Kam, Kasnak, Kayışlar ünitesi genel bir değerlendirmeyle tamamlanır.</t>
  </si>
  <si>
    <t xml:space="preserve">Düz Dişli Çarklar ve Dişli Çark Hesaplamaları</t>
  </si>
  <si>
    <t xml:space="preserve">Düz dişli çark hesaplamaları yapar.
Mekanizmalarda kullanılan dişli çeşitlerini ve kullanım yerleri arasındaki fark açıklanır.</t>
  </si>
  <si>
    <t xml:space="preserve">İki dişli çarkın birbirine tam oturması için nasıl hesap yapıldığı sorulur; düz dişli çark örneği gösterilir.</t>
  </si>
  <si>
    <t xml:space="preserve">Düz dişli çark hesaplamaları (modül, diş sayısı) gösterilir; mekanizmalarda kullanılan dişli çeşitleri ve kullanım yerleri arasındaki farklar anlatılır.</t>
  </si>
  <si>
    <t xml:space="preserve">Öğrencilerden verilen bir modül ve diş sayısı için hesaplama yapmaları istenir.</t>
  </si>
  <si>
    <t xml:space="preserve">Dişli çark ölçülerini standart çizelgelerden bulup kullanması sağlanır.
Dişli çark sistemini mekanizmalarda montaj ederek uygulama yapmasına fırsat tanınır.</t>
  </si>
  <si>
    <t xml:space="preserve">Geçen haftaki dişli hesabı hatırlatılır; hesaplanan ölçülerin standart bir tablodan nasıl doğrulanacağı sorulur.</t>
  </si>
  <si>
    <t xml:space="preserve">Dişli çark ölçülerinin standart çizelgelerden bulunması gösterilir; dişli çark sisteminin mekanizmaya montajı uygulamalı olarak yaptırılır.</t>
  </si>
  <si>
    <t xml:space="preserve">Monte edilen dişli sisteminin çalışması gözlemlenir.</t>
  </si>
  <si>
    <t xml:space="preserve">Düz dişli çark hesaplamaları yapar.
Dişli çark ölçülerini standart çizelgelerden bulup kullanması sağlanır.</t>
  </si>
  <si>
    <t xml:space="preserve">Tatil dönüşü kısa bir hatırlatmayla başlanır; geçen dönem sonunda işlenen dişli hesaplarının bu hafta pekiştirileceği söylenir.</t>
  </si>
  <si>
    <t xml:space="preserve">Farklı bir modül/diş sayısı için düz dişli çark hesaplaması ve standart çizelgeden ölçü bulma tekrar uygulatılır.</t>
  </si>
  <si>
    <t xml:space="preserve">Hesaplama sonuçları kontrol edilir.</t>
  </si>
  <si>
    <t xml:space="preserve">Dişli çark sistemini mekanizmalarda montaj ederek uygulama yapmasına fırsat tanınır.</t>
  </si>
  <si>
    <t xml:space="preserve">Geçen haftaki hesaplama hatırlatılır; bu hafta dişli sisteminin montajının son pekiştirmesinin yapılacağı söylenir.</t>
  </si>
  <si>
    <t xml:space="preserve">Farklı bir dişli çark sisteminin mekanizmaya montajı uygulatılır; öğretmen bireysel dönüt verir.</t>
  </si>
  <si>
    <t xml:space="preserve">Düz Dişli Çarklar ve Dişli Çark Hesaplamaları ünitesi genel bir değerlendirmeyle tamamlanır.</t>
  </si>
  <si>
    <t xml:space="preserve">Basit Sökülebilen Mekanizmalar</t>
  </si>
  <si>
    <t xml:space="preserve">Basit mekanizmaları sökme takma işlemlerini yapar.
Mekanizma çeşitlerini kroki olarak çizmesi sağlanır.
Sökülebilir birleştirme elemanlarını standart tablo ve çizelgelerden seçmesi gerçekleştirilir.</t>
  </si>
  <si>
    <t xml:space="preserve">Şimdiye kadar tek tek öğrenilen bağlantı elemanlarının bir araya gelerek bir mekanizma oluşturduğu sorulur; basit bir mekanizma maketi gösterilir.</t>
  </si>
  <si>
    <t xml:space="preserve">Basit mekanizmaları sökme-takma işlemine giriş yapılır; mekanizma çeşitlerinin kroki olarak çizilmesi ve sökülebilir birleştirme elemanlarının standart tablo ve çizelgelerden seçilmesi gösterilir.</t>
  </si>
  <si>
    <t xml:space="preserve">Öğrencilerden çizdikleri krokiyi kısaca açıklamaları istenir.</t>
  </si>
  <si>
    <t xml:space="preserve">Sökülemeyen birleştirme elemanlarını standart tablo ve çizelgelerden seçmesi sağlanır.
Basit sökülebilen mekanizmaların montajı gerçekleştirilerek uygulama yapmasına fırsat tanınır.</t>
  </si>
  <si>
    <t xml:space="preserve">Geçen haftaki sökülebilir elemanlar hatırlatılır; sökülemeyen birleştirme elemanlarının da tablo ve çizelgelerden nasıl seçileceği sorulur.</t>
  </si>
  <si>
    <t xml:space="preserve">Sökülemeyen birleştirme elemanlarının standart tablo ve çizelgelerden seçimi gösterilir; basit sökülebilen bir mekanizmanın montajı uygulamalı olarak yaptırılır.</t>
  </si>
  <si>
    <t xml:space="preserve">Monte edilen mekanizmanın çalışması kontrol edilir.</t>
  </si>
  <si>
    <t xml:space="preserve">Basit mekanizmaları sökme takma işlemlerini yapar.
23 NİSAN Ulusal Egemenlik ve Çocuk Bayramı</t>
  </si>
  <si>
    <t xml:space="preserve">23 Nisan haftasına denk gelen bu haftada, geçen haftaki mekanizma montajının bu hafta sökme uygulamasıyla tamamlanacağı söylenir.</t>
  </si>
  <si>
    <t xml:space="preserve">Basit mekanizmaların sökme-takma işlemi baştan sona uygulamalı olarak tekrarlanır.</t>
  </si>
  <si>
    <t xml:space="preserve">Sökülen mekanizmanın tüm parçalarının eksiksiz olduğu kontrol edilir.</t>
  </si>
  <si>
    <t xml:space="preserve">Mekanizma çeşitlerini kroki olarak çizmesi sağlanır.
Basit sökülebilen mekanizmaların montajı gerçekleştirilerek uygulama yapmasına fırsat tanınır.</t>
  </si>
  <si>
    <t xml:space="preserve">Geçen haftaki sökme-takma uygulaması hatırlatılır; bu hafta farklı bir mekanizma ile pekiştirileceği söylenir.</t>
  </si>
  <si>
    <t xml:space="preserve">Farklı bir mekanizmanın krokisi çizilir; sökülebilir mekanizmanın montajı tekrar uygulatılır.</t>
  </si>
  <si>
    <t xml:space="preserve">Basit Sökülebilen Mekanizmalar ünitesi genel bir değerlendirmeyle tamamlanır.</t>
  </si>
  <si>
    <t xml:space="preserve">Yağlama Sistemi ve Arızaları Giderme</t>
  </si>
  <si>
    <t xml:space="preserve">Yağlama sistemi ve arızalarını giderir.
Yağlamanın önemi, yağ çeşitleri vurgulanarak yağlama sisteminin sökülüp takılması gerçekleştirilir.</t>
  </si>
  <si>
    <t xml:space="preserve">Bir mekanizmanın hareketli parçalarının zamanla aşınmaması için neye ihtiyaç duyduğu sorulur; yağlama sistemine geçilir.</t>
  </si>
  <si>
    <t xml:space="preserve">Yağlamanın önemi ve yağ çeşitleri anlatılır; yağlama sisteminin sökülüp takılması uygulamalı olarak gösterilir.</t>
  </si>
  <si>
    <t xml:space="preserve">Sökülen yağlama sistemi parçaları incelenir.</t>
  </si>
  <si>
    <t xml:space="preserve">Yağlama pompalarının arızalarını gidermesi gerçekleştirilir.
Yağ filtrelerini uygun filtrelerle değiştirilmesi sağlanır.</t>
  </si>
  <si>
    <t xml:space="preserve">Geçen haftaki yağlama sistemi sökümü hatırlatılır; yağlama pompasının arızalanması durumunda ne yapılacağı sorulur.</t>
  </si>
  <si>
    <t xml:space="preserve">Yağlama pompalarının arızalarının giderilmesi gösterilir; yağ filtrelerinin uygun filtrelerle değiştirilmesi uygulamalı olarak yaptırılır.</t>
  </si>
  <si>
    <t xml:space="preserve">Değiştirilen filtrenin doğru takılıp takılmadığı kontrol edilir.</t>
  </si>
  <si>
    <t xml:space="preserve">Yağlama sisteminin arızalarını gidermesi sağlanır.
Uygun yağ seçimini yaparak yağı değişecek kısmın hazır duruma getirilmesi sağlanır.
19 MAYIS Atatürk'ü Anma Gençlik ve Spor Bayramı</t>
  </si>
  <si>
    <t xml:space="preserve">19 Mayıs kutlamasının ardından, yağlama sisteminin diğer arızalarının nasıl giderileceği sorulur.</t>
  </si>
  <si>
    <t xml:space="preserve">Yağlama sisteminin arızalarının giderilmesi tekrar gösterilir; uygun yağ seçimi yapılarak yağı değişecek kısmın hazır duruma getirilmesi uygulanır.</t>
  </si>
  <si>
    <t xml:space="preserve">Hazırlanan yağ değişimi bir sonraki adıma hazır hâle getirilir.</t>
  </si>
  <si>
    <t xml:space="preserve">Rulmanların ve kızakların yağlanması sağlanarak uygulama yapmasına fırsat tanınır.</t>
  </si>
  <si>
    <t xml:space="preserve">Geçen haftaki yağ değişim hazırlığı hatırlatılır; rulman ve kızakların da yağlanması gerektiği sorulur.</t>
  </si>
  <si>
    <t xml:space="preserve">Rulmanların ve kızakların yağlanması uygulamalı olarak gösterilip yaptırılır.</t>
  </si>
  <si>
    <t xml:space="preserve">Yağlanan rulman ve kızakların çalışması kontrol edilir.</t>
  </si>
  <si>
    <t xml:space="preserve">Yağlama sistemi ve arızalarını giderir.
Yağlama pompalarının arızalarını gidermesi gerçekleştirilir.</t>
  </si>
  <si>
    <t xml:space="preserve">Geçen haftaki rulman/kızak yağlaması hatırlatılır; Yağlama Sistemi ve Arızaları Giderme ünitesinin farklı bir makinede pekiştirileceği söylenir.</t>
  </si>
  <si>
    <t xml:space="preserve">Farklı bir makinede yağlama sistemi kontrolü ve pompa arızası giderme uygulaması tekrarlanır.</t>
  </si>
  <si>
    <t xml:space="preserve">Yapılan işlemler kontrol edilir.</t>
  </si>
  <si>
    <t xml:space="preserve">Geçen haftaki uygulama hatırlatılır; rulman ve kızak yağlamasının farklı bir mekanizmada tekrarlanacağı söylenir.</t>
  </si>
  <si>
    <t xml:space="preserve">Farklı bir mekanizmada rulman ve kızakların yağlanması uygulaması tekrarlanır.</t>
  </si>
  <si>
    <t xml:space="preserve">Yağlama işleminin eksiksiz yapılıp yapılmadığı kontrol edilir.</t>
  </si>
  <si>
    <t xml:space="preserve">Yağlama sistemi ve arızalarını giderir.
Rulmanların ve kızakların yağlanması sağlanarak uygulama yapmasına fırsat tanınır.</t>
  </si>
  <si>
    <t xml:space="preserve">Yıl sonuna yaklaşılırken, yağlama sistemi arızalarının genel bir tekrarının yapılacağı söylenir.</t>
  </si>
  <si>
    <t xml:space="preserve">Yağlama sistemi kontrolü, pompa arızası giderme ve rulman/kızak yağlaması bir arada karma bir uygulamayla pekiştirilir.</t>
  </si>
  <si>
    <t xml:space="preserve">Karma uygulama sonuçları değerlendirilir.</t>
  </si>
  <si>
    <t xml:space="preserve">Geçen haftaki karma uygulama hatırlatılır; bu hafta farklı bir makinede son pekiştirme yapılacağı söylenir.</t>
  </si>
  <si>
    <t xml:space="preserve">Farklı bir makinede yağlama sistemi ve arıza giderme uygulaması son kez tekrarlanır.</t>
  </si>
  <si>
    <t xml:space="preserve">Yılın son haftası olduğu, birleştirme elemanlarından yağlama sistemine kadar yıl boyunca öğrenilen tüm mekanizma bilgisinin kısa bir özetiyle derse başlanacağı söylenir.</t>
  </si>
  <si>
    <t xml:space="preserve">Öğrenciler yıl boyunca çalıştıkları bir mekanizmada son bir yağlama ve kontrol uygulaması yapar; öğretmen bireysel dönüt verir.</t>
  </si>
  <si>
    <t xml:space="preserve">OTOMATİK KONTROL SİSTEMLERİ</t>
  </si>
  <si>
    <t xml:space="preserve">HİDROLİK DEVRELERDE BAKIM PLANI HAZIRLAMA - Hidrolik Devre Çizimleri</t>
  </si>
  <si>
    <t xml:space="preserve">Hidrolik sistemin yapısı ve çalışma kuralları açıklanır.
Hidrolik sistemin üstün ve zayıf yönlerini sıralanır.
Hidrolik elemanların görev ve sembolleri hakkında bilgi toplaması istenir.</t>
  </si>
  <si>
    <t xml:space="preserve">Öğretim yılının ilk dersi olduğu için önceki bir konu tekrarı yapılmaz; bunun yerine bir hidrolik kriko veya presin sıvı basıncıyla nasıl büyük kuvvetler oluşturduğu sorularak hidrolik sisteme giriş yapılır.</t>
  </si>
  <si>
    <t xml:space="preserve">Hidrolik sistemin yapısı ve çalışma kuralları, üstün ve zayıf yönleri anlatılır; hidrolik elemanların (pompa, valf, silindir) görev ve sembolleri hakkında kısa bir araştırma ödevi verilir.</t>
  </si>
  <si>
    <t xml:space="preserve">Öğrencilerden bir hidrolik eleman sembolünü tahmin etmeleri istenir.</t>
  </si>
  <si>
    <t xml:space="preserve">Otomatik Kontrol Sistemleri Atölyesi, hidrolik-pnömatik eğitim seti, anahtar takımları, bakım onarım masası, etkileşimli tahta/projeksiyon</t>
  </si>
  <si>
    <t xml:space="preserve">Hidrolik Devre Çizimleri</t>
  </si>
  <si>
    <t xml:space="preserve">Hidrolik kurallar açıklanır, sistem hesaplamalarını yaparak uygulama yapmasına fırsat verilir.
Hidrolik devre çizimleri yapar.
Hidrolik semboller çizdirilir.</t>
  </si>
  <si>
    <t xml:space="preserve">Geçen haftaki hidrolik semboller hatırlatılır; bir hidrolik devrenin nasıl hesaplanıp çizileceği sorulur.</t>
  </si>
  <si>
    <t xml:space="preserve">Hidrolik kurallar açıklanarak basit sistem hesaplamaları yaptırılır; hidrolik semboller çizim takımlarıyla çizdirilir.</t>
  </si>
  <si>
    <t xml:space="preserve">Çizilen semboller standart gösterimle karşılaştırılır.</t>
  </si>
  <si>
    <t xml:space="preserve">Şematik grafikler hazırlattırılır.
Hidrolik sembollerle devreler çizimi yaptırılarak uygulama yapmasına fırsat verilir.</t>
  </si>
  <si>
    <t xml:space="preserve">Geçen haftaki semboller hatırlatılır; bu sembollerin bir araya gelerek nasıl bir devre şeması oluşturduğu sorulur.</t>
  </si>
  <si>
    <t xml:space="preserve">Şematik grafik hazırlama teknikleri gösterilir; öğrenciler hidrolik sembollerle basit bir devre çizimi yapar.</t>
  </si>
  <si>
    <t xml:space="preserve">Çizilen devre şeması standart sembollere uygunluk açısından kontrol edilir; Hidrolik Devre Çizimleri ünitesi tamamlanır.</t>
  </si>
  <si>
    <t xml:space="preserve">Hidrolik Devre Elemanları Montajı</t>
  </si>
  <si>
    <t xml:space="preserve">Hidrolik devre elemanları montajı yapar.
Montaj yapmada dikkat edilecek hususları örneklerle açıklanır.
Güvenli tesisat yapma izah edilir.
Hidrolik devre elemanlarının montajı yaptırılarak uygulama yapmasına fırsat verilir.</t>
  </si>
  <si>
    <t xml:space="preserve">Kağıt üzerinde çizilen devrenin gerçek bir tesisatta nasıl kurulacağı sorulur.</t>
  </si>
  <si>
    <t xml:space="preserve">Montaj yapmada dikkat edilecek hususlar örneklerle açıklanır; güvenli tesisat yapma teknikleri izah edilir. Öğrenciler hidrolik devre elemanlarının montajına başlar.</t>
  </si>
  <si>
    <t xml:space="preserve">Başlanan montaj kontrol edilir.</t>
  </si>
  <si>
    <t xml:space="preserve">Hidrolik devre elemanları montajı yapar.
Hidrolik devre elemanlarının montajı yaptırılarak uygulama yapmasına fırsat verilir.</t>
  </si>
  <si>
    <t xml:space="preserve">Geçen hafta başlanan montaj hatırlatılır; bu hafta tamamlanacağı söylenir.</t>
  </si>
  <si>
    <t xml:space="preserve">Hidrolik devre elemanlarının montajına devam edilir; öğretmen bireysel dönüt verir.</t>
  </si>
  <si>
    <t xml:space="preserve">Tamamlanan montaj test edilerek Hidrolik Devre Elemanları Montajı ünitesi değerlendirilir.</t>
  </si>
  <si>
    <t xml:space="preserve">Hidrolik Boru Montajı</t>
  </si>
  <si>
    <t xml:space="preserve">Hidrolik boru montajı yapar.
Hidrolik devrede kullanacağı boruları seçmesi sağlanır.
Boru montajı yaparak uygulama yapmasına fırsat verilir.</t>
  </si>
  <si>
    <t xml:space="preserve">Bir hidrolik devrede akışkanın hangi hatlardan geçtiği sorulur; farklı boru örnekleri gösterilir.</t>
  </si>
  <si>
    <t xml:space="preserve">Hidrolik devrede kullanılacak boruların seçimi anlatılır; boru montajı adım adım gösterilip uygulatılır.</t>
  </si>
  <si>
    <t xml:space="preserve">Yapılan boru montajının sızdırmazlığı kontrol edilir.</t>
  </si>
  <si>
    <t xml:space="preserve">Hidrolik hortum montajı yapması sağlanır.
Boru montajı yaparak uygulama yapmasına fırsat verilir.
29 EKİM Cumhuriyet Bayramı</t>
  </si>
  <si>
    <t xml:space="preserve">29 Ekim Cumhuriyet Bayramı nedeniyle kısa bir haftaya girildiği hatırlatılır; hareketli parçalar arasında sert boru yerine neden esnek hortum kullanıldığı sorulur.</t>
  </si>
  <si>
    <t xml:space="preserve">Hidrolik hortum montajının nasıl yapıldığı gösterilir; boru montajı uygulaması farklı bir bağlantı noktasında tekrarlanır.</t>
  </si>
  <si>
    <t xml:space="preserve">Hortum bağlantısının sızdırmazlığı kontrol edilir; Hidrolik Boru Montajı ünitesi tamamlanır.</t>
  </si>
  <si>
    <t xml:space="preserve">Hidrolik Akışkan Seçimi</t>
  </si>
  <si>
    <t xml:space="preserve">Hidrolik akışkan seçimi yapar.
Yağlama ve hidrolik akışkan seçiminin önemi açıklanır.
Yağlama devrelerinde, soğutma sisteminin önem ve gereğini izah edilir.</t>
  </si>
  <si>
    <t xml:space="preserve">Bir hidrolik sistemde her yağın kullanılamayacağı sorulur; farklı hidrolik yağ örnekleri gösterilir.</t>
  </si>
  <si>
    <t xml:space="preserve">Yağlamanın ve hidrolik akışkan seçiminin önemi anlatılır; yağlama devrelerinde soğutma sisteminin önemi ve gereği izah edilir.</t>
  </si>
  <si>
    <t xml:space="preserve">Öğrencilerden verilen bir sistem için uygun hidrolik akışkanı seçmeleri istenir.</t>
  </si>
  <si>
    <t xml:space="preserve">Hidrolik akışkan seçimi yapar.
Yağlama devrelerinde, soğutma sisteminin önem ve gereğini izah edilir.
10 KASIM Atatürk'ü Anma Günü ve Atatürk Haftası</t>
  </si>
  <si>
    <t xml:space="preserve">10 Kasım Atatürk'ü Anma Günü anması sonrası, geçen haftaki akışkan seçimi ve soğutma sisteminin pekiştirileceği söylenir.</t>
  </si>
  <si>
    <t xml:space="preserve">Soğutma sisteminin önemi ve gereği farklı bir örnekle tekrar anlatılır; öğrenciler akışkan seçim uygulaması yapar.</t>
  </si>
  <si>
    <t xml:space="preserve">Hidrolik Akışkan Seçimi ünitesi genel bir değerlendirmeyle tamamlanır.</t>
  </si>
  <si>
    <t xml:space="preserve">Hidrolik Sistemlerde Arıza Arama</t>
  </si>
  <si>
    <t xml:space="preserve">Bakım planı hazırlama açıklanır.
Bakım dosyası hazırlaması istenir.
Tamirat planı yapması istenerek uygulama yapmasına fırsat verilir.</t>
  </si>
  <si>
    <t xml:space="preserve">Ara tatil dönüşü kısa bir hatırlatmanın ardından, bir hidrolik sistemin arızalanmadan önce nasıl düzenli bakımdan geçirildiği sorulur.</t>
  </si>
  <si>
    <t xml:space="preserve">Bakım planı hazırlama açıklanır; bakım dosyası hazırlama ve tamirat planı yapma uygulamalı olarak gösterilir.</t>
  </si>
  <si>
    <t xml:space="preserve">Öğrencilerden basit bir bakım dosyası taslağı hazırlamaları istenir.</t>
  </si>
  <si>
    <t xml:space="preserve">Arızalı tesisatları sökerek, bakımını yapar.
Arıza arama çizelgeleri hazırlama yöntemleri açıklanır.
Sistemlerde arıza araması istenir.</t>
  </si>
  <si>
    <t xml:space="preserve">Geçen haftaki bakım planı hatırlatılır; bir arıza olduğunda önce ne yapılması gerektiği sorulur.</t>
  </si>
  <si>
    <t xml:space="preserve">Arıza arama çizelgeleri hazırlama yöntemleri açıklanır; sistemlerde arıza aranması ve arızalı tesisatların sökülüp bakımının yapılması uygulamalı olarak gösterilir.</t>
  </si>
  <si>
    <t xml:space="preserve">Hazırlanan arıza arama çizelgesi kontrol edilir.</t>
  </si>
  <si>
    <t xml:space="preserve">Hidrolik arıza aramalarında kullanılan aletler ve göstergelerin bakımını yapması istenir.
Arızalı tesisatları sökerek, bakımını yapması gerçekleştirilir.</t>
  </si>
  <si>
    <t xml:space="preserve">Geçen haftaki arıza arama hatırlatılır; arıza ararken kullanılan aletlerin (basınç göstergesi, test cihazı) bakımının da önemli olduğu sorulur.</t>
  </si>
  <si>
    <t xml:space="preserve">Hidrolik arıza aramalarında kullanılan aletler ve göstergelerin bakımı gösterilir; arızalı tesisatların söküp bakımının yapılması tekrar uygulatılır.</t>
  </si>
  <si>
    <t xml:space="preserve">Hidrolik Sistemlerde Arıza Arama ünitesi genel bir değerlendirmeyle tamamlanır.</t>
  </si>
  <si>
    <t xml:space="preserve">HİDROLİK DEVRE ELEMANLARI BAKIM VE ONARIMI - Hidrolik Valflerde Arıza Arama</t>
  </si>
  <si>
    <t xml:space="preserve">Valflerde arıza arama yöntemleri açıklanır.
Hidrolik valflerde bakım yaptırılarak sonrasında elemanları test etme işlemi ile uygulama yapmasına fırsat verilir.</t>
  </si>
  <si>
    <t xml:space="preserve">Bir hidrolik valfin arızalanması durumunda nasıl anlaşılacağı sorulur.</t>
  </si>
  <si>
    <t xml:space="preserve">Valflerde arıza arama yöntemleri açıklanır; hidrolik valflerde bakım yapılıp sonrasında elemanların test edilmesi uygulamalı olarak gösterilir.</t>
  </si>
  <si>
    <t xml:space="preserve">Test edilen valfin doğru çalışıp çalışmadığı kontrol edilir.</t>
  </si>
  <si>
    <t xml:space="preserve">Hidrolik Silindirlerde Arıza Arama</t>
  </si>
  <si>
    <t xml:space="preserve">Hidrolik silindirlerde arıza arar.
Silindirlerde arıza arama yöntemleri açıklanır.
Silindirlerde bakım yaptırılarak sonrasında elemanları test etme işlemi ile uygulama yapmasına fırsat verilir.</t>
  </si>
  <si>
    <t xml:space="preserve">Geçen haftaki valf arızası hatırlatılır; bu hafta hidrolik silindirlerdeki arızalara geçileceği söylenir.</t>
  </si>
  <si>
    <t xml:space="preserve">Silindirlerde arıza arama yöntemleri açıklanır; silindirlerde bakım yapılıp sonrasında test edilmesi uygulamalı olarak yaptırılır.</t>
  </si>
  <si>
    <t xml:space="preserve">Test edilen silindirin çalışması gözlemlenir.</t>
  </si>
  <si>
    <t xml:space="preserve">Hidrolik Pompa ve Motorlarda Arıza Arama</t>
  </si>
  <si>
    <t xml:space="preserve">Hidrolik pompa ve motorlarda arıza arar.
Pompa ve motorlarda arıza arama yöntemleri açıklanır.
Pompa ve motorlarda bakım yaptırılarak sonrasında elemanları test etme işlemi ile uygulama yapmasına fırsat verilir.</t>
  </si>
  <si>
    <t xml:space="preserve">Geçen haftaki silindir arızası hatırlatılır; hidrolik pompa ve motorlardaki arızaların nasıl bulunacağı sorulur.</t>
  </si>
  <si>
    <t xml:space="preserve">Pompa ve motorlarda arıza arama yöntemleri açıklanır; bakım yapılıp sonrasında test edilmesi uygulamalı olarak gösterilir.</t>
  </si>
  <si>
    <t xml:space="preserve">Test edilen pompa/motorun performansı kontrol edilir.</t>
  </si>
  <si>
    <t xml:space="preserve">Hidrolik Devre Elemanları Bakım ve Onarımı</t>
  </si>
  <si>
    <t xml:space="preserve">Hidrolik valflerde bakım yaptırılarak sonrasında elemanları test etme işlemi ile uygulama yapmasına fırsat verilir.
Silindirlerde bakım yaptırılarak sonrasında elemanları test etme işlemi ile uygulama yapmasına fırsat verilir.</t>
  </si>
  <si>
    <t xml:space="preserve">Yılın son haftası öncesinde, valf, silindir, pompa ve motor arızalarının bir arada gözden geçirileceği söylenir.</t>
  </si>
  <si>
    <t xml:space="preserve">Hidrolik valflerde ve silindirlerde bakım yapılıp test edilmesi karma bir uygulamayla tekrarlanır.</t>
  </si>
  <si>
    <t xml:space="preserve">Pompa ve motorlarda bakım yaptırılarak sonrasında elemanları test etme işlemi ile uygulama yapmasına fırsat verilir.</t>
  </si>
  <si>
    <t xml:space="preserve">2. dönemin ilk haftası olması nedeniyle geçen dönem işlenenlerin kısa bir özeti yapılır; pompa ve motor bakımının pekiştirileceği söylenir.</t>
  </si>
  <si>
    <t xml:space="preserve">Pompa ve motorlarda bakım yapılıp sonrasında elemanların test edilmesi uygulaması tekrarlanır.</t>
  </si>
  <si>
    <t xml:space="preserve">Hidrolik Devre Elemanları Bakım ve Onarımı ünitesi tamamlanır.</t>
  </si>
  <si>
    <t xml:space="preserve">PNÖMATİK DEVRE ELEMANLARI HAZIRLAMA - Pnömatik Devre Çizimi</t>
  </si>
  <si>
    <t xml:space="preserve">Pnömatik sistemin yapısı ve çalışma kuralları açıklanır.
Pnömatik sistemin üstün ve zayıf yönlerini sıralanır.
Pnömatik elemanların görev ve sembolleri açıklanır.</t>
  </si>
  <si>
    <t xml:space="preserve">Hidrolik sistemlerden farklı olarak sıvı yerine basınçlı hava kullanan pnömatik sistemlere geçileceği söylenir; kompresör örneği gösterilir.</t>
  </si>
  <si>
    <t xml:space="preserve">Pnömatik sistemin yapısı ve çalışma kuralları, üstün ve zayıf yönleri anlatılır; pnömatik elemanların görev ve sembolleri tanıtılır.</t>
  </si>
  <si>
    <t xml:space="preserve">Öğrencilerden hidrolik ile pnömatik sistem arasındaki temel farkı özetlemeleri istenir.</t>
  </si>
  <si>
    <t xml:space="preserve">Pnömatik Devre Çizimi</t>
  </si>
  <si>
    <t xml:space="preserve">Pnömatik kuralları açıklanarak, sistem hesaplamalarını yapması sağlanır.
Pnömatik devre çizimi yapar.
Sembollerle devre çizmesi sağlanarak uygulama yapmasına fırsat verilir.</t>
  </si>
  <si>
    <t xml:space="preserve">Yarıyıl tatili dönüşü kısa bir hatırlatmayla derse başlanır; geçen dönem sonunda tanıtılan pnömatik sembollerin bu hafta devre çiziminde kullanılacağı söylenir.</t>
  </si>
  <si>
    <t xml:space="preserve">Pnömatik kurallar açıklanıp sistem hesaplamaları yaptırılır; sembollerle pnömatik devre çizimi uygulamalı olarak yaptırılır.</t>
  </si>
  <si>
    <t xml:space="preserve">Çizilen pnömatik devre standart sembollere uygunluk açısından kontrol edilir.</t>
  </si>
  <si>
    <t xml:space="preserve">Pnömatik Devre Elemanları Montajı</t>
  </si>
  <si>
    <t xml:space="preserve">Pnömatik devre elemanları montajını yapar.
Montaj yapılacak devre elemanlarının hazırlanması açıklanır.
Tüp-tipi boru montajı yapması sağlanarak uygulama yapmasına fırsat verilir.</t>
  </si>
  <si>
    <t xml:space="preserve">Geçen haftaki devre çizimi hatırlatılır; çizilen devrenin gerçek tesisatta nasıl kurulacağı sorulur.</t>
  </si>
  <si>
    <t xml:space="preserve">Montaj yapılacak devre elemanlarının hazırlanması anlatılır; tüp tipi boru montajı uygulamalı olarak gösterilip yaptırılır.</t>
  </si>
  <si>
    <t xml:space="preserve">Yapılan tüp montajının sızdırmazlığı kontrol edilir.</t>
  </si>
  <si>
    <t xml:space="preserve">Pnömatik devre elemanları montajını yapar.
Tüp-tipi boru montajı yapması sağlanarak uygulama yapmasına fırsat verilir.</t>
  </si>
  <si>
    <t xml:space="preserve">Geçen haftaki tüp montajı hatırlatılır; bu hafta farklı bir devre elemanıyla pekiştirileceği söylenir.</t>
  </si>
  <si>
    <t xml:space="preserve">Farklı pnömatik devre elemanlarının montajı ve tüp tipi boru montajı tekrar uygulatılır.</t>
  </si>
  <si>
    <t xml:space="preserve">Pnömatik Devre Elemanları Montajı ünitesi genel bir değerlendirmeyle tamamlanır.</t>
  </si>
  <si>
    <t xml:space="preserve">Pnömatik-Hidrolik Sistemler Kurulumu</t>
  </si>
  <si>
    <t xml:space="preserve">Pnömatik-Hidrolik sistemler kurulumu yapar.
Makine hava-yağ yükselticilerinin kontrolünün yapılması açıklanır.
Basınç yükselticilerinin kontrolünün yapılması açıklanır.</t>
  </si>
  <si>
    <t xml:space="preserve">Bazı sistemlerde hem hidroliğin hem pnömatiğin bir arada kullanıldığı sorulur; hava-yağ yükseltici örneği gösterilir.</t>
  </si>
  <si>
    <t xml:space="preserve">Pnömatik-hidrolik sistemler kurulumu gösterilir; makine hava-yağ yükselticilerinin ve basınç yükselticilerinin kontrolü anlatılır.</t>
  </si>
  <si>
    <t xml:space="preserve">Kurulan sistemin basınç değerleri kontrol edilir.</t>
  </si>
  <si>
    <t xml:space="preserve">Pnömatik-Hidrolik sistemler kurulumu yapar.
Basınç yükselticilerinin kontrolünün yapılması açıklanır.</t>
  </si>
  <si>
    <t xml:space="preserve">Tatil dönüşü kısa bir hatırlatmayla başlanır; geçen haftaki pnömatik-hidrolik kurulum hatırlatılır.</t>
  </si>
  <si>
    <t xml:space="preserve">Basınç yükselticilerinin kontrolü farklı bir sistemde tekrar uygulatılır.</t>
  </si>
  <si>
    <t xml:space="preserve">Pnömatik-Hidrolik Sistemler Kurulumu ünitesi genel bir değerlendirmeyle tamamlanır.</t>
  </si>
  <si>
    <t xml:space="preserve">PNÖMATİK DEVRELERDE BAKIM PLANI HAZIRLAMA</t>
  </si>
  <si>
    <t xml:space="preserve">Sistem bakım planı hazırlamada dikkat edilecek hususlar açıklanır.
Bakım dosyası ve tamirat planı hazırlama tekniği açıklanır.</t>
  </si>
  <si>
    <t xml:space="preserve">Pnömatik sistemlerin de düzenli bakıma ihtiyaç duyduğu sorulur; kompresör bakım planı kavramına geçilir.</t>
  </si>
  <si>
    <t xml:space="preserve">Sistem bakım planı hazırlamada dikkat edilecek hususlar açıklanır; bakım dosyası ve tamirat planı hazırlama tekniği anlatılır.</t>
  </si>
  <si>
    <t xml:space="preserve">Öğrencilerden basit bir pnömatik bakım planı taslağı hazırlamaları istenir.</t>
  </si>
  <si>
    <t xml:space="preserve">Pnömatik Devrelerde Bakım Planı Hazırlama</t>
  </si>
  <si>
    <t xml:space="preserve">Kompresör ve sistem bakımı yapar, bakım kayıtlarını tutması sağlanarak uygulama yapmasına fırsat verilir.</t>
  </si>
  <si>
    <t xml:space="preserve">Geçen haftaki bakım planı hatırlatılır; kompresörün kendisinin nasıl bakımının yapılacağı sorulur.</t>
  </si>
  <si>
    <t xml:space="preserve">Kompresör ve sistem bakımı uygulamalı olarak gösterilir; bakım kayıtlarının tutulması öğretilir.</t>
  </si>
  <si>
    <t xml:space="preserve">Tutulan bakım kayıtları kontrol edilir.</t>
  </si>
  <si>
    <t xml:space="preserve">Sistem bakım planı hazırlamada dikkat edilecek hususlar açıklanır.
Kompresör ve sistem bakımı yapar.</t>
  </si>
  <si>
    <t xml:space="preserve">Geçen haftaki kompresör bakımı hatırlatılır; bu hafta pekiştirileceği söylenir.</t>
  </si>
  <si>
    <t xml:space="preserve">Sistem bakım planı hazırlamada dikkat edilecek hususlar tekrar vurgulanır; kompresör ve sistem bakımı farklı bir kompresörde tekrarlanır.</t>
  </si>
  <si>
    <t xml:space="preserve">Bakım kayıtları kontrol edilir.</t>
  </si>
  <si>
    <t xml:space="preserve">Kompresör ve sistem bakımı yapar, bakım kayıtlarını tutması sağlanarak uygulama yapmasına fırsat verilir.
23 NİSAN Ulusal Egemenlik ve Çocuk Bayramı</t>
  </si>
  <si>
    <t xml:space="preserve">23 Nisan haftasına denk gelen bu haftada, kompresör bakımının bu hafta da devam edeceği söylenir.</t>
  </si>
  <si>
    <t xml:space="preserve">Kompresör ve sistem bakımı uygulaması tekrarlanır; bakım kayıtları tutulur.</t>
  </si>
  <si>
    <t xml:space="preserve">Bakım dosyası ve tamirat planı hazırlama tekniği açıklanır.
Kompresör ve sistem bakımı yapar.</t>
  </si>
  <si>
    <t xml:space="preserve">Geçen haftaki bakım kayıtları hatırlatılır; bakım dosyası ve tamirat planı hazırlama tekniğinin tekrar gözden geçirileceği söylenir.</t>
  </si>
  <si>
    <t xml:space="preserve">Bakım dosyası ve tamirat planı hazırlama tekniği tekrar anlatılır; kompresör ve sistem bakımı farklı bir örnekte uygulatılır.</t>
  </si>
  <si>
    <t xml:space="preserve">Hazırlanan tamirat planı kontrol edilir.</t>
  </si>
  <si>
    <t xml:space="preserve">Geçen haftaki tamirat planı hatırlatılır; bu hafta kompresör bakımının son pekiştirmesinin yapılacağı söylenir.</t>
  </si>
  <si>
    <t xml:space="preserve">Kompresör ve sistem bakımı uygulaması farklı bir kompresörde tekrarlanır; bakım kayıtları tutulur.</t>
  </si>
  <si>
    <t xml:space="preserve">Geçen haftaki bakım uygulaması hatırlatılır; sistem bakım planı hazırlamada dikkat edilecek hususların tekrar vurgulanacağı söylenir.</t>
  </si>
  <si>
    <t xml:space="preserve">Sistem bakım planı hazırlamada dikkat edilecek hususlar tekrar örneklerle anlatılır; kompresör ve sistem bakımı tekrarlanır.</t>
  </si>
  <si>
    <t xml:space="preserve">Bakım dosyası ve tamirat planı hazırlama tekniği açıklanır.
Kompresör ve sistem bakımı yapar, bakım kayıtlarını tutması sağlanarak uygulama yapmasına fırsat verilir.
19 MAYIS Atatürk'ü Anma Gençlik ve Spor Bayramı</t>
  </si>
  <si>
    <t xml:space="preserve">19 Mayıs kutlamasının ardından, geçen haftaki bakım dosyası ve tamirat planı hazırlama tekniğinin Pnömatik Devrelerde Bakım Planı Hazırlama ünitesinin son pekiştirmesi olacağı söylenir.</t>
  </si>
  <si>
    <t xml:space="preserve">Bakım dosyası ve tamirat planı hazırlama tekniği son kez gösterilir; kompresör ve sistem bakımı yapılıp bakım kayıtları tutulur.</t>
  </si>
  <si>
    <t xml:space="preserve">Pnömatik Devrelerde Bakım Planı Hazırlama ünitesi genel bir değerlendirmeyle tamamlanır.</t>
  </si>
  <si>
    <t xml:space="preserve">PNÖMATİK DEVRE ELEMANLARI BAKIM VE ONARIMI - Pnömatik Sistemlerde Arıza Arama</t>
  </si>
  <si>
    <t xml:space="preserve">Pnömatik sistemlerde arıza arar.
Sistemlerde arıza arama tekniklerini izah edilir.
Arıza arama çizelgeleri tutmayı izah edilir.
Tesisat sökme usulleri açıklanır.</t>
  </si>
  <si>
    <t xml:space="preserve">Bir pnömatik sistemde hava kaçağı olduğunda nasıl anlaşılacağı sorulur; pnömatik arıza arama konusuna geçilir.</t>
  </si>
  <si>
    <t xml:space="preserve">Sistemlerde arıza arama teknikleri izah edilir; arıza arama çizelgeleri tutma ve tesisat sökme usulleri açıklanır.</t>
  </si>
  <si>
    <t xml:space="preserve">Öğrencilerden bir hava kaçağını nasıl tespit edeceklerini (sabunlu su testi gibi) tahmin etmeleri istenir.</t>
  </si>
  <si>
    <t xml:space="preserve">Pnömatik Sistemlerde Arıza Arama</t>
  </si>
  <si>
    <t xml:space="preserve">Pnömatik sistemlerde arıza arar.
Sistemlerde arıza arama tekniklerini izah edilir.</t>
  </si>
  <si>
    <t xml:space="preserve">Geçen haftaki arıza arama teknikleri hatırlatılır; bu hafta gerçek bir pnömatik sistemde uygulanacağı söylenir.</t>
  </si>
  <si>
    <t xml:space="preserve">Sistemlerde arıza arama tekniği uygulamalı olarak gösterilip yaptırılır.</t>
  </si>
  <si>
    <t xml:space="preserve">Tespit edilen arıza kaydedilir.</t>
  </si>
  <si>
    <t xml:space="preserve">Tesisat sökme usulleri açıklanır.
Pnömatik sistemlerde arıza arar.</t>
  </si>
  <si>
    <t xml:space="preserve">Geçen haftaki arıza tespiti hatırlatılır; arızalı tesisatın nasıl sökülüp değiştirileceği sorulur.</t>
  </si>
  <si>
    <t xml:space="preserve">Tesisat sökme usulleri gösterilir; pnömatik sistemlerde arıza arama uygulaması farklı bir tesisatta tekrarlanır.</t>
  </si>
  <si>
    <t xml:space="preserve">Sökülen tesisatın doğru şekilde yeniden takılıp takılmadığı kontrol edilir.</t>
  </si>
  <si>
    <t xml:space="preserve">Pnömatik sistemlerde arıza arar.
Arıza arama çizelgeleri tutmayı izah edilir.</t>
  </si>
  <si>
    <t xml:space="preserve">Geçen haftaki tesisat sökme hatırlatılır; arıza arama çizelgesinin nasıl tutulacağının tekrar gözden geçirileceği söylenir.</t>
  </si>
  <si>
    <t xml:space="preserve">Arıza arama çizelgeleri tutma tekniği tekrar anlatılır; pnömatik sistemlerde arıza arama uygulaması tekrarlanır.</t>
  </si>
  <si>
    <t xml:space="preserve">Tutulan çizelge kontrol edilir.</t>
  </si>
  <si>
    <t xml:space="preserve">Yıl sonuna yaklaşılırken, tesisat sökme usullerinin son kez pekiştirileceği söylenir.</t>
  </si>
  <si>
    <t xml:space="preserve">Tesisat sökme usulleri ve pnömatik sistemlerde arıza arama uygulaması farklı bir tesisatta son kez tekrarlanır.</t>
  </si>
  <si>
    <t xml:space="preserve">Yılın son haftası olduğu, hidrolik devre çiziminden pnömatik arıza aramaya kadar yıl boyunca öğrenilen tüm sürecin kısa bir özetiyle derse başlanacağı söylenir.</t>
  </si>
  <si>
    <t xml:space="preserve">Öğrenciler yıl boyunca çalıştıkları bir pnömatik sistemde son bir arıza arama ve tesisat kontrolü uygulaması yapar; öğretmen bireysel dönüt verir.</t>
  </si>
  <si>
    <t xml:space="preserve">CNC TEZGÂHLARINDA KALIP ÜRETİMİ (SEÇMELİ)</t>
  </si>
  <si>
    <t xml:space="preserve">4 SAAT</t>
  </si>
  <si>
    <t xml:space="preserve">CNC Torna Tezgâhları - CNC torna tezgâhları temel ayarları</t>
  </si>
  <si>
    <t xml:space="preserve">1. CNC torna tezgâhlarının temel ayarlarını yapar.</t>
  </si>
  <si>
    <t xml:space="preserve">Öğretim yılının ilk dersi olduğu için önceki bir konu tekrarı yapılmaz; bunun yerine bir kalıp parçasının CNC torna tezgâhında nasıl üretildiği sorularak derse başlanır. Öğrenciler CNC torna tezgâhına götürülür.</t>
  </si>
  <si>
    <t xml:space="preserve">CNC torna tezgâhının temel ayarları (referans noktasına gönderme, açma-kapama) gösterilir; öğrenciler nezaret altında tezgâhı temel ayarlarla çalıştırır.</t>
  </si>
  <si>
    <t xml:space="preserve">Öğrencilerden tezgâhı güvenli şekilde açıp kapatabildiklerini göstermeleri istenir.</t>
  </si>
  <si>
    <t xml:space="preserve">CNC Atölyesi, CAD Laboratuvarı, etkileşimli tahta/projeksiyon, bilgisayar, CNC torna/freze simülasyon programları, CNC kesicileri ve tutucuları, CNC tezgâh bağlama aparatları, ölçme ve kontrol aletleri, imalat için temrinlik malzeme</t>
  </si>
  <si>
    <t xml:space="preserve">CNC torna tezgâhlarının kontrol paneli</t>
  </si>
  <si>
    <t xml:space="preserve">2. CNC torna tezgâhlarının kontrol panelini kullanır.</t>
  </si>
  <si>
    <t xml:space="preserve">Geçen haftaki temel ayarlar hatırlatılır; tezgâhın komutlarının hangi panelden girildiği sorulur.</t>
  </si>
  <si>
    <t xml:space="preserve">CNC torna tezgâhının kontrol paneli tanıtılır; panel tuşları, program yazma tuşları ve ekran göstergeleri gösterilip kullandırılır.</t>
  </si>
  <si>
    <t xml:space="preserve">Öğrencilerden kontrol panelindeki temel tuşları isimlendirmeleri istenir.</t>
  </si>
  <si>
    <t xml:space="preserve">CNC torna için kesici takımlar</t>
  </si>
  <si>
    <t xml:space="preserve">3. CNC torna takımlarını operasyona uygun olarak seçer.</t>
  </si>
  <si>
    <t xml:space="preserve">Geçen haftaki kontrol paneli hatırlatılır; bir kalıp parçasını işlemek için doğru kesicinin nasıl seçileceği sorulur.</t>
  </si>
  <si>
    <t xml:space="preserve">CNC torna için kesici takım çeşitleri (alın, yan, delik kalemi) operasyona uygunluk açısından karşılaştırılır; öğrenciler örnek bir kalıp parçası için uygun takımı seçer.</t>
  </si>
  <si>
    <t xml:space="preserve">Seçilen takımların gerekçeleri sınıfça değerlendirilir.</t>
  </si>
  <si>
    <t xml:space="preserve">Kesici takımları CNC tornaya bağlama ve takım ayarı yapma</t>
  </si>
  <si>
    <t xml:space="preserve">4. CNC tornada takım ayarı yapar.</t>
  </si>
  <si>
    <t xml:space="preserve">Geçen haftaki takım seçimi hatırlatılır; seçilen takımın tezgâha nasıl bağlanacağı sorulur.</t>
  </si>
  <si>
    <t xml:space="preserve">Kesici takımların CNC tornaya bağlanması ve takım ayarı (referans noktasına gönderme, ofset girme) adım adım gösterilip uygulatılır.</t>
  </si>
  <si>
    <t xml:space="preserve">Takım ayarlarının doğruluğu simülasyon ekranından kontrol edilir; CNC Torna Tezgâhları ünitesi tamamlanır.</t>
  </si>
  <si>
    <t xml:space="preserve">CNC tornada programlama - CNC tornada programlama</t>
  </si>
  <si>
    <t xml:space="preserve">1. CNC torna tezgâhları için program yapar.</t>
  </si>
  <si>
    <t xml:space="preserve">Tezgâha bağlanan takımın bir kalıp parçasını işleyebilmesi için ona nasıl komut verileceği sorulur; programlama kavramına geçilir.</t>
  </si>
  <si>
    <t xml:space="preserve">CNC torna programının temel yapısı (satır numarası, G/M kodları) anlatılır; öğrenciler basit bir program yazmaya başlar.</t>
  </si>
  <si>
    <t xml:space="preserve">Yazılan program satırları kontrol edilir.</t>
  </si>
  <si>
    <t xml:space="preserve">CNC tornada programlama</t>
  </si>
  <si>
    <t xml:space="preserve">Geçen hafta başlanan program yazımı hatırlatılır; bu hafta tamamlanacağı söylenir.</t>
  </si>
  <si>
    <t xml:space="preserve">CNC torna tezgâhları için program yazma çalışması tamamlanır; öğretmen bireysel dönüt verir.</t>
  </si>
  <si>
    <t xml:space="preserve">Tamamlanan program satır satır gözden geçirilir; CNC Tornada Programlama ünitesi tamamlanır.</t>
  </si>
  <si>
    <t xml:space="preserve">CNC torna tezgâhları için mutlak programlama</t>
  </si>
  <si>
    <t xml:space="preserve">2. CNC torna tezgâhları için mutlak programlama yapar.</t>
  </si>
  <si>
    <t xml:space="preserve">29 Ekim Cumhuriyet Bayramı nedeniyle kısa bir haftaya girildiği hatırlatılır; koordinatların her zaman parça sıfırına göre mi verildiği sorulur; mutlak programlama kavramına geçilir.</t>
  </si>
  <si>
    <t xml:space="preserve">Mutlak programlama mantığı (her nokta parça sıfırına göre) anlatılır; öğrenciler basit bir kalıp parçası için mutlak programlama uygulamasına başlar.</t>
  </si>
  <si>
    <t xml:space="preserve">Başlanan program simülasyonla kontrol edilir.</t>
  </si>
  <si>
    <t xml:space="preserve">Geçen hafta başlanan mutlak programlama hatırlatılır; bu hafta tamamlanacağı söylenir.</t>
  </si>
  <si>
    <t xml:space="preserve">Mutlak programlama uygulaması tamamlanır; G ve M kodlarının doğru kullanımı kontrol edilir.</t>
  </si>
  <si>
    <t xml:space="preserve">Tamamlanan program simülasyon ile test edilir; CNC Torna için Mutlak Programlama ünitesi tamamlanır.</t>
  </si>
  <si>
    <t xml:space="preserve">CNC torna tezgâhları için artışlı programlama</t>
  </si>
  <si>
    <t xml:space="preserve">3. CNC torna tezgâhları için artışlı programlama yapar.</t>
  </si>
  <si>
    <t xml:space="preserve">Mutlak programlamadan farklı olarak, her noktanın bir öncekine göre verildiği artışlı programlama kavramına geçileceği söylenir.</t>
  </si>
  <si>
    <t xml:space="preserve">Artışlı programlama mantığı (her nokta son noktaya göre) anlatılır; öğrenciler artışlı programlama uygulamasına başlar.</t>
  </si>
  <si>
    <t xml:space="preserve">Başlanan program kontrol edilir.</t>
  </si>
  <si>
    <t xml:space="preserve">Ara tatil dönüşü kısa bir hatırlatmanın ardından, geçen hafta başlanan artışlı programlama uygulamasının bu hafta tamamlanacağı söylenir.</t>
  </si>
  <si>
    <t xml:space="preserve">Artışlı programlama uygulaması tamamlanır; öğretmen bireysel dönüt verir.</t>
  </si>
  <si>
    <t xml:space="preserve">Tamamlanan program simülasyon ile test edilir; CNC Torna için Artışlı Programlama ünitesi tamamlanır.</t>
  </si>
  <si>
    <t xml:space="preserve">CNC Torna İşlemleri 1 - CNC torna programlarının simülasyonunu yapma</t>
  </si>
  <si>
    <t xml:space="preserve">1. CNC torna programlarının simülasyon ile kontrolünü yapar ve gerekirse düzeltir.</t>
  </si>
  <si>
    <t xml:space="preserve">Yazılan bir programın gerçek tezgâhta denemeden önce nasıl test edileceği sorulur; simülasyon kavramına geçilir.</t>
  </si>
  <si>
    <t xml:space="preserve">CNC torna programlarının simülasyon ile kontrol edilmesi ve gerekirse düzeltilmesi gösterilir; öğrenciler kendi programlarını simülasyonda test eder.</t>
  </si>
  <si>
    <t xml:space="preserve">Simülasyonda tespit edilen hatalar birlikte düzeltilir.</t>
  </si>
  <si>
    <t xml:space="preserve">CNC tornada alın , silindirik ve konik tornalama programları</t>
  </si>
  <si>
    <t xml:space="preserve">2. CNC tornada alın, silindirik ve konik tornalamanın programlamasını yapar.</t>
  </si>
  <si>
    <t xml:space="preserve">Geçen haftaki simülasyon testi hatırlatılır; bir kalıp parçasının farklı yüzeylerinin (alın, silindirik, konik) nasıl programlanacağı sorulur.</t>
  </si>
  <si>
    <t xml:space="preserve">CNC tornada alın, silindirik ve konik tornalama programlaması adım adım gösterilir; öğrenciler örnek bir kalıp parçasının bu yüzeylerini programlar.</t>
  </si>
  <si>
    <t xml:space="preserve">Yazılan program simülasyonla test edilir.</t>
  </si>
  <si>
    <t xml:space="preserve">CNC Torna İşlemleri 2 - CNC torna tezgâhlarında delik delme ve delik büyütme programları</t>
  </si>
  <si>
    <t xml:space="preserve">1. CNC torna tezgâhlarında delik delme ve delik büyütme programı yapar.</t>
  </si>
  <si>
    <t xml:space="preserve">Bir kalıp parçasında delik açmanın CNC tornada nasıl programlanacağı sorulur.</t>
  </si>
  <si>
    <t xml:space="preserve">CNC torna tezgâhlarında delik delme ve delik büyütme programı yazımı gösterilip uygulatılır.</t>
  </si>
  <si>
    <t xml:space="preserve">Yazılan delik delme programı simülasyonla kontrol edilir.</t>
  </si>
  <si>
    <t xml:space="preserve">CNC torna tezgâhlarında vida açma programı</t>
  </si>
  <si>
    <t xml:space="preserve">2. CNC torna tezgâhlarında vida açma programını yapar.</t>
  </si>
  <si>
    <t xml:space="preserve">Geçen haftaki delik programı hatırlatılır; bir kalıp parçasına vida açmanın CNC tornada nasıl programlanacağı sorulur.</t>
  </si>
  <si>
    <t xml:space="preserve">CNC torna tezgâhlarında vida açma programı yazımı gösterilip uygulatılır.</t>
  </si>
  <si>
    <t xml:space="preserve">Yazılan vida açma programı simülasyonla test edilir; CNC Torna İşlemleri üniteleri tamamlanır.</t>
  </si>
  <si>
    <t xml:space="preserve">CNC Tornalama Çevrimleri - CNC tornalarda boşaltma çevrimleri programları</t>
  </si>
  <si>
    <t xml:space="preserve">1. CNC tornalarda boşaltma çevrimlerinin programlamasını yapar.</t>
  </si>
  <si>
    <t xml:space="preserve">Her tornalama işlemini satır satır yazmak yerine hazır komutların (çevrim) nasıl kullanılacağı sorulur.</t>
  </si>
  <si>
    <t xml:space="preserve">CNC tornalarda boşaltma çevrimlerinin programlanması (G71, G72 gibi) gösterilip uygulatılır.</t>
  </si>
  <si>
    <t xml:space="preserve">Çevrimle yazılan program klasik satır satır yazılan programla karşılaştırılır.</t>
  </si>
  <si>
    <t xml:space="preserve">CNC tornalarda delik ve vida çevrimlerinin programlaması</t>
  </si>
  <si>
    <t xml:space="preserve">2. CNC tornalarda delik ve vida çevrimlerinin programlamasını yapar.</t>
  </si>
  <si>
    <t xml:space="preserve">Geçen haftaki boşaltma çevrimi hatırlatılır; delik ve vida işlemleri için de çevrim olup olmadığı sorulur.</t>
  </si>
  <si>
    <t xml:space="preserve">CNC tornalarda delik ve vida çevrimlerinin programlanması gösterilip uygulatılır.</t>
  </si>
  <si>
    <t xml:space="preserve">Yazılan çevrim programları simülasyonla test edilir; CNC Tornalama Çevrimleri ünitesi tamamlanır.</t>
  </si>
  <si>
    <t xml:space="preserve">CNC Tornada Alt Program Oluşturma ve Aktarma - CNC tornalar için alt programlama</t>
  </si>
  <si>
    <t xml:space="preserve">1. CNC tornalar için alt program yapar.</t>
  </si>
  <si>
    <t xml:space="preserve">Aynı işlemin farklı parçalarda tekrar tekrar yazılmasının zaman kaybı olduğu, bunun için ne yapılabileceği sorulur; alt program kavramına geçilir.</t>
  </si>
  <si>
    <t xml:space="preserve">CNC tornalar için alt program yazma tekniği (tekrarlanan işlemleri ayrı bir programda toplama) gösterilip uygulatılır.</t>
  </si>
  <si>
    <t xml:space="preserve">Yazılan alt program ana programla birlikte test edilir.</t>
  </si>
  <si>
    <t xml:space="preserve">CNC Torna için Bilgisayardan tezgâhlara tezgâhtan da bilgisayara program aktarma ve CNC tezgâh alarm mesajları</t>
  </si>
  <si>
    <t xml:space="preserve">2. Bilgisayardan tezgâhlara tezgâhtan da bilgisayara program aktarır ve CNC tezgâh alarm mesajlarını anlar ve sorunları giderir.</t>
  </si>
  <si>
    <t xml:space="preserve">Geçen haftaki alt program hatırlatılır; bir programın bilgisayardan tezgâha nasıl aktarılacağı sorulur.</t>
  </si>
  <si>
    <t xml:space="preserve">Bilgisayardan tezgâha, tezgâhtan bilgisayara program aktarma yöntemleri gösterilir; CNC tezgâh alarm mesajlarının nasıl anlaşılıp giderileceği örneklerle anlatılır.</t>
  </si>
  <si>
    <t xml:space="preserve">1. dönem sonu genel bir değerlendirme yapılır; CNC Tornada Alt Program Oluşturma ve Aktarma ünitesi tamamlanır.</t>
  </si>
  <si>
    <t xml:space="preserve">CNC Freze Tezgâhları - CNC freze tezgâhlarının temel ayarlarını yapar.</t>
  </si>
  <si>
    <t xml:space="preserve">1. CNC freze tezgâhlarının temel ayarlarını yapar.</t>
  </si>
  <si>
    <t xml:space="preserve">Yarıyıl tatili dönüşü kısa bir hatırlatmayla derse başlanır; kalıbın düz yüzeyli parçalarının torna ile değil freze ile işlendiği hatırlatılarak CNC freze tezgâhına geçilir. Öğrenciler CNC freze tezgâhına götürülür.</t>
  </si>
  <si>
    <t xml:space="preserve">CNC freze tezgâhının temel ayarları (referans noktasına gönderme, açma-kapama) gösterilir; öğrenciler nezaret altında tezgâhı temel ayarlarla çalıştırır.</t>
  </si>
  <si>
    <t xml:space="preserve">CNC freze tezgâhlarının kontrol paneli</t>
  </si>
  <si>
    <t xml:space="preserve">2. CNC freze tezgâhlarının kontrol panelini kullanır.</t>
  </si>
  <si>
    <t xml:space="preserve">Geçen haftaki temel ayarlar hatırlatılır; freze tezgâhının kontrol panelinin torna tezgâhından farkı sorulur.</t>
  </si>
  <si>
    <t xml:space="preserve">CNC freze tezgâhının kontrol paneli tanıtılır; panel tuşları ve program yazma tuşları gösterilip kullandırılır.</t>
  </si>
  <si>
    <t xml:space="preserve">CNC Frezede Kullanılan kesici Takımlar</t>
  </si>
  <si>
    <t xml:space="preserve">3. CNC frezede takımlarını operasyona uygun olarak seçer.</t>
  </si>
  <si>
    <t xml:space="preserve">Geçen haftaki kontrol paneli hatırlatılır; bir kalıp yüzeyini işlemek için doğru çakının nasıl seçileceği sorulur.</t>
  </si>
  <si>
    <t xml:space="preserve">CNC frezede kullanılan kesici takımlar (parmak, disk, köşe çakısı) operasyona uygunluk açısından karşılaştırılır; öğrenciler örnek bir kalıp yüzeyi için uygun takımı seçer.</t>
  </si>
  <si>
    <t xml:space="preserve">CNC Frezeye kesici takımı bağlamak,Kesici takımın tezgaha tanıtılması ,telafi ve sıfırlarının ayarlanması</t>
  </si>
  <si>
    <t xml:space="preserve">4. CNC frezede takımı bağlar ve ayarını yapar.</t>
  </si>
  <si>
    <t xml:space="preserve">Geçen haftaki takım seçimi hatırlatılır; seçilen takımın tezgâha nasıl bağlanıp tanıtılacağı sorulur.</t>
  </si>
  <si>
    <t xml:space="preserve">CNC frezeye kesici takım bağlama, kesici takımın tezgâha tanıtılması, telafi ve sıfırların ayarlanması adım adım gösterilip uygulatılır.</t>
  </si>
  <si>
    <t xml:space="preserve">Takım ayarlarının doğruluğu kontrol edilir; CNC Freze Tezgâhları ünitesi tamamlanır.</t>
  </si>
  <si>
    <t xml:space="preserve">CNC Frezede Programlama - Cnc Freze tezgahlarında programlama</t>
  </si>
  <si>
    <t xml:space="preserve">1. CNC freze tezgâhları için program yapar.</t>
  </si>
  <si>
    <t xml:space="preserve">Tatil dönüşü kısa bir hatırlatmayla başlanır; freze tezgâhına da tıpkı torna gibi komutların nasıl verileceği sorulur.</t>
  </si>
  <si>
    <t xml:space="preserve">CNC freze tezgâhları için program yazma tekniği (satır yapısı, G/M kodları) anlatılır; öğrenciler basit bir program yazmaya başlar.</t>
  </si>
  <si>
    <t xml:space="preserve">Yazılan program satırları kontrol edilir; CNC Frezede Programlama ünitesi tamamlanır.</t>
  </si>
  <si>
    <t xml:space="preserve">CNC freze tezgâhları için mutlak programlama</t>
  </si>
  <si>
    <t xml:space="preserve">2. CNC freze tezgâhları için mutlak programlama yapar.</t>
  </si>
  <si>
    <t xml:space="preserve">Geçen haftaki program yazımı hatırlatılır; frezede de mutlak programlamanın kullanılabileceği sorulur.</t>
  </si>
  <si>
    <t xml:space="preserve">CNC freze tezgâhları için mutlak programlama mantığı anlatılır; öğrenciler örnek bir kalıp yüzeyi için mutlak programlama uygulaması yapar.</t>
  </si>
  <si>
    <t xml:space="preserve">Yazılan program simülasyonla kontrol edilir.</t>
  </si>
  <si>
    <t xml:space="preserve">CNC freze tezgâhları için artışlı programlama</t>
  </si>
  <si>
    <t xml:space="preserve">3. CNC freze tezgâhları için artışlı programlama yapar.</t>
  </si>
  <si>
    <t xml:space="preserve">Geçen haftaki mutlak programlama hatırlatılır; artışlı programlamanın frezede nasıl kullanılacağı sorulur.</t>
  </si>
  <si>
    <t xml:space="preserve">CNC freze tezgâhları için artışlı programlama mantığı anlatılır; öğrenciler artışlı programlama uygulaması yapar.</t>
  </si>
  <si>
    <t xml:space="preserve">Yazılan program simülasyonla kontrol edilir; CNC Frezede Programlama ünitesi tamamlanır.</t>
  </si>
  <si>
    <t xml:space="preserve">Temel CNC Frezeleme İşlemleri - CNC freze programlarının simülasyonunu yapma</t>
  </si>
  <si>
    <t xml:space="preserve">1. CNC freze programlarının simülasyon ile kontrolünü yapar ve gerekirse düzeltir.</t>
  </si>
  <si>
    <t xml:space="preserve">Yazılan freze programının da gerçek tezgâhta denemeden önce test edilmesi gerektiği sorulur.</t>
  </si>
  <si>
    <t xml:space="preserve">CNC freze programlarının simülasyon ile kontrol edilmesi ve gerekirse düzeltilmesi gösterilir; öğrenciler kendi programlarını simülasyonda test eder.</t>
  </si>
  <si>
    <t xml:space="preserve">CNC freze tezgâhında düzlem yüzey frezeleme programlama</t>
  </si>
  <si>
    <t xml:space="preserve">2. CNC freze tezgâhında düzlem yüzey frezeleme programın ve işlemini yapar.</t>
  </si>
  <si>
    <t xml:space="preserve">Bir kalıp parçasının düz üst yüzeyinin (bağlama plakası gibi) nasıl programlanacağı sorulur.</t>
  </si>
  <si>
    <t xml:space="preserve">CNC freze tezgâhında düzlem yüzey frezeleme programlaması ve işlemi adım adım gösterilip uygulatılır.</t>
  </si>
  <si>
    <t xml:space="preserve">Frezelenen yüzeyin düzlüğü kontrol edilir.</t>
  </si>
  <si>
    <t xml:space="preserve">CNC freze tezgâhında kanal açma programı</t>
  </si>
  <si>
    <t xml:space="preserve">3. CNC freze tezgâhında kanal açma programlamasını ve frezeleme işlemini yapar.</t>
  </si>
  <si>
    <t xml:space="preserve">Geçen haftaki düzlem yüzey hatırlatılır; kalıp parçasında bir kanalın (yağlama kanalı gibi) nasıl programlanacağı sorulur.</t>
  </si>
  <si>
    <t xml:space="preserve">CNC freze tezgâhında kanal açma programlaması ve frezeleme işlemi gösterilip uygulatılır.</t>
  </si>
  <si>
    <t xml:space="preserve">Açılan kanal ölçüsü kontrol edilir; Temel CNC Frezeleme İşlemleri ünitesi tamamlanır.</t>
  </si>
  <si>
    <t xml:space="preserve">CNC Frezeleme İşlemleri - CNC freze tezgâhında delme ve delik büyütme programlama</t>
  </si>
  <si>
    <t xml:space="preserve">1. CNC freze tezgâhında delme ve delik büyütme işlemlerini programlayıp CNC frezede yapar.</t>
  </si>
  <si>
    <t xml:space="preserve">Kalıp plakalarındaki kılavuz kolon deliklerinin CNC frezede nasıl programlanacağı sorulur.</t>
  </si>
  <si>
    <t xml:space="preserve">CNC freze tezgâhında delme ve delik büyütme işlemlerinin programlanıp uygulanması gösterilip yaptırılır.</t>
  </si>
  <si>
    <t xml:space="preserve">Delinen deliğin konumu ve ölçüsü kontrol edilir.</t>
  </si>
  <si>
    <t xml:space="preserve">CNC freze tezgâhında kavis frezeleme programlama</t>
  </si>
  <si>
    <t xml:space="preserve">2. CNC freze tezgâhında kavis frezeleme programını ve işlemesini yapar.</t>
  </si>
  <si>
    <t xml:space="preserve">Geçen haftaki delik delme hatırlatılır; kalıp yüzeyindeki kavisli (yuvarlatılmış) bölgelerin nasıl programlanacağı sorulur.</t>
  </si>
  <si>
    <t xml:space="preserve">CNC freze tezgâhında kavis frezeleme programlaması ve işlemesi gösterilip uygulatılır.</t>
  </si>
  <si>
    <t xml:space="preserve">Frezelenen kavis yüzeyi mastarla kontrol edilir.</t>
  </si>
  <si>
    <t xml:space="preserve">CNC freze tezgâhında profil frezeleme programlama</t>
  </si>
  <si>
    <t xml:space="preserve">3. CNC freze tezgâhında profil frezeleme programını ve işlemesini yapar.</t>
  </si>
  <si>
    <t xml:space="preserve">Geçen haftaki kavis frezeleme hatırlatılır; kalıp parçasının dış hattının (profil) nasıl programlanacağı sorulur.</t>
  </si>
  <si>
    <t xml:space="preserve">CNC freze tezgâhında profil frezeleme programlaması ve işlemesi gösterilip uygulatılır.</t>
  </si>
  <si>
    <t xml:space="preserve">Frezelenen profil imalat resmiyle karşılaştırılır; CNC Frezeleme İşlemleri ünitesi tamamlanır.</t>
  </si>
  <si>
    <t xml:space="preserve">CNC Freze Çevrimleri - CNC frezelerde delik delme, delik büyütme, kılavuz ve rayba çekme çevrimleri</t>
  </si>
  <si>
    <t xml:space="preserve">1. CNC frezelerde delik delme, delik büyütme, kılavuz ve rayba çekme çevrimlerini programlar</t>
  </si>
  <si>
    <t xml:space="preserve">Delik delme, büyütme, kılavuz ve rayba işlemlerinin her seferinde satır satır yazılmasının zaman aldığı, bunun için çevrim kullanılabileceği hatırlatılır.</t>
  </si>
  <si>
    <t xml:space="preserve">CNC frezelerde delik delme, delik büyütme, kılavuz ve rayba çekme çevrimlerinin programlanması gösterilip uygulatılır.</t>
  </si>
  <si>
    <t xml:space="preserve">Yazılan çevrim programı simülasyonla test edilir.</t>
  </si>
  <si>
    <t xml:space="preserve">CNC frezelerde delik ve vida çevrimlerini</t>
  </si>
  <si>
    <t xml:space="preserve">2. CNC frezelerde delik ve vida çevrimlerini programlamasını yapar.</t>
  </si>
  <si>
    <t xml:space="preserve">Geçen haftaki delik çevrimleri hatırlatılır; vida açma işleminin de bir çevrimle yapılıp yapılamayacağı sorulur.</t>
  </si>
  <si>
    <t xml:space="preserve">CNC frezelerde delik ve vida çevrimlerinin programlanması gösterilip uygulatılır.</t>
  </si>
  <si>
    <t xml:space="preserve">CNC frezelerde delik delme, delik büyütme, kılavuz ve rayba çekme çevrimleri</t>
  </si>
  <si>
    <t xml:space="preserve">3. CNC frezelerde delik delme, delik büyütme, kılavuz ve rayba çekme çevrimlerini programlar.</t>
  </si>
  <si>
    <t xml:space="preserve">Geçen haftaki vida çevrimi hatırlatılır; bu hafta delik-kılavuz-rayba çevrimlerinin pekiştirileceği söylenir.</t>
  </si>
  <si>
    <t xml:space="preserve">CNC frezelerde delik delme, delik büyütme, kılavuz ve rayba çekme çevrimleri farklı bir kalıp parçası üzerinde tekrar programlanır.</t>
  </si>
  <si>
    <t xml:space="preserve">Yazılan program test edilir; CNC Freze Çevrimleri ünitesi tamamlanır.</t>
  </si>
  <si>
    <t xml:space="preserve">CNC Frezede Alt Program Oluşturma ve Aktarma - CNC frezeler için alt programlama</t>
  </si>
  <si>
    <t xml:space="preserve">1. CNC frezeler için alt program yapar.</t>
  </si>
  <si>
    <t xml:space="preserve">Freze programlarında da tekrarlanan işlemler için alt program kullanılabileceği sorulur.</t>
  </si>
  <si>
    <t xml:space="preserve">CNC frezeler için alt program yazma tekniği gösterilip uygulatılır.</t>
  </si>
  <si>
    <t xml:space="preserve">CNC freze için Bilgisayardan tezgâhlara tezgâhtan da bilgisayara program aktarma ve CNC tezgâh alarm mesajları</t>
  </si>
  <si>
    <t xml:space="preserve">2. Bilgisayardan tezgâhlara tezgâhtan da bilgisayara program aktarır</t>
  </si>
  <si>
    <t xml:space="preserve">Geçen haftaki alt program hatırlatılır; freze programının da bilgisayardan tezgâha nasıl aktarılacağı sorulur.</t>
  </si>
  <si>
    <t xml:space="preserve">Bilgisayardan tezgâha, tezgâhtan bilgisayara program aktarma yöntemleri gösterilir.</t>
  </si>
  <si>
    <t xml:space="preserve">Aktarılan programın tezgâhta doğru göründüğü kontrol edilir.</t>
  </si>
  <si>
    <t xml:space="preserve">CNC tezgâh alarm mesajlarını anlar ve sorunları giderir.</t>
  </si>
  <si>
    <t xml:space="preserve">Yılın son haftası olduğu; CNC torna tezgâhı tanımadan freze programlarına kadar yıl boyunca öğrenilen tüm sürecin kısa bir özetiyle derse başlanacağı söylenir.</t>
  </si>
  <si>
    <t xml:space="preserve">CNC tezgâh alarm mesajlarının nasıl anlaşılıp giderileceği son kez örneklerle gösterilir; öğrenciler yıl boyunca hazırladıkları programlardan birini son kez simülasyonda test eder.</t>
  </si>
  <si>
    <t xml:space="preserve">Yıl boyunca yapılan tüm programlama çalışmaları genel olarak değerlendirilir, öğrencilere yıl sonu dönütü verilir.</t>
  </si>
  <si>
    <t xml:space="preserve">DİJİTAL TASARIM (SEÇMELİ)</t>
  </si>
  <si>
    <t xml:space="preserve">Tasarım Araçları</t>
  </si>
  <si>
    <t xml:space="preserve">Tasarıma yardımcı araçları kullanır.
Profil hesabı düzenlemelerini açıklar.</t>
  </si>
  <si>
    <t xml:space="preserve">Öğretim yılının ilk dersi olduğu için önceki bir konu tekrarı yapılmaz; bunun yerine bir ürünü üretmeden önce bilgisayarda tasarlamanın neden önemli olduğu sorularak dijital tasarıma giriş yapılır.</t>
  </si>
  <si>
    <t xml:space="preserve">Tasarıma yardımcı araçlar tanıtılır; profil hesabı düzenlemelerinin (ekran çözünürlüğü, birim ayarları) nasıl yapılacağı gösterilir.</t>
  </si>
  <si>
    <t xml:space="preserve">Öğrencilerden kendi bilgisayarlarında profil ayarlarını kontrol etmeleri istenir.</t>
  </si>
  <si>
    <t xml:space="preserve">Bilişim Teknolojileri Laboratuvarı, akıllı tahta/projeksiyon, bilgisayar, yazıcı/tarayıcı, internet, 3D yazıcı, tasarım/animasyon yazılımı, içerik yönetimi yazılımı</t>
  </si>
  <si>
    <t xml:space="preserve">Çizim programı ortamını tanıtır.</t>
  </si>
  <si>
    <t xml:space="preserve">Geçen haftaki profil ayarları hatırlatılır; çizim programının genel görünümünün nasıl olduğu sorulur.</t>
  </si>
  <si>
    <t xml:space="preserve">Çizim programı ortamı (araç çubukları, panel yerleşimi, çalışma alanı) tanıtılır.</t>
  </si>
  <si>
    <t xml:space="preserve">Öğrencilerden programdaki üç farklı paneli tanımaları istenir.</t>
  </si>
  <si>
    <t xml:space="preserve">Yeni bir proje oluşturma adımlarını açıklar.</t>
  </si>
  <si>
    <t xml:space="preserve">Geçen haftaki program ortamı hatırlatılır; boş bir projeye nasıl başlanacağı sorulur.</t>
  </si>
  <si>
    <t xml:space="preserve">Yeni bir proje oluşturma adımları gösterilir; öğrenciler ilk projelerini oluşturup kaydeder.</t>
  </si>
  <si>
    <t xml:space="preserve">Oluşturulan projelerin doğru kaydedilip kaydedilmediği kontrol edilir; Tasarım Araçları ünitesi tamamlanır.</t>
  </si>
  <si>
    <t xml:space="preserve">Çalışma Düzlemi İşlemleri</t>
  </si>
  <si>
    <t xml:space="preserve">Çalışma düzlemine şekil ekler.</t>
  </si>
  <si>
    <t xml:space="preserve">Boş bir çalışma düzlemine ilk şeklin nasıl ekleneceği sorulur.</t>
  </si>
  <si>
    <t xml:space="preserve">Çalışma düzlemine temel şekil (küp, silindir, koni) ekleme işlemi gösterilir; öğrenciler kendi düzlemlerine şekil ekler.</t>
  </si>
  <si>
    <t xml:space="preserve">Eklenen şekillerin konumu kontrol edilir.</t>
  </si>
  <si>
    <t xml:space="preserve">Çalışma ortamına nesne ekletir.</t>
  </si>
  <si>
    <t xml:space="preserve">Geçen haftaki şekil ekleme hatırlatılır; hazır şekiller dışında serbest nesne eklemenin nasıl yapılacağı sorulur.</t>
  </si>
  <si>
    <t xml:space="preserve">Çalışma ortamına nesne ekletme işlemi gösterilir; öğrenciler farklı nesneler ekler.</t>
  </si>
  <si>
    <t xml:space="preserve">Eklenen nesnelerin özellikleri kontrol edilir.</t>
  </si>
  <si>
    <t xml:space="preserve">Çalışma düzleminin kontrol edilmesini sağlar.</t>
  </si>
  <si>
    <t xml:space="preserve">Geçen haftaki nesne ekleme hatırlatılır; eklenen nesnelerin doğru yerde olup olmadığının nasıl kontrol edileceği sorulur.</t>
  </si>
  <si>
    <t xml:space="preserve">Çalışma düzleminin kontrol edilmesi (izgara, ölçü birimleri, görünüm açıları) gösterilir.</t>
  </si>
  <si>
    <t xml:space="preserve">Öğrencilerden kendi düzlemlerini kontrol etmeleri istenir; Çalışma Düzlemi İşlemleri ünitesi tamamlanır.</t>
  </si>
  <si>
    <t xml:space="preserve">Şekillerle Çalışma</t>
  </si>
  <si>
    <t xml:space="preserve">Şekilleri gruplandırarak yeni şekiller oluşturur.
Gruplama ve grup çözme ile ilgili işlemleri yaptırır.</t>
  </si>
  <si>
    <t xml:space="preserve">Birden fazla şeklin tek bir parça gibi nasıl davranacağı sorulur; gruplama kavramına geçilir.</t>
  </si>
  <si>
    <t xml:space="preserve">Şekilleri gruplandırarak yeni şekiller oluşturma ve gruplama/grup çözme işlemleri gösterilip uygulatılır.</t>
  </si>
  <si>
    <t xml:space="preserve">Gruplanan ve çözülen şekiller kontrol edilir.</t>
  </si>
  <si>
    <t xml:space="preserve">Bir şekilden başka bir şekli çıkararak yeni şekil oluşturur.</t>
  </si>
  <si>
    <t xml:space="preserve">Geçen haftaki gruplama hatırlatılır; bir şekilden başka bir şeklin nasıl çıkarılacağı (delik açma gibi) sorulur.</t>
  </si>
  <si>
    <t xml:space="preserve">Bir şekilden başka bir şekli çıkararak yeni şekil oluşturma (boolean çıkarma) işlemi gösterilip uygulatılır.</t>
  </si>
  <si>
    <t xml:space="preserve">Oluşturulan yeni şekil kontrol edilir; Şekillerle Çalışma ünitesi tamamlanır.</t>
  </si>
  <si>
    <t xml:space="preserve">İçe Aktarma İşlemi</t>
  </si>
  <si>
    <t xml:space="preserve">İçe aktarmayı kullanarak özgün şekiller oluşturur.</t>
  </si>
  <si>
    <t xml:space="preserve">10 Kasım Atatürk'ü Anma Günü anması sonrası, hazır şekiller dışında dışarıdan bir görselin/çizimin nasıl kullanılacağı sorulur.</t>
  </si>
  <si>
    <t xml:space="preserve">İçe aktarmayı kullanarak özgün şekiller oluşturma işlemi gösterilip uygulatılır.</t>
  </si>
  <si>
    <t xml:space="preserve">İçe aktarılan şekiller üzerinde küçük değişiklikler yaptırılır.</t>
  </si>
  <si>
    <t xml:space="preserve">Var olan bir çalışmayı içe aktarmayı açıklar.</t>
  </si>
  <si>
    <t xml:space="preserve">Ara tatil dönüşü kısa bir hatırlatmanın ardından, daha önce kaydedilmiş bir çalışmanın nasıl tekrar açılıp içe aktarılacağı sorulur.</t>
  </si>
  <si>
    <t xml:space="preserve">Var olan bir çalışmayı içe aktarma işlemi gösterilip uygulatılır.</t>
  </si>
  <si>
    <t xml:space="preserve">İçe Aktarma İşlemi ünitesi genel bir değerlendirmeyle tamamlanır.</t>
  </si>
  <si>
    <t xml:space="preserve">Dışa Aktarma İşlemi</t>
  </si>
  <si>
    <t xml:space="preserve">Tasarımını başka uygulamalar ya da 3D yazıcı için dışa aktarır.</t>
  </si>
  <si>
    <t xml:space="preserve">Bilgisayarda tasarlanan bir nesnenin gerçek dünyada nasıl üretileceği sorulur; 3D yazıcı örneği gösterilir.</t>
  </si>
  <si>
    <t xml:space="preserve">Tasarımı başka uygulamalar ya da 3D yazıcı için dışa aktarma işlemi gösterilip uygulatılır.</t>
  </si>
  <si>
    <t xml:space="preserve">Dışa aktarılan dosya formatı kontrol edilir.</t>
  </si>
  <si>
    <t xml:space="preserve">Yapılan çalışmanın üç boyutlu yazıcı için dışa aktarılmasını açıklar.</t>
  </si>
  <si>
    <t xml:space="preserve">Geçen haftaki dışa aktarma hatırlatılır; üç boyutlu yazıcı için dosyanın hangi formatta olması gerektiği sorulur.</t>
  </si>
  <si>
    <t xml:space="preserve">Yapılan çalışmanın üç boyutlu yazıcı için dışa aktarılması ayrıntılı olarak gösterilip uygulatılır.</t>
  </si>
  <si>
    <t xml:space="preserve">Dışa Aktarma İşlemi ünitesi genel bir değerlendirmeyle tamamlanır.</t>
  </si>
  <si>
    <t xml:space="preserve">İçerik Yönetimi Yazılımı</t>
  </si>
  <si>
    <t xml:space="preserve">İçerik yönetimi yazılımını ve eklentisini kurar.</t>
  </si>
  <si>
    <t xml:space="preserve">Bir web sitesinin içeriğinin nasıl kolayca yönetildiği sorulur; içerik yönetimi yazılımı kavramına geçilir.</t>
  </si>
  <si>
    <t xml:space="preserve">İçerik yönetimi yazılımı ve eklentisinin kurulumu adım adım gösterilip uygulatılır.</t>
  </si>
  <si>
    <t xml:space="preserve">Kurulumun tamamlanıp tamamlanmadığı kontrol edilir.</t>
  </si>
  <si>
    <t xml:space="preserve">İçerik yönetimi yazılımının kurulumunu açıklar.</t>
  </si>
  <si>
    <t xml:space="preserve">Geçen hafta yapılan kurulum hatırlatılır; kurulum adımlarının ayrıntılı olarak tekrar gözden geçirileceği söylenir.</t>
  </si>
  <si>
    <t xml:space="preserve">İçerik yönetimi yazılımının kurulumu farklı bir örnek üzerinde tekrar açıklanır.</t>
  </si>
  <si>
    <t xml:space="preserve">İçerik Yönetimi Yazılımı ünitesi genel bir değerlendirmeyle tamamlanır.</t>
  </si>
  <si>
    <t xml:space="preserve">Yönetim Paneli</t>
  </si>
  <si>
    <t xml:space="preserve">Yönetim panelinde web sitesi ile ilgili ayarları yapar.
İçerik yönetimi yazılımı yönetim panelini açıklar.</t>
  </si>
  <si>
    <t xml:space="preserve">Yılın son haftası öncesinde, kurulan yazılımın site ayarlarının nereden yapılacağı sorulur.</t>
  </si>
  <si>
    <t xml:space="preserve">Yönetim panelinde web sitesiyle ilgili ayarlar yapılır; içerik yönetimi yazılımı yönetim paneli tanıtılır.</t>
  </si>
  <si>
    <t xml:space="preserve">Yönetim panelinde istenilen özelliklere göre ayarları yaptırır.</t>
  </si>
  <si>
    <t xml:space="preserve">2. dönemin ilk haftası olması nedeniyle geçen dönem işlenenlerin kısa bir özeti yapılır; yönetim panelinde başka hangi özelliklerin ayarlanabileceği sorulur.</t>
  </si>
  <si>
    <t xml:space="preserve">Yönetim panelinde istenilen özelliklere göre ayarlar yaptırılır.</t>
  </si>
  <si>
    <t xml:space="preserve">Yönetim Paneli ünitesi genel bir değerlendirmeyle tamamlanır.</t>
  </si>
  <si>
    <t xml:space="preserve">İçerik ve Kategori İşlemleri</t>
  </si>
  <si>
    <t xml:space="preserve">İçerik ve kategori işlemlerini yapar.
İçerik yönetimi yazılımında içerik işlemlerini yaptırır.</t>
  </si>
  <si>
    <t xml:space="preserve">Bir web sitesine yeni bir yazının nasıl ekleneceği sorulur; içerik ve kategori kavramına geçilir.</t>
  </si>
  <si>
    <t xml:space="preserve">İçerik ve kategori işlemleri anlatılır; içerik yönetimi yazılımında içerik işlemleri (yeni içerik ekleme, düzenleme) uygulamalı olarak yaptırılır.</t>
  </si>
  <si>
    <t xml:space="preserve">Eklenen içerik kontrol edilir.</t>
  </si>
  <si>
    <t xml:space="preserve">İçerik yönetimi yazılımında kategori işlemlerini yaptırır.</t>
  </si>
  <si>
    <t xml:space="preserve">Geçen haftaki içerik ekleme hatırlatılır; içeriklerin nasıl gruplandırılacağı (kategori) sorulur.</t>
  </si>
  <si>
    <t xml:space="preserve">İçerik yönetimi yazılımında kategori işlemleri uygulamalı olarak yaptırılır.</t>
  </si>
  <si>
    <t xml:space="preserve">İçerik ve Kategori İşlemleri ünitesi genel bir değerlendirmeyle tamamlanır.</t>
  </si>
  <si>
    <t xml:space="preserve">Menü ve Sayfa İşlemleri</t>
  </si>
  <si>
    <t xml:space="preserve">Menü ve sayfa işlemlerini yapar.
İçerik yönetimi yazılımında menüleri açıklar.</t>
  </si>
  <si>
    <t xml:space="preserve">Yarıyıl tatili dönüşü kısa bir hatırlatmayla derse başlanır; bir sitede sayfalar arasında nasıl gezinildiği sorulur; menü kavramına geçilir.</t>
  </si>
  <si>
    <t xml:space="preserve">Menü ve sayfa işlemleri anlatılır; içerik yönetimi yazılımında menü oluşturma uygulamalı olarak yaptırılır.</t>
  </si>
  <si>
    <t xml:space="preserve">Oluşturulan menünün site üzerinde çalıştığı kontrol edilir.</t>
  </si>
  <si>
    <t xml:space="preserve">İçerik yönetimi yazılımında sayfa işlemlerini açıklar.</t>
  </si>
  <si>
    <t xml:space="preserve">Geçen haftaki menü oluşturma hatırlatılır; yeni bir sayfanın nasıl oluşturulacağı sorulur.</t>
  </si>
  <si>
    <t xml:space="preserve">İçerik yönetimi yazılımında sayfa işlemleri (yeni sayfa oluşturma, düzenleme) uygulamalı olarak yaptırılır.</t>
  </si>
  <si>
    <t xml:space="preserve">Oluşturulan sayfa menüye bağlanarak kontrol edilir.</t>
  </si>
  <si>
    <t xml:space="preserve">İçerik yönetimi yazılımında diğer araçları açıklar.</t>
  </si>
  <si>
    <t xml:space="preserve">Geçen haftaki sayfa işlemleri hatırlatılır; içerik yönetimi yazılımında başka hangi araçların bulunduğu sorulur.</t>
  </si>
  <si>
    <t xml:space="preserve">İçerik yönetimi yazılımındaki diğer araçlar (widget, eklenti) tanıtılır.</t>
  </si>
  <si>
    <t xml:space="preserve">Menü ve Sayfa İşlemleri ünitesi genel bir değerlendirmeyle tamamlanır.</t>
  </si>
  <si>
    <t xml:space="preserve">Animasyon Hazırlama Programı</t>
  </si>
  <si>
    <t xml:space="preserve">Çalışma ekranını kendine uyarlar.
Animasyon hazırlama programı arayüzünü açıklar.</t>
  </si>
  <si>
    <t xml:space="preserve">Statik tasarımdan farklı olarak, hareketli görsellerin (animasyon) nasıl hazırlandığı sorulur; animasyon programına geçiş yapılır.</t>
  </si>
  <si>
    <t xml:space="preserve">Çalışma ekranının kendine uyarlanması gösterilir; animasyon hazırlama programının arayüzü tanıtılır.</t>
  </si>
  <si>
    <t xml:space="preserve">Öğrencilerden kendi çalışma ekranlarını düzenlemeleri istenir.</t>
  </si>
  <si>
    <t xml:space="preserve">Çalışma Düzlemi</t>
  </si>
  <si>
    <t xml:space="preserve">Standart şekilleri çalışma düzlemine ekler.
Çalışma düzlemini açıklar.</t>
  </si>
  <si>
    <t xml:space="preserve">Tatil dönüşü kısa bir hatırlatmayla başlanır; animasyon programında da bir çalışma düzlemine ihtiyaç duyulduğu sorulur.</t>
  </si>
  <si>
    <t xml:space="preserve">Standart şekillerin çalışma düzlemine eklenmesi gösterilir; çalışma düzlemi kavramı açıklanır.</t>
  </si>
  <si>
    <t xml:space="preserve">Eklenen şekiller kontrol edilir.</t>
  </si>
  <si>
    <t xml:space="preserve">Çalışma düzlemine şekiller ekletir.</t>
  </si>
  <si>
    <t xml:space="preserve">Geçen haftaki şekil ekleme hatırlatılır; farklı şekillerin bir arada nasıl kullanılacağı sorulur.</t>
  </si>
  <si>
    <t xml:space="preserve">Çalışma düzlemine farklı şekiller ekletilerek bir sahne oluşturulur.</t>
  </si>
  <si>
    <t xml:space="preserve">Çalışma Düzlemi ünitesi genel bir değerlendirmeyle tamamlanır.</t>
  </si>
  <si>
    <t xml:space="preserve">Nesneler</t>
  </si>
  <si>
    <t xml:space="preserve">Tasarım araçlarıyla nesneler üzerinde işlemler yapar.
Tasarım araçlarını açıklar.</t>
  </si>
  <si>
    <t xml:space="preserve">Eklenen şekillerin sabit kalmayıp üzerinde işlem yapılabileceği sorulur; nesne kavramına geçilir.</t>
  </si>
  <si>
    <t xml:space="preserve">Tasarım araçları tanıtılır; tasarım araçlarıyla nesneler üzerinde işlemler (taşıma, döndürme, ölçekleme) yapılır.</t>
  </si>
  <si>
    <t xml:space="preserve">Yapılan işlemlerin nesneye doğru uygulanıp uygulanmadığı kontrol edilir.</t>
  </si>
  <si>
    <t xml:space="preserve">Nesneler üzerinde işlemler yaptırır.</t>
  </si>
  <si>
    <t xml:space="preserve">Geçen haftaki nesne işlemleri hatırlatılır; farklı nesneler üzerinde pekiştirileceği söylenir.</t>
  </si>
  <si>
    <t xml:space="preserve">Nesneler üzerinde işlemler (taşıma, döndürme, ölçekleme) farklı nesnelerde tekrar uygulatılır.</t>
  </si>
  <si>
    <t xml:space="preserve">Nesneler ünitesi genel bir değerlendirmeyle tamamlanır.</t>
  </si>
  <si>
    <t xml:space="preserve">Özellikler</t>
  </si>
  <si>
    <t xml:space="preserve">Eklenen şeklin parametrik özelliklerini değiştirir.
Nesnelerin özelliklerinin değiştirilmesini açıklar.</t>
  </si>
  <si>
    <t xml:space="preserve">Eklenen bir şeklin boyutunun sayısal olarak nasıl değiştirileceği sorulur; parametrik özellik kavramına geçilir.</t>
  </si>
  <si>
    <t xml:space="preserve">Eklenen şeklin parametrik özelliklerinin (yükseklik, genişlik, yarıçap) değiştirilmesi gösterilir; nesnelerin özelliklerinin nereden değiştirileceği anlatılır.</t>
  </si>
  <si>
    <t xml:space="preserve">Öğrencilerden bir nesnenin parametrik özelliğini değiştirmeleri istenir.</t>
  </si>
  <si>
    <t xml:space="preserve">Düzenleme</t>
  </si>
  <si>
    <t xml:space="preserve">Eklenen şekilleri modifiye araçlarını kullanarak geliştirir.
Nesneler üzerinde değişiklikler yaptırır.</t>
  </si>
  <si>
    <t xml:space="preserve">Parametrik değişiklik dışında, bir şeklin serbestçe nasıl düzenleneceği sorulur; modifiye araçlarına geçilir.</t>
  </si>
  <si>
    <t xml:space="preserve">Eklenen şekillerin modifiye araçları kullanılarak geliştirilmesi (bükme, eğme, kesme) gösterilir; nesneler üzerinde değişiklikler yaptırılır.</t>
  </si>
  <si>
    <t xml:space="preserve">Düzenleme ünitesi genel bir değerlendirmeyle tamamlanır.</t>
  </si>
  <si>
    <t xml:space="preserve">Material Editörü</t>
  </si>
  <si>
    <t xml:space="preserve">Material Editörünü kullanarak tasarlanan nesnelere doku ekler.
Doku ekleme işlemini açıklar.</t>
  </si>
  <si>
    <t xml:space="preserve">Bir nesnenin sadece şeklinin değil, yüzeyinin de (metal, ahşap gibi) görünmesi gerektiği sorulur; Material Editörü kavramına geçilir.</t>
  </si>
  <si>
    <t xml:space="preserve">Material Editörü kullanılarak tasarlanan nesnelere doku ekleme işlemi gösterilir.</t>
  </si>
  <si>
    <t xml:space="preserve">Öğrencilerden bir nesneye doku eklemeleri istenir.</t>
  </si>
  <si>
    <t xml:space="preserve">Nesnelere doku ekletir.</t>
  </si>
  <si>
    <t xml:space="preserve">Geçen haftaki doku ekleme hatırlatılır; farklı dokularla pekiştirileceği söylenir.</t>
  </si>
  <si>
    <t xml:space="preserve">Nesnelere farklı dokular (ahşap, metal, cam) ekletilerek karşılaştırma yapılır.</t>
  </si>
  <si>
    <t xml:space="preserve">Material Editörü ünitesi genel bir değerlendirmeyle tamamlanır.</t>
  </si>
  <si>
    <t xml:space="preserve">Kamera İşlemi</t>
  </si>
  <si>
    <t xml:space="preserve">Çalışılan projeye animasyonda kullanılmak üzere kamera ekler.
Kamera ekleme işlemini açıklar.</t>
  </si>
  <si>
    <t xml:space="preserve">Bir animasyonun izleyici gözünden (kamera açısından) nasıl kaydedildiği sorulur; kamera kavramına geçilir.</t>
  </si>
  <si>
    <t xml:space="preserve">Çalışılan projeye animasyonda kullanılmak üzere kamera ekleme işlemi gösterilir.</t>
  </si>
  <si>
    <t xml:space="preserve">Eklenen kameranın görüş açısı kontrol edilir.</t>
  </si>
  <si>
    <t xml:space="preserve">Projeye kamera ekletir.</t>
  </si>
  <si>
    <t xml:space="preserve">Geçen haftaki kamera ekleme hatırlatılır; birden fazla kamera açısı kullanılabileceği sorulur.</t>
  </si>
  <si>
    <t xml:space="preserve">Projeye farklı açılardan ikinci bir kamera ekletilir.</t>
  </si>
  <si>
    <t xml:space="preserve">Kamera İşlemi ünitesi genel bir değerlendirmeyle tamamlanır.</t>
  </si>
  <si>
    <t xml:space="preserve">Animasyon Geliştirme</t>
  </si>
  <si>
    <t xml:space="preserve">Anahtar kareleri kullanarak animasyonlar geliştirir.
Anahtar kareleri açıklar.</t>
  </si>
  <si>
    <t xml:space="preserve">Sabit bir nesnenin nasıl hareket ettirileceği sorulur; anahtar kare kavramına geçilir.</t>
  </si>
  <si>
    <t xml:space="preserve">Anahtar kareleri kullanarak animasyon geliştirme tekniği (başlangıç ve bitiş pozisyonu belirleme) anlatılır.</t>
  </si>
  <si>
    <t xml:space="preserve">Öğrencilerden basit bir hareket için iki anahtar kare oluşturmaları istenir.</t>
  </si>
  <si>
    <t xml:space="preserve">Anahtar karelerle animasyonda geliştirmeler yaptırır.</t>
  </si>
  <si>
    <t xml:space="preserve">Geçen haftaki anahtar kare oluşturma hatırlatılır; daha karmaşık bir hareketin nasıl yapılacağı sorulur.</t>
  </si>
  <si>
    <t xml:space="preserve">Anahtar karelerle animasyonda geliştirmeler (hız, yörünge değişimi) yaptırılır.</t>
  </si>
  <si>
    <t xml:space="preserve">Animasyon Geliştirme ünitesi genel bir değerlendirmeyle tamamlanır.</t>
  </si>
  <si>
    <t xml:space="preserve">Çalışmayı Çıktı Alma</t>
  </si>
  <si>
    <t xml:space="preserve">Çalışmayı çıktı (render) olarak alır.
Render alma işlemini açıklar.</t>
  </si>
  <si>
    <t xml:space="preserve">Hazırlanan animasyonun nasıl bir video dosyasına dönüştürüleceği sorulur; render kavramına geçilir.</t>
  </si>
  <si>
    <t xml:space="preserve">Çalışmayı çıktı (render) olarak alma işlemi ve render alma ayarları gösterilir.</t>
  </si>
  <si>
    <t xml:space="preserve">Öğrencilerden kısa bir render alma denemesi yapmaları istenir.</t>
  </si>
  <si>
    <t xml:space="preserve">Yapılan çalışmayı çıktı aldırır.</t>
  </si>
  <si>
    <t xml:space="preserve">Geçen haftaki render alma hatırlatılır; tüm projenin nasıl dışa aktarılacağı sorulur.</t>
  </si>
  <si>
    <t xml:space="preserve">Yapılan çalışmanın tam render olarak alınması uygulamalı olarak yaptırılır.</t>
  </si>
  <si>
    <t xml:space="preserve">Alınan render dosyası oynatılarak kontrol edilir; Çalışmayı Çıktı Alma ünitesi tamamlanır.</t>
  </si>
  <si>
    <t xml:space="preserve">Render Araçları</t>
  </si>
  <si>
    <t xml:space="preserve">Eklenti olarak kullanılan çıktı (render) araçlarını açıklar.</t>
  </si>
  <si>
    <t xml:space="preserve">Yılın son haftası olduğu, tasarım araçlarından animasyon render almaya kadar yıl boyunca öğrenilen tüm sürecin kısa bir özetiyle derse başlanacağı söylenir.</t>
  </si>
  <si>
    <t xml:space="preserve">Eklenti olarak kullanılan çıktı (render) araçları tanıtılır; öğrenciler yıl boyunca hazırladıkları bir projeyi son kez render alarak tamamlar.</t>
  </si>
  <si>
    <t xml:space="preserve">Tamamlanan projeler toplanıp yıl boyunca gelişim genel olarak değerlendirilir, öğrencilere yıl sonu dönütü verilir.</t>
  </si>
  <si>
    <t xml:space="preserve">KALIPLAMA TEKNİĞİ (SEÇMELİ)</t>
  </si>
  <si>
    <t xml:space="preserve">İnbus (Silindir Başlı) ve Havşa Başlı Cıvatalar</t>
  </si>
  <si>
    <t xml:space="preserve">Sökülebilen birleştirme uygulamalarını açıklar.</t>
  </si>
  <si>
    <t xml:space="preserve">Öğretim yılının ilk dersi olduğu için önceki bir konu tekrarı yapılmaz; bunun yerine bir kalıbın parçalarının neden sökülüp takılabilir şekilde tasarlandığı sorulur. İnbus ve havşa başlı cıvata örnekleri sınıfa getirilir.</t>
  </si>
  <si>
    <t xml:space="preserve">İnbus (silindir başlı) ve havşa başlı cıvataların yapısı, kullanım yerleri ve sıkma teknikleri gösterilir; öğrenciler bir kalıp plakasında örnek cıvata bağlantısı uygulaması yapar.</t>
  </si>
  <si>
    <t xml:space="preserve">Yapılan bağlantının tork/sıkılık açısından uygunluğu kontrol edilir.</t>
  </si>
  <si>
    <t xml:space="preserve">Makine Bakım Onarım Atölyesi, standart kalıp elemanları katalogları, kalıp maketleri, imalat resmi/çizim takımları, bilgisayar (CAD programı), ölçü ve kontrol aletleri, akıllı tahta/projeksiyon, İSG koruyucu donanımlar</t>
  </si>
  <si>
    <t xml:space="preserve">Setskurlar ve Bilyalı Setskurlar</t>
  </si>
  <si>
    <t xml:space="preserve">Geçen haftaki cıvatalar hatırlatılır; bir burcun mile göre nasıl sabitlendiği sorulur; setskur örnekleri gösterilir.</t>
  </si>
  <si>
    <t xml:space="preserve">Setskurlar ve bilyalı setskurların yapısı ve kullanım amacı (burç/maça sabitleme) gösterilir; öğrenciler örnek bir setskur uygulaması yapar.</t>
  </si>
  <si>
    <t xml:space="preserve">Sökülebilen Birleştirmeler ünitesi genel bir değerlendirmeyle tamamlanır.</t>
  </si>
  <si>
    <t xml:space="preserve">Burçların İmalat Resmi (Şapkalı, Kuyruklu Şapkalı, Ortadan Flanşlı)</t>
  </si>
  <si>
    <t xml:space="preserve">Kalıp elemanları imalat resimlerinin çizimini yapar.</t>
  </si>
  <si>
    <t xml:space="preserve">Kalıp içinde milin döndüğü/kaydığı yuvanın (burç) nasıl çizileceği sorulur; şapkalı burç örneği gösterilir.</t>
  </si>
  <si>
    <t xml:space="preserve">Şapkalı, kuyruklu şapkalı ve ortadan flanşlı burçların imalat resmi çizim kuralları (ölçülendirme, tolerans) gösterilip uygulatılır.</t>
  </si>
  <si>
    <t xml:space="preserve">Çizilen burç resmi standart ölçülerle karşılaştırılır.</t>
  </si>
  <si>
    <t xml:space="preserve">Kolonların İmalat Resmi (Şapkalı, Şapkalı Kademeli, Şapkalı Kuyruklu Kademeli)</t>
  </si>
  <si>
    <t xml:space="preserve">Geçen haftaki burç çizimi hatırlatılır; iki kalıp plakasının birbirine paralel açılıp kapanmasını sağlayan elemanın (kolon) nasıl çizileceği sorulur.</t>
  </si>
  <si>
    <t xml:space="preserve">Şapkalı, şapkalı kademeli ve şapkalı kuyruklu kademeli kolonların imalat resmi çizimi gösterilip uygulatılır.</t>
  </si>
  <si>
    <t xml:space="preserve">Çizilen kolon resmi burç ölçüleriyle uyumu açısından kontrol edilir.</t>
  </si>
  <si>
    <t xml:space="preserve">İtici Pimlerin İmalat Resmi (Silindir Başlı, Geri İtici, Havşa Başlı, Lama, Boru İtici)</t>
  </si>
  <si>
    <t xml:space="preserve">Kalıptan üretilen parçanın kalıptan nasıl dışarı itildiği sorulur; itici pim örnekleri gösterilir.</t>
  </si>
  <si>
    <t xml:space="preserve">Silindir başlı, geri itici, havşa başlı, lama ve boru itici pimlerin imalat resmi çizimi gösterilip uygulatılır.</t>
  </si>
  <si>
    <t xml:space="preserve">Çizilen itici pim resimleri kontrol edilir.</t>
  </si>
  <si>
    <t xml:space="preserve">Yolluk Memesi ve Kalıp Yaylarının İmalat Resmi (Parça Listesi Uygulaması)</t>
  </si>
  <si>
    <t xml:space="preserve">Geçen haftaki itici pimler hatırlatılır; eriyik malzemenin kalıba nereden girdiği sorulur; yolluk memesi örneği gösterilir.</t>
  </si>
  <si>
    <t xml:space="preserve">Yolluk memesi ve kalıp yaylarının imalat resmi çizimi gösterilir; şimdiye kadar çizilen tüm standart parçaların bir parça listesi tablosunda toplanması uygulaması yaptırılır.</t>
  </si>
  <si>
    <t xml:space="preserve">Hazırlanan parça listesi kontrol edilir; Kalıp Elemanları İmalat Resmi ünitesi tamamlanır.</t>
  </si>
  <si>
    <t xml:space="preserve">Üst Bağlama Plakası (Proje Uygulaması)</t>
  </si>
  <si>
    <t xml:space="preserve">Komple (montaj) resmini çizer.</t>
  </si>
  <si>
    <t xml:space="preserve">29 Ekim Cumhuriyet Bayramı nedeniyle kısa bir haftaya girildiği hatırlatılır; tek tek çizilen parçaların bir araya gelerek nasıl bir kalıp oluşturduğu sorulur; proje uygulamasına geçilir.</t>
  </si>
  <si>
    <t xml:space="preserve">Kalıbın en üst parçası olan üst bağlama plakasının imalat resmi çizimi, komple resme uygun ölçülendirilerek gösterilip uygulatılır.</t>
  </si>
  <si>
    <t xml:space="preserve">Çizilen üst bağlama plakası resmi kontrol edilir.</t>
  </si>
  <si>
    <t xml:space="preserve">Dişi Plaka (Proje Uygulaması)</t>
  </si>
  <si>
    <t xml:space="preserve">Geçen haftaki üst bağlama plakası hatırlatılır; ürünün şeklini veren dişi plakanın nasıl çizileceği sorulur.</t>
  </si>
  <si>
    <t xml:space="preserve">Dişi plakanın imalat resmi çizimi (boşluk ölçüleri, yerleştirme delikleri) gösterilip uygulatılır.</t>
  </si>
  <si>
    <t xml:space="preserve">Çizilen dişi plaka resmi üst bağlama plakasıyla uyumu açısından kontrol edilir.</t>
  </si>
  <si>
    <t xml:space="preserve">Sıyırıcı Plaka (Proje Uygulaması)</t>
  </si>
  <si>
    <t xml:space="preserve">10 Kasım Atatürk'ü Anma Günü anması sonrası, üretilen parçanın kalıptan nasıl sıyrılıp çıkarıldığı sorulur; sıyırıcı plaka örneği gösterilir.</t>
  </si>
  <si>
    <t xml:space="preserve">Sıyırıcı plakanın imalat resmi çizimi gösterilip uygulatılır.</t>
  </si>
  <si>
    <t xml:space="preserve">Çizilen sıyırıcı plaka resmi diğer plakalarla uyumu açısından kontrol edilir.</t>
  </si>
  <si>
    <t xml:space="preserve">Takozlar ve İtici Plakası (Proje Uygulaması)</t>
  </si>
  <si>
    <t xml:space="preserve">Ara tatil dönüşü kısa bir hatırlatmanın ardından, plakalar arasındaki mesafeyi sabitleyen elemanların (takoz) ve itmeyi sağlayan plakanın nasıl çizileceği sorulur.</t>
  </si>
  <si>
    <t xml:space="preserve">Takozların ve itici plakasının imalat resmi çizimi gösterilip uygulatılır.</t>
  </si>
  <si>
    <t xml:space="preserve">Çizilen takoz ve itici plaka resimleri kontrol edilir.</t>
  </si>
  <si>
    <t xml:space="preserve">İtici Destek Plakası ve Alt Bağlama Plakası (Proje Uygulaması)</t>
  </si>
  <si>
    <t xml:space="preserve">Geçen haftaki itici plaka hatırlatılır; iticileri destekleyen plaka ve kalıbın en alt parçasının (alt bağlama plakası) nasıl çizileceği sorulur.</t>
  </si>
  <si>
    <t xml:space="preserve">İtici destek plakası ve alt bağlama plakasının imalat resmi çizimi gösterilip uygulatılır.</t>
  </si>
  <si>
    <t xml:space="preserve">Çizilen alt bağlama plakası resmi üst bağlama plakasıyla karşılaştırılarak kontrol edilir.</t>
  </si>
  <si>
    <t xml:space="preserve">Silindirik Mil ve Kalıp Kilit Parçası (Proje Uygulaması)</t>
  </si>
  <si>
    <t xml:space="preserve">Plakalar arasında hareketi yönlendiren silindirik millerin ve kalıbı kapalı tutan kilit parçasının nasıl çizileceği sorulur.</t>
  </si>
  <si>
    <t xml:space="preserve">Silindirik mil ve kalıp kilit parçasının imalat resmi çizimi gösterilip uygulatılır.</t>
  </si>
  <si>
    <t xml:space="preserve">Çizilen mil ve kilit parçası resimleri kontrol edilir.</t>
  </si>
  <si>
    <t xml:space="preserve">Kalıp Montaj Teknik Resmi (Patlatılmış Montaj ve Montaj Listesi)</t>
  </si>
  <si>
    <t xml:space="preserve">Şimdiye kadar tek tek çizilen tüm plaka ve parçaların bir araya nasıl getirileceği sorulur; komple montaj resmine geçilir.</t>
  </si>
  <si>
    <t xml:space="preserve">Kalıp montaj teknik resmi (patlatılmış montaj görünümü) ve montaj listesi hazırlama teknikleri gösterilip uygulatılır.</t>
  </si>
  <si>
    <t xml:space="preserve">Hazırlanan patlatılmış montaj resmi ve montaj listesi kontrol edilir; Komple Resimler ünitesi tamamlanır.</t>
  </si>
  <si>
    <t xml:space="preserve">Genel Yapı, Islah, Sementasyon ve Otomat Çelikleri</t>
  </si>
  <si>
    <t xml:space="preserve">Kalıp imalatında kullanılacak malzemeleri seçer.</t>
  </si>
  <si>
    <t xml:space="preserve">Çizilen kalıp parçalarının hangi çelikten üretileceği sorulur; genel yapı çeliği, ıslah çeliği ve sementasyon çeliği örnekleri gösterilir.</t>
  </si>
  <si>
    <t xml:space="preserve">Genel yapı çelikleri, ıslah çelikleri, sementasyon çelikleri ve otomat çeliklerinin özellikleri ve kalıp plakaları için uygunluğu anlatılır.</t>
  </si>
  <si>
    <t xml:space="preserve">Öğrencilerden bir kalıp plakası için uygun çelik türünü seçmeleri istenir.</t>
  </si>
  <si>
    <t xml:space="preserve">Çelik ve malzeme tabloları/katalogları, örnek malzeme numuneleri, eğeler (elektrikli/pnömatik/elektronik), spiral taş ve zımparalar, gaztaşı, elmas pasta setleri, akıllı tahta/projeksiyon, bilgisayar, İSG koruyucu donanımlar</t>
  </si>
  <si>
    <t xml:space="preserve">Soğuk İş ve Sıcak İş Takım Çelikleri</t>
  </si>
  <si>
    <t xml:space="preserve">Geçen haftaki genel çelikler hatırlatılır; zımba ve dişi kalıp gibi kesici elemanların hangi çelikten yapılacağı sorulur.</t>
  </si>
  <si>
    <t xml:space="preserve">Soğuk iş ve sıcak iş takım çeliklerinin özellikleri ve kullanım yerleri (kesici/şekillendirici elemanlar) karşılaştırmalı olarak anlatılır.</t>
  </si>
  <si>
    <t xml:space="preserve">Öğrencilerden bir zımba parçası için uygun takım çeliğini seçmeleri istenir.</t>
  </si>
  <si>
    <t xml:space="preserve">Plastik Kalıp Çelikleri</t>
  </si>
  <si>
    <t xml:space="preserve">Geçen haftaki takım çelikleri hatırlatılır; plastik enjeksiyon kalıplarının hangi özel çelikten yapıldığı sorulur.</t>
  </si>
  <si>
    <t xml:space="preserve">Plastik kalıp çeliklerinin özellikleri (aşınma direnci, parlatılabilirlik) anlatılır.</t>
  </si>
  <si>
    <t xml:space="preserve">Kalıp İmalatında Kullanılacak Malzemeler (çelikler) ünitesi genel bir değerlendirmeyle tamamlanır.</t>
  </si>
  <si>
    <t xml:space="preserve">Bakır ve Kalay Alaşımları (Ağır Metaller)</t>
  </si>
  <si>
    <t xml:space="preserve">Kalıp özelliklerine göre demir olmayan malzemeleri seçer.</t>
  </si>
  <si>
    <t xml:space="preserve">Çelik dışında kalıp yatak ve burçlarında hangi malzemenin kullanıldığı sorulur; bronz örneği gösterilir.</t>
  </si>
  <si>
    <t xml:space="preserve">Bakır ve kalay alaşımları (bronz, pirinç) gibi ağır metallerin özellikleri ve kalıp elemanlarındaki kullanım yerleri anlatılır.</t>
  </si>
  <si>
    <t xml:space="preserve">Öğrencilerden bir kaymalı yatak için uygun bakır alaşımını seçmeleri istenir.</t>
  </si>
  <si>
    <t xml:space="preserve">Alüminyum, Magnezyum, Titanyum Alaşımları (Hafif Metaller) ve Plastikler</t>
  </si>
  <si>
    <t xml:space="preserve">Geçen haftaki ağır metaller hatırlatılır; hafif kalıp gövdelerinin hangi malzemeden yapılacağı sorulur.</t>
  </si>
  <si>
    <t xml:space="preserve">Alüminyum, magnezyum ve titanyum gibi hafif metaller ile plastik malzemelerin kalıpçılıktaki kullanım yerleri anlatılır.</t>
  </si>
  <si>
    <t xml:space="preserve">Öğrencilerden hafif bir kalıp gövdesi için uygun malzeme seçmeleri istenir.</t>
  </si>
  <si>
    <t xml:space="preserve">Kompozit Malzemeler (Plastik-Plastik, Plastik-Metal Fiber, Plastik-Cam Elyaf, Plastik-Köpük)</t>
  </si>
  <si>
    <t xml:space="preserve">Yarıyıl tatili dönüşü kısa bir hatırlatmayla derse başlanır; tek bir malzemenin yeterli olmadığı durumlarda ne kullanıldığı sorulur; kompozit malzeme örneği gösterilir.</t>
  </si>
  <si>
    <t xml:space="preserve">Plastik-plastik, plastik-metal fiber, plastik-cam elyaf ve plastik-köpük kompozit malzemelerin özellikleri ve kalıpçılıktaki kullanım alanları anlatılır.</t>
  </si>
  <si>
    <t xml:space="preserve">Demir Olmayan Malzemeler ünitesi genel bir değerlendirmeyle tamamlanır.</t>
  </si>
  <si>
    <t xml:space="preserve">Kalıp Parlatmada Malzeme Seçimi ve Sertleştirmenin Önemi</t>
  </si>
  <si>
    <t xml:space="preserve">Kalıp yüzeylerinin parlatılmasını yapar.</t>
  </si>
  <si>
    <t xml:space="preserve">Üretilen bir plastik parçanın kalıptan parlak çıkması için kalıp yüzeyinin nasıl hazırlandığı sorulur; parlatma kavramına geçilir.</t>
  </si>
  <si>
    <t xml:space="preserve">Kalıp parlatmada malzeme seçimi ve sertleştirmenin önemi anlatılır; sertliğin parlatma kalitesine etkisi örneklerle gösterilir.</t>
  </si>
  <si>
    <t xml:space="preserve">Öğrencilerden sert bir yüzeyin neden daha iyi parlatıldığını açıklamaları istenir.</t>
  </si>
  <si>
    <t xml:space="preserve">Yüzey İşleme Tekniği ve Eğe Çeşitleri (Elektrikli, Pnömatik, Elektronik)</t>
  </si>
  <si>
    <t xml:space="preserve">Geçen haftaki sertleştirme hatırlatılır; parlatmada kullanılan eğe çeşitleri sorulur.</t>
  </si>
  <si>
    <t xml:space="preserve">Yüzey işleme tekniği ve elektrikli, pnömatik, elektronik eğe çeşitleri tanıtılır; kullanım farkları gösterilir.</t>
  </si>
  <si>
    <t xml:space="preserve">Öğrencilerden farklı eğe türlerinin hangi aşamada kullanılacağını sıralamaları istenir.</t>
  </si>
  <si>
    <t xml:space="preserve">Spiral Taşlar ve Zımparalar (Tane Büyüklüğüne Göre)</t>
  </si>
  <si>
    <t xml:space="preserve">Geçen haftaki eğe çeşitleri hatırlatılır; eğeden sonraki aşamada hangi malzemelerin kullanıldığı sorulur.</t>
  </si>
  <si>
    <t xml:space="preserve">Spiral taşlar ve zımparaların tane büyüklüğüne göre sınıflandırılması ve kullanım sırası (kabadan inceye) anlatılır.</t>
  </si>
  <si>
    <t xml:space="preserve">Öğrencilerden tane büyüklüğü sıralamasını yapmaları istenir.</t>
  </si>
  <si>
    <t xml:space="preserve">Gaztaşları</t>
  </si>
  <si>
    <t xml:space="preserve">Tatil dönüşü kısa bir hatırlatmayla başlanır; zımparadan sonra yüzeyin nasıl daha da inceltileceği sorulur.</t>
  </si>
  <si>
    <t xml:space="preserve">Gaztaşlarının kullanım amacı ve tekniği anlatılır.</t>
  </si>
  <si>
    <t xml:space="preserve">Öğrencilerden gaztaşının hangi aşamada kullanılacağını tahmin etmeleri istenir.</t>
  </si>
  <si>
    <t xml:space="preserve">Elmas Pastalar ile Ön Parlatma (Vişne, Kahverengi, Kırmızı)</t>
  </si>
  <si>
    <t xml:space="preserve">Geçen haftaki gaztaşı hatırlatılır; son parlaklığın nasıl elde edildiği sorulur; elmas pasta renkleri gösterilir.</t>
  </si>
  <si>
    <t xml:space="preserve">Elmas pastalarla ön parlatma aşaması (vişne, kahverengi, kırmızı renk kodları ve kullanım sırası) anlatılır.</t>
  </si>
  <si>
    <t xml:space="preserve">Öğrencilerden ön parlatma renk sırasını sıralamaları istenir.</t>
  </si>
  <si>
    <t xml:space="preserve">Elmas Pastalar ile Son Parlatma (Portakal, Sarı, Beyaz)</t>
  </si>
  <si>
    <t xml:space="preserve">Geçen haftaki ön parlatma hatırlatılır; ayna gibi parlak yüzeyin nasıl elde edildiği sorulur.</t>
  </si>
  <si>
    <t xml:space="preserve">Elmas pastalarla son parlatma aşaması (portakal, sarı, beyaz renk kodları ve kullanım sırası) anlatılır.</t>
  </si>
  <si>
    <t xml:space="preserve">Kalıp Yüzeylerinin Parlatılması ünitesi genel bir değerlendirmeyle tamamlanır.</t>
  </si>
  <si>
    <t xml:space="preserve">Silindirik Parça İmalatı - İş Parçası Sıfır Noktası ve Kütük Seçimi</t>
  </si>
  <si>
    <t xml:space="preserve">Kalıp parçalarını imalat resimlerine göre hazırlar ve işler.</t>
  </si>
  <si>
    <t xml:space="preserve">Çizilen ve malzemesi seçilen bir kalıp parçasının CNC tornada nasıl üretileceği sorulur; kütük malzeme örnekleri gösterilir.</t>
  </si>
  <si>
    <t xml:space="preserve">İş parçası sıfır noktasının belirlenmesi ve işleme için uygun kütüğün seçilmesi gösterilip uygulatılır.</t>
  </si>
  <si>
    <t xml:space="preserve">Seçilen sıfır noktası ve kütük ölçüsü kontrol edilir.</t>
  </si>
  <si>
    <t xml:space="preserve">CNC Laboratuvarı, CAM/CNC simülasyon yazılımı, CNC torna ve freze tezgâhları, kesici takım ve bağlama aparatları, ölçme aletleri (kumpas, mikrometre, komparatör), bilgisayar, akıllı tahta/projeksiyon, İSG koruyucu donanımlar</t>
  </si>
  <si>
    <t xml:space="preserve">Silindirik Parça İmalatı - Ayna Ayakları ve Kesici Takım Tanımlama</t>
  </si>
  <si>
    <t xml:space="preserve">Geçen haftaki sıfır noktası ve kütük seçimi hatırlatılır; parçanın tezgâha nasıl bağlanacağı sorulur.</t>
  </si>
  <si>
    <t xml:space="preserve">Ayna ayaklarının konumlandırılması ve kesici takımların tezgâha tanıtılması gösterilip uygulatılır.</t>
  </si>
  <si>
    <t xml:space="preserve">Bağlanan parçanın ve tanımlanan takımın doğruluğu kontrol edilir.</t>
  </si>
  <si>
    <t xml:space="preserve">Silindirik Parça İmalatı - Alın Tornalama Ayarları</t>
  </si>
  <si>
    <t xml:space="preserve">Geçen haftaki takım tanımlama hatırlatılır; parçanın yüzeyinin ilk olarak nasıl düzleştirileceği sorulur.</t>
  </si>
  <si>
    <t xml:space="preserve">Alın tornalama ayarları (güvenli çalışma düzlemi, geçiş/linking ayarları) gösterilip uygulatılır.</t>
  </si>
  <si>
    <t xml:space="preserve">Alın tornalama simülasyonu kontrol edilir.</t>
  </si>
  <si>
    <t xml:space="preserve">Silindirik Parça İmalatı - Kaba Tornalama Ayarları</t>
  </si>
  <si>
    <t xml:space="preserve">Geçen haftaki alın tornalama hatırlatılır; parçadan büyük talaş kaldırma aşamasına (kaba tornalama) geçileceği söylenir.</t>
  </si>
  <si>
    <t xml:space="preserve">Kaba tornalama ayarları (takım, geometri, linking) gösterilip uygulatılır.</t>
  </si>
  <si>
    <t xml:space="preserve">Kaba tornalama simülasyonu kontrol edilir.</t>
  </si>
  <si>
    <t xml:space="preserve">Silindirik Parça İmalatı - İnce Tornalama Ayarları</t>
  </si>
  <si>
    <t xml:space="preserve">Geçen haftaki kaba tornalama hatırlatılır; son ölçü hassasiyetinin nasıl sağlanacağı (ince tornalama) sorulur.</t>
  </si>
  <si>
    <t xml:space="preserve">İnce tornalama ayarları ve turning part (parça sonlandırma) ayarları gösterilip uygulatılır.</t>
  </si>
  <si>
    <t xml:space="preserve">İnce tornalama simülasyonu kontrol edilir.</t>
  </si>
  <si>
    <t xml:space="preserve">Silindirik Parça İmalatı - Simülasyon ve Post Alma (CNC Kodu)</t>
  </si>
  <si>
    <t xml:space="preserve">Hazırlanan programın gerçek tezgâhta çalıştırılmadan önce nasıl test edileceği ve tezgâha nasıl aktarılacağı sorulur.</t>
  </si>
  <si>
    <t xml:space="preserve">Program simülasyonu yapılıp gerekirse düzeltilir; ardından post alma (CNC kodu üretme) işlemi gösterilip uygulatılır.</t>
  </si>
  <si>
    <t xml:space="preserve">Alınan CNC kodu kontrol edilir; Silindirik Parça İmalatı ünitesi tamamlanır.</t>
  </si>
  <si>
    <t xml:space="preserve">Prizmatik Parça İmalatı - Tasarım, Malzeme Seçimi ve İş Parçası Sabitleme</t>
  </si>
  <si>
    <t xml:space="preserve">Silindirik olmayan, köşeli/düz yüzeyli kalıp parçalarının (prizmatik parça) nasıl işleneceği sorulur.</t>
  </si>
  <si>
    <t xml:space="preserve">Prizmatik parça tasarımı, malzeme seçimi ve iş parçasının tezgâha sabitlenmesi gösterilip uygulatılır.</t>
  </si>
  <si>
    <t xml:space="preserve">Sabitlenen parçanın sağlamlığı kontrol edilir.</t>
  </si>
  <si>
    <t xml:space="preserve">Prizmatik Parça İmalatı - Kesme Yöntemi, Takım Seçimi ve Kesim Parametreleri</t>
  </si>
  <si>
    <t xml:space="preserve">Geçen haftaki iş parçası sabitleme hatırlatılır; prizmatik parçanın hangi kesme yöntemi ve takımla işleneceği sorulur.</t>
  </si>
  <si>
    <t xml:space="preserve">Kesme yöntemi, takım seçimi ve kesim parametrelerinin (devir, ilerleme) ayarlanması gösterilip uygulatılır.</t>
  </si>
  <si>
    <t xml:space="preserve">Seçilen parametreler kontrol edilir.</t>
  </si>
  <si>
    <t xml:space="preserve">Prizmatik Parça İmalatı - İşleme Kontrolü ve Son İşlemler</t>
  </si>
  <si>
    <t xml:space="preserve">Geçen haftaki kesim parametreleri hatırlatılır; işlenen prizmatik parçanın son kontrolünün nasıl yapılacağı sorulur.</t>
  </si>
  <si>
    <t xml:space="preserve">İşleme kontrolü ve son işlemler (çapak alma, temizlik) gösterilip uygulatılır.</t>
  </si>
  <si>
    <t xml:space="preserve">Tamamlanan prizmatik parça kontrol edilir; Prizmatik Parça İmalatı ünitesi tamamlanır.</t>
  </si>
  <si>
    <t xml:space="preserve">Ölçmenin Tanımı, Önemi ve Ölçümü Etkileyen Etkenler</t>
  </si>
  <si>
    <t xml:space="preserve">İmalatı yapılan kalıp parçalarının imalat resimlerine göre ölçme ve kontrolünü yapar.</t>
  </si>
  <si>
    <t xml:space="preserve">Üretilen bir kalıp parçasının imalat resmine uygun olup olmadığının nasıl anlaşılacağı sorulur; ölçme kavramına geçilir.</t>
  </si>
  <si>
    <t xml:space="preserve">Ölçmenin tanımı, önemi ve ölçümü etkileyen etkenler (sıcaklık, ölçüm hatası, aletin kalitesi) anlatılır.</t>
  </si>
  <si>
    <t xml:space="preserve">Öğrencilerden ölçümü etkileyen bir etken örneği vermeleri istenir.</t>
  </si>
  <si>
    <t xml:space="preserve">Ölçme Aletleri</t>
  </si>
  <si>
    <t xml:space="preserve">Geçen haftaki ölçüm etkenleri hatırlatılır; kalıp parçalarının ölçülmesinde hangi aletlerin kullanıldığı sorulur.</t>
  </si>
  <si>
    <t xml:space="preserve">Ölçme aletleri (kumpas, mikrometre, komparatör, mastar) kalıp parçası ölçümündeki kullanım yerleriyle tanıtılır.</t>
  </si>
  <si>
    <t xml:space="preserve">Öğrencilerden bir kalıp parçası için uygun ölçme aletini seçmeleri istenir.</t>
  </si>
  <si>
    <t xml:space="preserve">Kontrol</t>
  </si>
  <si>
    <t xml:space="preserve">Yılın son haftası olduğu, sökülebilir birleştirmelerden kalıp parçası ölçüm kontrolüne kadar yıl boyunca öğrenilen tüm sürecin kısa bir özetiyle derse başlanacağı söylenir.</t>
  </si>
  <si>
    <t xml:space="preserve">Üretilen kalıp parçalarının imalat resmine göre son kontrolü (boyut, yüzey, tolerans) uygulamalı olarak yaptırılır.</t>
  </si>
  <si>
    <t xml:space="preserve">Yıl boyunca üretilen ve kontrol edilen kalıp parçaları genel olarak değerlendirilir, öğrencilere yıl sonu dönütü verilir.</t>
  </si>
  <si>
    <t xml:space="preserve">MEKANİZMA ÇİZİMLERİ</t>
  </si>
  <si>
    <t xml:space="preserve">AMP 12-A</t>
  </si>
  <si>
    <t xml:space="preserve">KAYIŞ VE KASNAK MEKANİZMALARI - a. Kayış Çeşitleri</t>
  </si>
  <si>
    <t xml:space="preserve">Eksenler arası açı dikkate alınarak kayış tipi seçimi sağlanır.
Hassas güç aktarımında triger kayışların seçilmesi gerektiği açıklanır.
Küçük güçlerin iletiminde yuvarlak kayışların tercih edilmesi gerektiği gösterim yöntemi ile anlatılır.</t>
  </si>
  <si>
    <t xml:space="preserve">Öğretim yılının ilk dersi olduğu için önceki bir konu tekrarı yapılmaz; bunun yerine bir motorun hareketinin bir tekerleğe nasıl aktarıldığı sorulur. Farklı kayış örnekleri (düz, V, triger) sınıfa getirilir.</t>
  </si>
  <si>
    <t xml:space="preserve">Eksenler arası açıya göre kayış tipi seçimi anlatılır; hassas güç aktarımında triger kayışların, küçük güçlerde yuvarlak kayışların tercih edilmesi gösterim yöntemiyle anlatılır.</t>
  </si>
  <si>
    <t xml:space="preserve">Öğrencilerden verilen bir uygulama için uygun kayış tipini seçmeleri istenir.</t>
  </si>
  <si>
    <t xml:space="preserve">Teknik Resim Laboratuvarı, akıllı tahta/projeksiyon, bilgisayar, resim masası, örnek kayış-kasnak-kam model parçaları, çizim araç gereçleri, çizim kâğıtları</t>
  </si>
  <si>
    <t xml:space="preserve">a. Kayış Çeşitleri</t>
  </si>
  <si>
    <t xml:space="preserve">Eksenler arası açı dikkate alınarak kayış tipi seçimi sağlanır.
Hassas güç aktarımında triger kayışların seçilmesi gerektiği açıklanır.</t>
  </si>
  <si>
    <t xml:space="preserve">Geçen haftaki kayış tipi seçimi hatırlatılır; hassas güç aktarımı gerektiren bir sistemde hangi kayışın tercih edileceği sorulur.</t>
  </si>
  <si>
    <t xml:space="preserve">Eksenler arası açı dikkate alınarak kayış tipi seçimi farklı örneklerle pekiştirilir; triger kayışların özellikle senkron hareket gerektiren sistemlerde kullanımı anlatılır.</t>
  </si>
  <si>
    <t xml:space="preserve">Kayış Çeşitleri konusu genel bir değerlendirmeyle tamamlanır.</t>
  </si>
  <si>
    <t xml:space="preserve">b. Kayış Uzunluğu Hesabı</t>
  </si>
  <si>
    <t xml:space="preserve">Kayış uzunluğunu hesaplar.
Uzunluk hesabından önce iletim oranının belirlenmesi gerektiği açıklanır.
Eksenler arası mesafe dikkate alınarak kayış uzunluğu hesaplanması gerektiği açıklanır.</t>
  </si>
  <si>
    <t xml:space="preserve">Doğru kayış tipi seçildikten sonra doğru uzunluğun nasıl hesaplanacağı sorulur.</t>
  </si>
  <si>
    <t xml:space="preserve">Kayış uzunluğu hesabından önce iletim oranının belirlenmesi gerektiği anlatılır; öğrenciler örnek bir sistem için iletim oranı hesaplar.</t>
  </si>
  <si>
    <t xml:space="preserve">Hesaplanan iletim oranı kontrol edilir.</t>
  </si>
  <si>
    <t xml:space="preserve">Kayış uzunluğunu hesaplar.
Eksenler arası mesafe dikkate alınarak kayış uzunluğu hesaplanması gerektiği açıklanır.</t>
  </si>
  <si>
    <t xml:space="preserve">Geçen haftaki iletim oranı hatırlatılır; bu hafta eksenler arası mesafeye göre kayış uzunluğunun hesaplanacağı söylenir.</t>
  </si>
  <si>
    <t xml:space="preserve">Eksenler arası mesafe dikkate alınarak kayış uzunluğu hesaplama formülü gösterilir; öğrenciler örnek bir sistem için kayış uzunluğu hesaplar.</t>
  </si>
  <si>
    <t xml:space="preserve">Hesaplanan kayış uzunluğu kontrol edilir; Kayış Uzunluğu Hesabı konusu tamamlanır.</t>
  </si>
  <si>
    <t xml:space="preserve">Yük Taşıyıcı Kasnaklar - a. Basit Makaralar - b. Hareketli Makaralar</t>
  </si>
  <si>
    <t xml:space="preserve">Yük taşıyıcı kasnak resmi çizer.
Basit makara hesapları örnekler yapılarak anlatılır.
Hareketli makara hesapları önce yapılır sonra öğrencilerin yapması istenir.</t>
  </si>
  <si>
    <t xml:space="preserve">Bir yükü kaldırmak için kasnağın nasıl kullanıldığı sorulur; basit makara örneği gösterilir.</t>
  </si>
  <si>
    <t xml:space="preserve">Basit makara hesapları örneklerle anlatılır; hareketli makara hesapları önce öğretmen tarafından yapılır, sonra öğrencilerden yapmaları istenir.</t>
  </si>
  <si>
    <t xml:space="preserve">Öğrencilerin hesapladığı hareketli makara sonuçları kontrol edilir.</t>
  </si>
  <si>
    <t xml:space="preserve">c. Diferansiyel Palanga</t>
  </si>
  <si>
    <t xml:space="preserve">Diferansiyel palanga hesaplarını örnek hesaplamalar yapılarak anlatılır.
Kayış ve kasnak mekanizmalarının montaj resmini çizme işlemleri açıklanır.</t>
  </si>
  <si>
    <t xml:space="preserve">Geçen haftaki hareketli makara hatırlatılır; daha büyük bir kuvvet kazancı için birden fazla makaranın nasıl birleştirildiği sorulur.</t>
  </si>
  <si>
    <t xml:space="preserve">Diferansiyel palanga hesapları örneklerle anlatılır; kayış ve kasnak mekanizmalarının montaj resminin nasıl çizileceği gösterilir.</t>
  </si>
  <si>
    <t xml:space="preserve">Öğrencilerden diferansiyel palanga hesabı yapmaları istenir.</t>
  </si>
  <si>
    <t xml:space="preserve">Yük Taşıyıcı Kasnaklar</t>
  </si>
  <si>
    <t xml:space="preserve">Yük taşıyıcı kasnak resmi çizer.
Kayış ve kasnak mekanizmalarının montaj resmini çizme işlemleri açıklanır.
29 EKİM Cumhuriyet Bayramı</t>
  </si>
  <si>
    <t xml:space="preserve">29 Ekim Cumhuriyet Bayramı nedeniyle kısa bir haftaya girildiği hatırlatılır; geçen haftaki montaj resmi çizim tekniğinin bu hafta yük taşıyıcı kasnak resmine uygulanacağı söylenir.</t>
  </si>
  <si>
    <t xml:space="preserve">Yük taşıyıcı kasnak resminin çizim adımları gösterilir; öğrenciler kendi kasnak resimlerini çizer.</t>
  </si>
  <si>
    <t xml:space="preserve">Çizilen kasnak resmi kontrol edilir.</t>
  </si>
  <si>
    <t xml:space="preserve">Gerdirme Sistemleri</t>
  </si>
  <si>
    <t xml:space="preserve">Gerdirme sistemlerini tasarlar.
Kayışın kaymasını azaltarak sürtünmeyi arttırmak için gergi sistemlerinin kullanılması gerektiği anlatılır.</t>
  </si>
  <si>
    <t xml:space="preserve">Kayışın kasnak üzerinde kaymasının nasıl önlendiği sorulur; gerdirme sistemi örneği gösterilir.</t>
  </si>
  <si>
    <t xml:space="preserve">Kayışın kaymasını azaltıp sürtünmeyi artırmak için gergi sistemlerinin nasıl tasarlandığı anlatılır.</t>
  </si>
  <si>
    <t xml:space="preserve">Öğrencilerden bir gerdirme sistemi tasarım fikri paylaşmaları istenir.</t>
  </si>
  <si>
    <t xml:space="preserve">Gerdirme sistemlerinin montaj resimlerini çizer.
10 KASIM Atatürk'ü Anma Günü ve Atatürk Haftası</t>
  </si>
  <si>
    <t xml:space="preserve">10 Kasım Atatürk'ü Anma Günü anması sonrası, geçen haftaki gerdirme sistemi tasarımının bu hafta resme dönüştürüleceği söylenir.</t>
  </si>
  <si>
    <t xml:space="preserve">Gerdirme sistemlerinin montaj resminin çizimi gösterilip uygulatılır.</t>
  </si>
  <si>
    <t xml:space="preserve">Çizilen montaj resmi kontrol edilir.</t>
  </si>
  <si>
    <t xml:space="preserve">Gerdirme sistemlerinin montaj resimlerini çizer.</t>
  </si>
  <si>
    <t xml:space="preserve">Ara tatil dönüşü kısa bir hatırlatmanın ardından, geçen haftaki gerdirme sistemi montaj resminin bu hafta tamamlanacağı söylenir.</t>
  </si>
  <si>
    <t xml:space="preserve">Gerdirme sistemlerinin montaj resmi çizimine devam edilir; öğretmen bireysel dönüt verir.</t>
  </si>
  <si>
    <t xml:space="preserve">Tamamlanan montaj resmi kontrol edilir.</t>
  </si>
  <si>
    <t xml:space="preserve">Moment ve güç hesaplamaların yapılması için önce örnek hesaplamalar yapılır, sonra öğrencilerin yapması sağlanır.
Kayış kasnak tertibatı ile güç ve hareket aktarımı yapma işlemleri montajı yapılmış sistemler üzerinde açıklanır.</t>
  </si>
  <si>
    <t xml:space="preserve">Bir kayış-kasnak sisteminin ne kadar güç aktarabileceğinin nasıl hesaplandığı sorulur.</t>
  </si>
  <si>
    <t xml:space="preserve">Moment ve güç hesaplamaları için önce örnek hesaplama yapılır, sonra öğrenciler kendi hesaplarını yapar; montajı yapılmış sistemler üzerinde kayış-kasnak tertibatıyla güç ve hareket aktarımı gösterilir.</t>
  </si>
  <si>
    <t xml:space="preserve">Hesaplanan moment ve güç değerleri kontrol edilir; Gerdirme Sistemleri ünitesi tamamlanır.</t>
  </si>
  <si>
    <t xml:space="preserve">KAM MEKANİZMALARI - Kam Mekanizmalarının Sınıflandırılması - a. Hareket Modu - b. İzleyici Biçimi - c. İzleyicinin Yerleşimi - 3. Kam Elemanları</t>
  </si>
  <si>
    <t xml:space="preserve">Kam tertibatının hareketinin kamın şekline bağlı olduğu açıklanır.
Kam mekanizması elemanlarını seçer.
Kam mekanizmasında kullanılan elemanları açıklar.</t>
  </si>
  <si>
    <t xml:space="preserve">Dönen bir milin hareketini düzensiz/özel bir harekete nasıl dönüştürdüğümüz sorulur; kam mekanizması örneği gösterilir.</t>
  </si>
  <si>
    <t xml:space="preserve">Kam tertibatının hareketinin kamın şekline bağlı olduğu anlatılır; kam mekanizması elemanları (kam, izleyici, yay) tanıtılır.</t>
  </si>
  <si>
    <t xml:space="preserve">Öğrencilerden bir kam mekanizması örneği (motor supap sistemi gibi) paylaşmaları istenir.</t>
  </si>
  <si>
    <t xml:space="preserve">3. Kam Elemanları</t>
  </si>
  <si>
    <t xml:space="preserve">Kam mekanizması elemanlarını seçer.
Kam mekanizmasında kullanılan elemanları açıklar.
Kam izleyicisinin hareket periyotları açıklanır.</t>
  </si>
  <si>
    <t xml:space="preserve">Geçen haftaki kam elemanları hatırlatılır; izleyicinin hareketinin zamana göre nasıl değiştiği sorulur.</t>
  </si>
  <si>
    <t xml:space="preserve">Kam mekanizması elemanlarının seçimi tekrar örneklerle gösterilir; kam izleyicisinin hareket periyotları (yükselme, durma, alçalma) anlatılır.</t>
  </si>
  <si>
    <t xml:space="preserve">Öğrencilerden bir hareket periyodu örneği çizmeleri istenir.</t>
  </si>
  <si>
    <t xml:space="preserve">Kam mekanizması elemanlarını seçer.
Kam izleyicisinin hareket periyotları açıklanır.</t>
  </si>
  <si>
    <t xml:space="preserve">Geçen haftaki hareket periyotları hatırlatılır; bu hafta farklı bir kam mekanizması ile pekiştirileceği söylenir.</t>
  </si>
  <si>
    <t xml:space="preserve">Farklı bir kam mekanizması için eleman seçimi ve hareket periyodu belirleme uygulaması tekrarlanır.</t>
  </si>
  <si>
    <t xml:space="preserve">Kam Elemanları konusu genel bir değerlendirmeyle tamamlanır.</t>
  </si>
  <si>
    <t xml:space="preserve">4. Kam Diyagramı Çizimi</t>
  </si>
  <si>
    <t xml:space="preserve">Kam diyagramı çizimindeki işlem sırası açıklanır.
Temel daire kavramı açıklanır.</t>
  </si>
  <si>
    <t xml:space="preserve">Kam izleyicisinin hareketinin grafiksel olarak nasıl gösterildiği sorulur; kam diyagramı kavramına geçilir.</t>
  </si>
  <si>
    <t xml:space="preserve">Kam diyagramı çizimindeki işlem sırası ve temel daire kavramı anlatılır.</t>
  </si>
  <si>
    <t xml:space="preserve">Öğrencilerden temel daireyi çizmeleri istenir.</t>
  </si>
  <si>
    <t xml:space="preserve">Geçen haftaki temel daire hatırlatılır; kam diyagramının nasıl tamamlanacağı sorulur.</t>
  </si>
  <si>
    <t xml:space="preserve">Kam diyagramı çizim işlem sırası tekrar gösterilir; öğrenciler kendi kam diyagramlarını tamamlar.</t>
  </si>
  <si>
    <t xml:space="preserve">Tamamlanan kam diyagramları kontrol edilir; Kam Diyagramı Çizimi konusu tamamlanır.</t>
  </si>
  <si>
    <t xml:space="preserve">Kam Mekanizması Montaj Resmi</t>
  </si>
  <si>
    <t xml:space="preserve">Kam mekanizması montaj resmini çizer.
Kam mekanizması elemanlarını çizme işlem sırası açıklanır.</t>
  </si>
  <si>
    <t xml:space="preserve">Çizilen kam diyagramının gerçek bir kam mekanizması montaj resmine nasıl dönüştürüleceği sorulur.</t>
  </si>
  <si>
    <t xml:space="preserve">Kam mekanizması elemanlarının çizim işlem sırası gösterilir; öğrenciler kam mekanizması montaj resmi çizimine başlar.</t>
  </si>
  <si>
    <t xml:space="preserve">Başlanan montaj resmi kontrol edilir.</t>
  </si>
  <si>
    <t xml:space="preserve">Kam mekanizması montaj resmini çizer.
Kam mekanizmaları montaj resmi çizme işlem sırası çizilerek gösterilir sonra öğrencilerin çizmesi sağlanır.</t>
  </si>
  <si>
    <t xml:space="preserve">Geçen hafta başlanan kam mekanizması montaj resminin bu hafta tamamlanacağı söylenir.</t>
  </si>
  <si>
    <t xml:space="preserve">Kam mekanizmaları montaj resmi çizme işlem sırası önce gösterilir, sonra öğrenciler kendi resimlerini tamamlar.</t>
  </si>
  <si>
    <t xml:space="preserve">1. dönem sonu genel bir değerlendirme yapılır; Kam Mekanizması Montaj Resmi ünitesi tamamlanır.</t>
  </si>
  <si>
    <t xml:space="preserve">HAREKET VE GÜÇ AKTARAN MEKANİZMALAR - Uzuvlar ve Mafsallar - Mafsal Çeşitleri - Kinematik Zincirler - Düzlemsel Hareket Yapan Mekanizmaların Çeşitleri</t>
  </si>
  <si>
    <t xml:space="preserve">Düzlemsel hareket yapan mekanizmalara dair örnek animasyonlar gösterilir.
Düzlemsel hareket yapan mekanizma resimlerinin çizilmesi sağlanır.
Düzlemsel hareket yapan mekanizmaların çeşitlerini tanır.</t>
  </si>
  <si>
    <t xml:space="preserve">Yarıyıl tatili dönüşü kısa bir hatırlatmayla derse başlanır; bir düzlem içinde hareket eden mekanizmaların neler olduğu sorulur; örnek animasyonlar izletilir.</t>
  </si>
  <si>
    <t xml:space="preserve">Düzlemsel hareket yapan mekanizmalara dair örnek animasyonlar gösterilir; uzuvlar, mafsallar, mafsal çeşitleri ve kinematik zincirler tanıtılır.</t>
  </si>
  <si>
    <t xml:space="preserve">Öğrencilerden izledikleri animasyondan bir mekanizma çeşidi tanımlamaları istenir.</t>
  </si>
  <si>
    <t xml:space="preserve">Düzlemsel Hareket Yapan Mekanizmaların Çeşitleri</t>
  </si>
  <si>
    <t xml:space="preserve">Düzlemsel hareket yapan mekanizmaların çeşitlerini tanır.
Düzlemsel hareket yapan mekanizma resimlerinin çizilmesi sağlanır.</t>
  </si>
  <si>
    <t xml:space="preserve">Geçen haftaki düzlemsel mekanizma çeşitleri hatırlatılır; bu hafta bunların resminin çizileceği söylenir.</t>
  </si>
  <si>
    <t xml:space="preserve">Düzlemsel hareket yapan mekanizma çeşitleri tekrar örneklerle gösterilir; öğrenciler bir düzlemsel mekanizma resmi çizer.</t>
  </si>
  <si>
    <t xml:space="preserve">Çizilen resim kontrol edilir; Düzlemsel Hareket Yapan Mekanizmaların Çeşitleri konusu tamamlanır.</t>
  </si>
  <si>
    <t xml:space="preserve">Salınım Hareketi Yapan Mekanizmalar - Dört Çubuk Mekanizması - Grashof Teoremi</t>
  </si>
  <si>
    <t xml:space="preserve">Salınım hareketi yapan mekanizmaların çizilmesi sağlanır.</t>
  </si>
  <si>
    <t xml:space="preserve">Tam tur dönmeyen, ileri-geri sallanan mekanizmaların (salınım) nasıl çizileceği sorulur; dört çubuk mekanizması örneği gösterilir.</t>
  </si>
  <si>
    <t xml:space="preserve">Salınım hareketi yapan mekanizmaların çizimi gösterilir; dört çubuk mekanizması ve Grashof teoremi (hangi çubuğun tam tur dönebileceğini belirleyen kural) anlatılır.</t>
  </si>
  <si>
    <t xml:space="preserve">Öğrencilerden Grashof teoremini kısaca özetlemeleri istenir.</t>
  </si>
  <si>
    <t xml:space="preserve">Salınım Hareketi Yapan Mekanizmalar</t>
  </si>
  <si>
    <t xml:space="preserve">Geçen haftaki Grashof teoremi hatırlatılır; bu hafta farklı bir salınım mekanizması ile pekiştirileceği söylenir.</t>
  </si>
  <si>
    <t xml:space="preserve">Farklı bir dört çubuk mekanizmasının resmi çizdirilir.</t>
  </si>
  <si>
    <t xml:space="preserve">Salınım Hareketi Yapan Mekanizmalar ünitesi genel bir değerlendirmeyle tamamlanır.</t>
  </si>
  <si>
    <t xml:space="preserve">Hızlı Dönüş Mekanizması</t>
  </si>
  <si>
    <t xml:space="preserve">Hızlı dönüş mekanizmalarının çizilmesi sağlanır.</t>
  </si>
  <si>
    <t xml:space="preserve">Tatil dönüşü kısa bir hatırlatmayla başlanır; bazı mekanizmaların girdi hareketinden çok daha hızlı bir çıktı hareketi ürettiği sorulur; hızlı dönüş mekanizması örneği gösterilir.</t>
  </si>
  <si>
    <t xml:space="preserve">Hızlı dönüş mekanizmasının çalışma prensibi anlatılır; öğrenciler bu mekanizmanın resmini çizer.</t>
  </si>
  <si>
    <t xml:space="preserve">Çizilen resim kontrol edilir.</t>
  </si>
  <si>
    <t xml:space="preserve">Geçen haftaki hızlı dönüş mekanizması hatırlatılır; bu hafta pekiştirileceği söylenir.</t>
  </si>
  <si>
    <t xml:space="preserve">Farklı bir hızlı dönüş mekanizması örneği çizdirilir.</t>
  </si>
  <si>
    <t xml:space="preserve">Hızlı Dönüş Mekanizması ünitesi genel bir değerlendirmeyle tamamlanır.</t>
  </si>
  <si>
    <t xml:space="preserve">Kam ve İzleyici Mekanizması - Düz Dişli-Kremayer Dişli Mekanizması</t>
  </si>
  <si>
    <t xml:space="preserve">Düz-kremayer dişli mekanizması sistemler üzerinde önce gösterilir sonra öğrencilere çizdirilir.
Kam ve izleyici mekanizmaları sistemler üzerinde önce gösterilir sonra öğrencilere çizdirilir.</t>
  </si>
  <si>
    <t xml:space="preserve">Dönme hareketinin doğrusal harekete nasıl çevrildiği sorulur; düz dişli-kremayer mekanizması örneği gösterilir.</t>
  </si>
  <si>
    <t xml:space="preserve">Kam ve izleyici mekanizmaları sistemler üzerinde önce gösterilir, sonra öğrencilere çizdirilir; düz dişli-kremayer dişli mekanizması aynı şekilde önce gösterilip sonra çizdirilir.</t>
  </si>
  <si>
    <t xml:space="preserve">Çizilen iki mekanizma resmi karşılaştırılarak kontrol edilir.</t>
  </si>
  <si>
    <t xml:space="preserve">Doğrusal Hareketlendirici Mekanizmalar</t>
  </si>
  <si>
    <t xml:space="preserve">Doğrusal hareketlendirici mekanizmalar sistemler üzerinde önce gösterilir sonra öğrencilere çizdirilir.</t>
  </si>
  <si>
    <t xml:space="preserve">Geçen haftaki kremayer mekanizması hatırlatılır; doğrusal hareket veren başka mekanizmaların neler olduğu sorulur.</t>
  </si>
  <si>
    <t xml:space="preserve">Doğrusal hareketlendirici mekanizmalar sistemler üzerinde önce gösterilir, sonra öğrencilere çizdirilir.</t>
  </si>
  <si>
    <t xml:space="preserve">Doğrusal hareketlendirici mekanizmalar sistemler üzerinde önce gösterilir sonra öğrencilere çizdirilir.
23 NİSAN Ulusal Egemenlik ve Çocuk Bayramı</t>
  </si>
  <si>
    <t xml:space="preserve">23 Nisan haftasına denk gelen bu haftada, geçen haftaki doğrusal hareketlendirici mekanizmanın farklı bir örnekle pekiştirileceği söylenir.</t>
  </si>
  <si>
    <t xml:space="preserve">Farklı bir doğrusal hareketlendirici mekanizma sistem üzerinde gösterilip çizdirilir.</t>
  </si>
  <si>
    <t xml:space="preserve">Doğrusal Hareketlendirici Mekanizmalar ünitesi genel bir değerlendirmeyle tamamlanır.</t>
  </si>
  <si>
    <t xml:space="preserve">Dairesel Hareket Mekanizmaları</t>
  </si>
  <si>
    <t xml:space="preserve">Dairesel hareket yapan mekanizmaların montaj resmini çizer.
Dairesel hareket yapan mekanizma tipleri örneklerle anlatılır.</t>
  </si>
  <si>
    <t xml:space="preserve">Tam tur dönen mekanizmaların (dairesel hareket) montaj resminin nasıl çizileceği sorulur; örnekler gösterilir.</t>
  </si>
  <si>
    <t xml:space="preserve">Dairesel hareket yapan mekanizma tipleri örneklerle anlatılır; montaj resmi çizimine başlanır.</t>
  </si>
  <si>
    <t xml:space="preserve">Dairesel hareket yapan mekanizmaların montaj resimlerinin çizdirilmesi sağlanır.</t>
  </si>
  <si>
    <t xml:space="preserve">Geçen hafta başlanan dairesel hareket mekanizması montaj resminin bu hafta devam edeceği söylenir.</t>
  </si>
  <si>
    <t xml:space="preserve">Dairesel hareket yapan mekanizmaların montaj resmi çizimine devam edilir.</t>
  </si>
  <si>
    <t xml:space="preserve">Geçen haftaki montaj resmi hatırlatılır; bu hafta tamamlanacağı söylenir.</t>
  </si>
  <si>
    <t xml:space="preserve">Dairesel hareket yapan mekanizmaların montaj resmi tamamlanır; öğretmen bireysel dönüt verir.</t>
  </si>
  <si>
    <t xml:space="preserve">Dairesel Hareket Mekanizmaları ünitesi genel bir değerlendirmeyle tamamlanır.</t>
  </si>
  <si>
    <t xml:space="preserve">Kayma Hareketi Yapan Mekanizmalar</t>
  </si>
  <si>
    <t xml:space="preserve">Kayma hareketi yapan mekanizmaların montaj resmini çizer.
Kayma hareketi yapan mekanizmalara dair örnekler gösterilir.
19 MAYIS Atatürk'ü Anma Gençlik ve Spor Bayramı</t>
  </si>
  <si>
    <t xml:space="preserve">19 Mayıs kutlamasının ardından, bir parçanın bir yüzey üzerinde kayarak hareket ettiği mekanizmaların (kayma hareketi) montaj resmine geçileceği söylenir.</t>
  </si>
  <si>
    <t xml:space="preserve">Kayma hareketi yapan mekanizmalara dair örnekler gösterilir; montaj resmi çizimine başlanır.</t>
  </si>
  <si>
    <t xml:space="preserve">Kayma hareketi yapan mekanizmaların montaj resimlerinin çizilmesi sağlanır.</t>
  </si>
  <si>
    <t xml:space="preserve">Geçen hafta başlanan kayma hareketi mekanizması montaj resminin bu hafta devam edeceği söylenir.</t>
  </si>
  <si>
    <t xml:space="preserve">Kayma hareketi yapan mekanizmaların montaj resmi çizimine devam edilir.</t>
  </si>
  <si>
    <t xml:space="preserve">Kayma hareketi yapan mekanizmaların montaj resmi tamamlanır.</t>
  </si>
  <si>
    <t xml:space="preserve">Kayma Hareketi Yapan Mekanizmalar ünitesi genel bir değerlendirmeyle tamamlanır.</t>
  </si>
  <si>
    <t xml:space="preserve">Dairesel Hareketle Güç Aktarım Mekanizmaları</t>
  </si>
  <si>
    <t xml:space="preserve">Dairesel hareketle güç aktaran mekanizmaların montaj resmini çizer.
Güç aktaran mekanizmalara dair örnek modeller gösterilir.</t>
  </si>
  <si>
    <t xml:space="preserve">Yıl boyunca çizilen tüm mekanizmaların ortak amacının güç aktarmak olduğu hatırlatılarak son üniteye, dairesel hareketle güç aktarım mekanizmalarına geçilir.</t>
  </si>
  <si>
    <t xml:space="preserve">Güç aktaran mekanizmalara dair örnek modeller gösterilir; montaj resmi çizimine başlanır.</t>
  </si>
  <si>
    <t xml:space="preserve">Güç aktaran mekanizmaların montaj resimlerinin çizilmesi sağlanır.</t>
  </si>
  <si>
    <t xml:space="preserve">Geçen hafta başlanan güç aktarım mekanizması montaj resminin bu hafta devam edeceği söylenir.</t>
  </si>
  <si>
    <t xml:space="preserve">Dairesel hareketle güç aktarım mekanizmalarının montaj resmi çizimine devam edilir.</t>
  </si>
  <si>
    <t xml:space="preserve">Geçen haftaki montaj resmi hatırlatılır; bu hafta farklı bir güç aktarım mekanizmasıyla pekiştirileceği söylenir.</t>
  </si>
  <si>
    <t xml:space="preserve">Farklı bir güç aktarım mekanizmasının montaj resmi çizdirilir.</t>
  </si>
  <si>
    <t xml:space="preserve">Yılın son haftası olduğu, kayış-kasnaktan güç aktarım mekanizmalarına kadar yıl boyunca çizilen tüm mekanizmaların kısa bir özetiyle derse başlanacağı söylenir.</t>
  </si>
  <si>
    <t xml:space="preserve">Dairesel hareketle güç aktarım mekanizmalarının montaj resmi son kez çizdirilerek tamamlanır; öğretmen bireysel dönüt verir.</t>
  </si>
  <si>
    <t xml:space="preserve">Yıl boyunca çizilen tüm mekanizma resimleri genel olarak değerlendirilir, öğrencilere yıl sonu dönütü verilir.</t>
  </si>
  <si>
    <t xml:space="preserve">HİDROLİK-PNÖMATİK</t>
  </si>
  <si>
    <t xml:space="preserve">HİDROLİK PRENSİPLER - Hidrolik Prensipler</t>
  </si>
  <si>
    <t xml:space="preserve">Hidrolik ile ilgili temel terimleri açıklanır.
Hidroliğin tanımı, endüstrideki yeri ve önemi açıklanır.
Hidrolik sistemlerin üstünlükleri ve olumsuz yönleri açıklanır.
Hidrolikte kullanılan birimleri dönüştürmesi sağlanır.</t>
  </si>
  <si>
    <t xml:space="preserve">Öğretim yılının ilk dersi olduğu için önceki bir konu tekrarı yapılmaz; bunun yerine bir hidrolik krikonun küçük bir kuvvetle nasıl büyük bir yükü kaldırdığı sorularak hidroliğe giriş yapılır.</t>
  </si>
  <si>
    <t xml:space="preserve">Hidroliğin tanımı, endüstrideki yeri ve önemi anlatılır; hidrolik sistemlerin üstünlükleri ve olumsuz yönleri karşılaştırılır; hidrolikte kullanılan birimler (bar, litre/dakika) arası dönüşüm yaptırılır.</t>
  </si>
  <si>
    <t xml:space="preserve">Öğrencilerden verilen bir birim dönüşümünü yapmaları istenir.</t>
  </si>
  <si>
    <t xml:space="preserve">Anlatım, Gösteri, Soru-Cevap, Bireyselleştirilmiş Öğretim, Uygulama</t>
  </si>
  <si>
    <t xml:space="preserve">Hidrolik-Pnömatik Laboratuvarı, etkileşimli tahta/projeksiyon, bilgisayar, kompresör, hidrolik-pnömatik eğitim seti, kataloglar</t>
  </si>
  <si>
    <t xml:space="preserve">Hidrolik Prensipler</t>
  </si>
  <si>
    <t xml:space="preserve">Hidrostatik ile ilgili hesaplamaları yapar.
Hidrostatik prensipleri açıklanır.
Pascal kanunu ile ilgili hesapları yapması sağlanır.</t>
  </si>
  <si>
    <t xml:space="preserve">Geçen haftaki birimler hatırlatılır; durgun bir sıvının basıncının nasıl hesaplandığı sorulur.</t>
  </si>
  <si>
    <t xml:space="preserve">Hidrostatik prensipler ve Pascal kanunu (kapalı bir sıvıya uygulanan basıncın her yöne eşit iletilmesi) anlatılır; öğrenciler Pascal kanunuyla ilgili örnek hesaplamalar yapar.</t>
  </si>
  <si>
    <t xml:space="preserve">Hidrodinamik Prensipler</t>
  </si>
  <si>
    <t xml:space="preserve">Hidrodinamik ile ilgili hesaplamaları yapar.
Hidrodinamik prensipleri açıklanır.
Bernoulli prensibi ile ilgili hesapları yapması sağlanır.</t>
  </si>
  <si>
    <t xml:space="preserve">Geçen haftaki durgun sıvı (hidrostatik) hatırlatılır; hareket eden sıvının davranışının nasıl hesaplandığı sorulur.</t>
  </si>
  <si>
    <t xml:space="preserve">Hidrodinamik prensipler ve Bernoulli prensibi (hız arttıkça basıncın düşmesi) anlatılır; öğrenciler Bernoulli prensibiyle ilgili örnek hesaplamalar yapar.</t>
  </si>
  <si>
    <t xml:space="preserve">Süreklilik denklemi ile ilgili hesapları yapması sağlanır.</t>
  </si>
  <si>
    <t xml:space="preserve">Geçen haftaki Bernoulli prensibi hatırlatılır; bir borudaki akışkan miktarının neden sabit kaldığı sorulur.</t>
  </si>
  <si>
    <t xml:space="preserve">Süreklilik denklemi (kesit daraldıkça hızın artması) anlatılır; öğrenciler süreklilik denklemiyle ilgili hesaplamalar yapar.</t>
  </si>
  <si>
    <t xml:space="preserve">Hidrolik Prensipler ve Hidrodinamik Prensipler üniteleri genel bir değerlendirmeyle tamamlanır.</t>
  </si>
  <si>
    <t xml:space="preserve">Hidrolik Akışkanlar ve Yağlar</t>
  </si>
  <si>
    <t xml:space="preserve">Hidrolik sistemlerde uygun hidrolik yağ seçimi yapar.
Hidrolik yağın görevleri ve yağlarda aranan özellikleri açıklanır.
Hidrolik yağ çeşitleri açıklanır.
Hidrolik yağı kullanım yerine uygun şekilde seçmesi sağlanır.</t>
  </si>
  <si>
    <t xml:space="preserve">Hidrolik yağın görevleri ve aranan özellikleri (viskozite, yağlayıcılık) anlatılır; hidrolik yağ çeşitleri sınıflandırılır; kullanım yerine uygun yağ seçimi yaptırılır.</t>
  </si>
  <si>
    <t xml:space="preserve">Öğrencilerden verilen bir sistem için uygun hidrolik yağ seçmeleri istenir.</t>
  </si>
  <si>
    <t xml:space="preserve">Hidrolik Devrede Kullanılan Semboller</t>
  </si>
  <si>
    <t xml:space="preserve">Hidrolik sembollerini seçip kullanır.
Hidrolik devre çiziminde kullanılan hatlar ve semboller açıklanır.
Hidrolik devre sembollerini okuması sağlanır.
Hidrolik devre sembollerini çizmesi sağlanır.</t>
  </si>
  <si>
    <t xml:space="preserve">Bir hidrolik devrenin nasıl çizileceği sorulur; hidrolik semboller tanıtılır.</t>
  </si>
  <si>
    <t xml:space="preserve">Hidrolik devre çiziminde kullanılan hatlar ve semboller anlatılır; öğrenciler hidrolik devre sembollerini okuma ve çizme uygulaması yapar.</t>
  </si>
  <si>
    <t xml:space="preserve">Hidrolik Devreler</t>
  </si>
  <si>
    <t xml:space="preserve">Basit hidrolik devre çizer.
Hidrolik devre çizimi yapması sağlanır.
29 EKİM Cumhuriyet Bayramı</t>
  </si>
  <si>
    <t xml:space="preserve">29 Ekim Cumhuriyet Bayramı nedeniyle kısa bir haftaya girildiği hatırlatılır; öğrenilen sembollerin bir araya gelerek nasıl bir devre oluşturduğu sorulur.</t>
  </si>
  <si>
    <t xml:space="preserve">Basit bir hidrolik devrenin (pompa-valf-silindir) çizimi adım adım gösterilip uygulatılır.</t>
  </si>
  <si>
    <t xml:space="preserve">Çizilen devre kontrol edilir.</t>
  </si>
  <si>
    <t xml:space="preserve">Basit hidrolik devre çizer.
Hidrolik devre çizimi yapması sağlanır.</t>
  </si>
  <si>
    <t xml:space="preserve">Geçen hafta başlanan basit hidrolik devre çiziminin bu hafta tamamlanacağı söylenir.</t>
  </si>
  <si>
    <t xml:space="preserve">Basit hidrolik devre çizimi farklı bir örnekle tekrarlanır; öğretmen bireysel dönüt verir.</t>
  </si>
  <si>
    <t xml:space="preserve">Hidrolik Devreler ünitesi genel bir değerlendirmeyle tamamlanır.</t>
  </si>
  <si>
    <t xml:space="preserve">HİDROLİK DEVRE ELEMANLARI - Filtreler</t>
  </si>
  <si>
    <t xml:space="preserve">Yağ depolarının tanımı, görevi ve sembolü açıklanır.
Hidrolik yağ deposu seçiminin doğru olarak yapması sağlanır.
Isıtıcıların-soğutucuların görevi ve özellikleri açıklanır.
Filtrelerin görevi, sembolü, çeşitleri ve yapısal özellikleri açıklar.
10 KASIM Atatürk'ü Anma Günü ve Atatürk Haftası</t>
  </si>
  <si>
    <t xml:space="preserve">10 Kasım Atatürk'ü Anma Günü anması sonrası, hidrolik yağın nerede depolandığı ve nasıl temiz tutulduğu sorulur; yağ deposu ve filtre örnekleri gösterilir.</t>
  </si>
  <si>
    <t xml:space="preserve">Yağ depolarının tanımı, görevi ve sembolü anlatılır; ısıtıcı-soğutucuların görevi ve özellikleri açıklanır; filtrelerin görevi, sembolü, çeşitleri ve yapısal özellikleri anlatılır.</t>
  </si>
  <si>
    <t xml:space="preserve">Öğrencilerden bir hidrolik sistem için uygun yağ deposu özelliklerini sıralamaları istenir.</t>
  </si>
  <si>
    <t xml:space="preserve">Filtreler</t>
  </si>
  <si>
    <t xml:space="preserve">Hidrolik sistemde kullanılan filtreleri seçmesi sağlanır.
Hidrolik sistemde kullanılan filtre donanımlarını seçmesi sağlanır.</t>
  </si>
  <si>
    <t xml:space="preserve">Ara tatil dönüşü kısa bir hatırlatmanın ardından, geçen haftaki filtre çeşitlerinin bu hafta seçim kriterleriyle pekiştirileceği söylenir.</t>
  </si>
  <si>
    <t xml:space="preserve">Hidrolik sistemde kullanılan filtrelerin ve filtre donanımlarının seçimi örneklerle gösterilir.</t>
  </si>
  <si>
    <t xml:space="preserve">Öğrencilerden verilen bir sistem için uygun filtre seçmeleri istenir; Filtreler ünitesi tamamlanır.</t>
  </si>
  <si>
    <t xml:space="preserve">Hidrolik Pompalar</t>
  </si>
  <si>
    <t xml:space="preserve">Hidrolik pompaların seçimini ve ilgili hesaplamaları yapar.
Hidrolik pompaların görevleri, sembolü ve çeşitleri açıklanır.
Pompalarda debinin tanımı ve hesaplanması açıklanır.</t>
  </si>
  <si>
    <t xml:space="preserve">Hidrolik akışkanı sisteme kimin bastığı sorulur; pompa örnekleri gösterilir.</t>
  </si>
  <si>
    <t xml:space="preserve">Hidrolik pompaların görevleri, sembolü ve çeşitleri anlatılır; pompalarda debinin tanımı ve hesaplanması gösterilir.</t>
  </si>
  <si>
    <t xml:space="preserve">Öğrencilerden bir pompa için debi hesaplaması yapmaları istenir.</t>
  </si>
  <si>
    <t xml:space="preserve">Hidrolik pompaları karşılaştırması sağlanır.
Pompalarda debinin hesaplanması sağlanır.
Hidrolik pompaların verim hesabını yapması sağlanır.</t>
  </si>
  <si>
    <t xml:space="preserve">Geçen haftaki debi hesabı hatırlatılır; farklı pompaların birbirinden hangi yönlerden ayrıldığı sorulur.</t>
  </si>
  <si>
    <t xml:space="preserve">Hidrolik pompalar karşılaştırılır; debi hesaplaması tekrar pekiştirilir; hidrolik pompaların verim hesabı gösterilir.</t>
  </si>
  <si>
    <t xml:space="preserve">Verim hesaplaması sonuçları kontrol edilir.</t>
  </si>
  <si>
    <t xml:space="preserve">Hidrolik pompa seçiminin kullanım alanına uygun şekilde yapması sağlanır.</t>
  </si>
  <si>
    <t xml:space="preserve">Geçen haftaki verim hesabı hatırlatılır; hangi pompanın hangi kullanım alanına uygun olduğu sorulur.</t>
  </si>
  <si>
    <t xml:space="preserve">Hidrolik pompa seçiminin kullanım alanına uygun şekilde yapılması gösterilir.</t>
  </si>
  <si>
    <t xml:space="preserve">Öğrencilerden verilen bir uygulama için uygun pompa seçmeleri istenir; Hidrolik Pompalar ünitesi tamamlanır.</t>
  </si>
  <si>
    <t xml:space="preserve">Hidrolik Motorlar</t>
  </si>
  <si>
    <t xml:space="preserve">Hidrolik motorların seçimini ve ilgili hesaplamaları yapar.
Hidrolik motorların görevleri, çeşitleri ve sembolü açıklanır.
Hidrolik motor seçiminin kullanım alanına uygun şekilde yapması sağlanır.</t>
  </si>
  <si>
    <t xml:space="preserve">Hidrolik enerjinin dönme hareketine nasıl dönüştürüldüğü sorulur; hidrolik motor örnekleri gösterilir.</t>
  </si>
  <si>
    <t xml:space="preserve">Hidrolik motorların görevleri, çeşitleri ve sembolü anlatılır; kullanım alanına uygun motor seçimi gösterilir.</t>
  </si>
  <si>
    <t xml:space="preserve">Öğrencilerden verilen bir uygulama için uygun hidrolik motor seçmeleri istenir.</t>
  </si>
  <si>
    <t xml:space="preserve">Hidrolik motorlarda döndürme momentinin hesaplanmasının yapılması sağlanır.</t>
  </si>
  <si>
    <t xml:space="preserve">Geçen haftaki motor seçimi hatırlatılır; bir hidrolik motorun ne kadar döndürme momenti ürettiğinin nasıl hesaplandığı sorulur.</t>
  </si>
  <si>
    <t xml:space="preserve">Hidrolik motorlarda döndürme momenti hesaplaması gösterilip uygulatılır.</t>
  </si>
  <si>
    <t xml:space="preserve">Hesaplama sonuçları kontrol edilir; Hidrolik Motorlar ünitesi tamamlanır.</t>
  </si>
  <si>
    <t xml:space="preserve">Valfler</t>
  </si>
  <si>
    <t xml:space="preserve">Hidrolik valflerin seçimini yapar.
Valflerin görevleri, çeşitleri ve sembolü açıklanır.
Yön kontrol valflerinin sembollerinin çizmesi sağlanır.</t>
  </si>
  <si>
    <t xml:space="preserve">Bir hidrolik sistemde akışkanın yönünün nasıl kontrol edildiği sorulur; valf örnekleri gösterilir.</t>
  </si>
  <si>
    <t xml:space="preserve">Valflerin görevleri, çeşitleri ve sembolü anlatılır; yön kontrol valflerinin sembollerinin çizimi gösterilip uygulatılır.</t>
  </si>
  <si>
    <t xml:space="preserve">Çizilen yön kontrol valf sembolleri kontrol edilir.</t>
  </si>
  <si>
    <t xml:space="preserve">Basınç kontrol valflerini sembollerinin çizmesi sağlanır.
Akış kontrol valflerini sembollerinin çizmesi sağlanır.</t>
  </si>
  <si>
    <t xml:space="preserve">Geçen haftaki yön kontrol valfleri hatırlatılır; basınç ve akış miktarının da kontrol edilmesi gerektiği sorulur.</t>
  </si>
  <si>
    <t xml:space="preserve">Basınç kontrol valfleri ve akış kontrol valflerinin sembollerinin çizimi gösterilip uygulatılır.</t>
  </si>
  <si>
    <t xml:space="preserve">Çizilen semboller kontrol edilir.</t>
  </si>
  <si>
    <t xml:space="preserve">Hidrolik valflerin seçimini yapar.
Valflerin görevleri, çeşitleri ve sembolü açıklanır.</t>
  </si>
  <si>
    <t xml:space="preserve">Geçen haftaki valf sembolleri hatırlatılır; bu hafta valf seçiminin pekiştirileceği söylenir.</t>
  </si>
  <si>
    <t xml:space="preserve">Valflerin görevleri, çeşitleri ve sembolü farklı örneklerle tekrar gözden geçirilir; öğrenciler verilen bir sistem için uygun valf seçer.</t>
  </si>
  <si>
    <t xml:space="preserve">1. dönem sonu genel bir değerlendirme yapılır; Valfler ünitesi tamamlanır.</t>
  </si>
  <si>
    <t xml:space="preserve">Hidrolik Silindirler</t>
  </si>
  <si>
    <t xml:space="preserve">Hidrolik silindirlerin seçimini ve ilgili hesaplamaları yapar.
Hidrolik silindirlerin görevleri, çeşitleri ve sembolü açıklanır.
Hidrolik silindirler ile ilgili hesaplamaları yapması sağlanır.</t>
  </si>
  <si>
    <t xml:space="preserve">Yarıyıl tatili dönüşü kısa bir hatırlatmayla derse başlanır; hidrolik enerjinin doğrusal harekete nasıl dönüştüğü sorulur; hidrolik silindir örnekleri gösterilir.</t>
  </si>
  <si>
    <t xml:space="preserve">Hidrolik silindirlerin görevleri, çeşitleri ve sembolü anlatılır; silindirlerle ilgili hesaplamalar (kuvvet, hız) gösterilip uygulatılır.</t>
  </si>
  <si>
    <t xml:space="preserve">Hidrolik silindirlerin kullanım alanına uygun şekilde seçmesi sağlanır.</t>
  </si>
  <si>
    <t xml:space="preserve">Geçen haftaki silindir hesapları hatırlatılır; hangi silindirin hangi kullanım alanına uygun olduğu sorulur.</t>
  </si>
  <si>
    <t xml:space="preserve">Hidrolik silindirlerin kullanım alanına uygun seçimi gösterilir.</t>
  </si>
  <si>
    <t xml:space="preserve">Öğrencilerden verilen bir uygulama için uygun silindir seçmeleri istenir; Hidrolik Silindirler ünitesi tamamlanır.</t>
  </si>
  <si>
    <t xml:space="preserve">Borular ve Hortumlar</t>
  </si>
  <si>
    <t xml:space="preserve">Hidrolik boru, hortum ve bağlantı elemanlarının seçimini ve ilgili hesaplamaları yapar.
Hidrolik akış türleri açıklanır.
Borular ve hortumların yapısal özellikleri açıklanır.</t>
  </si>
  <si>
    <t xml:space="preserve">Hidrolik akışkanın pompa ile silindir arasında nasıl taşındığı sorulur; boru ve hortum örnekleri gösterilir.</t>
  </si>
  <si>
    <t xml:space="preserve">Hidrolik akış türleri (laminer, türbülanslı) anlatılır; boru ve hortumların yapısal özellikleri açıklanır.</t>
  </si>
  <si>
    <t xml:space="preserve">Öğrencilerden laminer ve türbülanslı akış arasındaki farkı özetlemeleri istenir.</t>
  </si>
  <si>
    <t xml:space="preserve">Boru seçiminde ve montajında dikkat edilecek hususlar açıklanır.
Hidrolik sistemde kullanılan sızdırmazlık elemanları ve manometrelerin sembollerini çizmesi sağlanır.</t>
  </si>
  <si>
    <t xml:space="preserve">Geçen haftaki akış türleri hatırlatılır; boru seçiminde nelere dikkat edileceği sorulur.</t>
  </si>
  <si>
    <t xml:space="preserve">Boru seçiminde ve montajında dikkat edilecek hususlar anlatılır; sızdırmazlık elemanları ve manometrelerin sembollerinin çizimi gösterilip uygulatılır.</t>
  </si>
  <si>
    <t xml:space="preserve">Hidrolik borular ile ilgili hesapları yapması sağlanır.
Hidrolik boruların kullanım alanına uygun şekilde yapması sağlanır.</t>
  </si>
  <si>
    <t xml:space="preserve">Tatil dönüşü kısa bir hatırlatmayla başlanır; bir hidrolik borusunun çapının nasıl hesaplandığı sorulur.</t>
  </si>
  <si>
    <t xml:space="preserve">Hidrolik borularla ilgili hesaplamalar (çap, et kalınlığı) gösterilir; boruların kullanım alanına uygun seçimi yaptırılır.</t>
  </si>
  <si>
    <t xml:space="preserve">Öğrencilerden verilen bir sistem için boru seçmeleri istenir; Borular ve Hortumlar ünitesi tamamlanır.</t>
  </si>
  <si>
    <t xml:space="preserve">Hidrolik Akümülatör</t>
  </si>
  <si>
    <t xml:space="preserve">Hidrolik akümülatörlerin seçimini ve bakımını yapar.
Hidrolik akümülatörlerin görevleri, çalışması ve sembolü açıklanır.
Hidrolik akümülatör çeşitlerini açıklanır.</t>
  </si>
  <si>
    <t xml:space="preserve">Bir hidrolik sistemde ani basınç değişimlerinin nasıl yumuşatıldığı sorulur; akümülatör örneği gösterilir.</t>
  </si>
  <si>
    <t xml:space="preserve">Hidrolik akümülatörlerin görevleri, çalışması ve sembolü anlatılır; akümülatör çeşitleri (yaylı, gazlı, ağırlıklı) sınıflandırılır.</t>
  </si>
  <si>
    <t xml:space="preserve">Öğrencilerden bir akümülatör çeşidi örneği paylaşmaları istenir.</t>
  </si>
  <si>
    <t xml:space="preserve">Hidrolik akümülatörlerle çalışırken dikkat edilmesi gereken hususlar açıklanır.
Hidrolik akümülatörlerin bakımı ve akümülatöre gaz doldurulması açıklanır.</t>
  </si>
  <si>
    <t xml:space="preserve">Geçen haftaki akümülatör çeşitleri hatırlatılır; akümülatörle çalışırken nelere dikkat edilmesi gerektiği sorulur.</t>
  </si>
  <si>
    <t xml:space="preserve">Hidrolik akümülatörlerle çalışırken dikkat edilmesi gereken hususlar (basınçlı gaz tehlikesi) anlatılır; akümülatör bakımı ve gaz doldurma işlemi gösterilir.</t>
  </si>
  <si>
    <t xml:space="preserve">Öğrencilerden akümülatör bakımında dikkat edilecek bir güvenlik kuralını söylemeleri istenir.</t>
  </si>
  <si>
    <t xml:space="preserve">Hidrolik akümülatörleri kullanım alanına uygun şekilde seçilmesi sağlanır.
Hidrolik akümülatörlerin kontrolünün yapılması sağlanır.</t>
  </si>
  <si>
    <t xml:space="preserve">Geçen haftaki akümülatör bakımı hatırlatılır; hangi akümülatörün hangi kullanım alanına uygun olduğu sorulur.</t>
  </si>
  <si>
    <t xml:space="preserve">Hidrolik akümülatörlerin kullanım alanına uygun seçimi ve kontrolü gösterilip uygulatılır.</t>
  </si>
  <si>
    <t xml:space="preserve">Hidrolik Akümülatör ünitesi genel bir değerlendirmeyle tamamlanır.</t>
  </si>
  <si>
    <t xml:space="preserve">PNÖMATİK - Pnömatik Silindirler</t>
  </si>
  <si>
    <t xml:space="preserve">Pnömatiğin tanımı ve temel prensipleri açıklanır.
Pnömatik sistemlerin üstün ve olumsuz yönleri sıralanır.
Pnömatik silindirlerin seçimini ve ilgili hesaplamaları yapar.
Pnömatik silindirlerin görevleri, çeşitleri ve simgesi açıklanır.
23 NİSAN Ulusal Egemenlik ve Çocuk Bayramı</t>
  </si>
  <si>
    <t xml:space="preserve">Hidrolikten farklı olarak sıvı yerine basınçlı hava kullanan pnömatik sistemlere geçileceği söylenir; pnömatik silindir örneği gösterilir.</t>
  </si>
  <si>
    <t xml:space="preserve">Pnömatiğin tanımı ve temel prensipleri, üstün ve olumsuz yönleri anlatılır; pnömatik silindirlerin görevleri, çeşitleri ve simgesi tanıtılır.</t>
  </si>
  <si>
    <t xml:space="preserve">Öğrencilerden hidrolik ile pnömatik silindir arasındaki temel farkı özetlemeleri istenir.</t>
  </si>
  <si>
    <t xml:space="preserve">Pnömatik Silindirler</t>
  </si>
  <si>
    <t xml:space="preserve">Pnömatik silindirlerde kuvvet iletiminin hesaplanması açıklanır.
Pnömatik silindirlerde oluşan kuvvetlerin hesaplaması sağlanır.</t>
  </si>
  <si>
    <t xml:space="preserve">Geçen haftaki pnömatik silindir hatırlatılır; bir pnömatik silindirin ürettiği kuvvetin nasıl hesaplandığı sorulur.</t>
  </si>
  <si>
    <t xml:space="preserve">Pnömatik silindirlerde kuvvet iletiminin hesaplanması gösterilip uygulatılır.</t>
  </si>
  <si>
    <t xml:space="preserve">Hesaplama sonuçları kontrol edilir; Pnömatik Silindirler ünitesi tamamlanır.</t>
  </si>
  <si>
    <t xml:space="preserve">Pnömatik Motorlar</t>
  </si>
  <si>
    <t xml:space="preserve">Pnömatik motorların seçimini ve ilgili hesaplamaları yapar.
Pnömatik motorların görevleri açıklanır.
Pnömatik motorların çeşitleri sıralanır.</t>
  </si>
  <si>
    <t xml:space="preserve">Basınçlı havanın dönme hareketine nasıl dönüştürüldüğü sorulur; pnömatik motor örnekleri gösterilir.</t>
  </si>
  <si>
    <t xml:space="preserve">Pnömatik motorların görevleri anlatılır; pnömatik motor çeşitleri (pistonlu, dişli, türbin) sıralanır.</t>
  </si>
  <si>
    <t xml:space="preserve">Öğrencilerden bir pnömatik motor çeşidi örneği vermeleri istenir.</t>
  </si>
  <si>
    <t xml:space="preserve">Pnömatik motorların tipinin belirlemesi sağlanır.</t>
  </si>
  <si>
    <t xml:space="preserve">Geçen haftaki motor çeşitleri hatırlatılır; hangi motorun hangi uygulamaya uygun olduğu sorulur.</t>
  </si>
  <si>
    <t xml:space="preserve">Pnömatik motorların tipinin belirlenmesi (kullanım alanına göre) gösterilir.</t>
  </si>
  <si>
    <t xml:space="preserve">Öğrencilerden verilen bir uygulama için uygun motor tipini seçmeleri istenir; Pnömatik Motorlar ünitesi tamamlanır.</t>
  </si>
  <si>
    <t xml:space="preserve">Pnömatik Valfler</t>
  </si>
  <si>
    <t xml:space="preserve">Pnömatik valflerin seçimini yapar.
Valflerin görevleri, çeşitleri ve sembolü açıklanır.
Yön kontrol valflerini sembollerle çizerek göstermesi sağlanır.
19 MAYIS Atatürk'ü Anma Gençlik ve Spor Bayramı</t>
  </si>
  <si>
    <t xml:space="preserve">19 Mayıs kutlamasının ardından, pnömatik sistemde de akış yönünün nasıl kontrol edildiği sorulur.</t>
  </si>
  <si>
    <t xml:space="preserve">Pnömatik valflerin görevleri, çeşitleri ve sembolü anlatılır; yön kontrol valflerinin sembollerle çizimi gösterilip uygulatılır.</t>
  </si>
  <si>
    <t xml:space="preserve">Basınç kontrol valflerini sembollerle çizerek göstermesi sağlanır.
Akış kontrol valflerini sembollerle çizerek göstermesi sağlanır.</t>
  </si>
  <si>
    <t xml:space="preserve">Geçen haftaki yön kontrol valfleri hatırlatılır; pnömatikte de basınç ve akış kontrolüne ihtiyaç olduğu sorulur.</t>
  </si>
  <si>
    <t xml:space="preserve">Basınç kontrol valfleri ve akış kontrol valflerinin sembollerle çizimi gösterilip uygulatılır.</t>
  </si>
  <si>
    <t xml:space="preserve">Çizilen semboller kontrol edilir; Pnömatik Valfler ünitesi tamamlanır.</t>
  </si>
  <si>
    <t xml:space="preserve">Pnömatik Devreler</t>
  </si>
  <si>
    <t xml:space="preserve">Pnömatik devre çizer.
Pnömatik devre çeşitleri açıklanır.
Pnömatik devre üzerindeki hatlar ve devrelerin ana kısımları açıklanır.</t>
  </si>
  <si>
    <t xml:space="preserve">Öğrenilen tüm pnömatik sembollerin bir araya gelerek nasıl bir devre oluşturduğu sorulur.</t>
  </si>
  <si>
    <t xml:space="preserve">Pnömatik devre çeşitleri anlatılır; pnömatik devre üzerindeki hatlar ve devrelerin ana kısımları (kompresör, valf, silindir) açıklanır. Öğrenciler basit bir pnömatik devre çizer.</t>
  </si>
  <si>
    <t xml:space="preserve">Pnömatik devre elemanlarının belirlenmesi sağlanır.
Pnömatik devre çizimi yapması sağlanır.</t>
  </si>
  <si>
    <t xml:space="preserve">Geçen hafta çizilen devre hatırlatılır; devre elemanlarının nasıl belirlendiği sorulur.</t>
  </si>
  <si>
    <t xml:space="preserve">Pnömatik devre elemanlarının belirlenmesi gösterilir; öğrenciler farklı bir pnömatik devre çizer.</t>
  </si>
  <si>
    <t xml:space="preserve">Çizilen devre kontrol edilir; Pnömatik Devreler ünitesi tamamlanır.</t>
  </si>
  <si>
    <t xml:space="preserve">Pnömatik Devrelerin Bakımı</t>
  </si>
  <si>
    <t xml:space="preserve">Pnömatik devrelerin bakımını yapar.
Pnömatik devrelerin bakımı açıklanır.
Pnömatik devrelerin bakım zamanları açıklanır.</t>
  </si>
  <si>
    <t xml:space="preserve">Bir pnömatik sistemin de düzenli bakıma ihtiyaç duyduğu sorulur.</t>
  </si>
  <si>
    <t xml:space="preserve">Pnömatik devrelerin bakımı ve bakım zamanları (günlük, haftalık, aylık) anlatılır.</t>
  </si>
  <si>
    <t xml:space="preserve">Öğrencilerden bir pnömatik bakım takvimi taslağı hazırlamaları istenir.</t>
  </si>
  <si>
    <t xml:space="preserve">Hidrolik ve pnömatik devrelerin günlük, haftalık ve aylık bakımlarının yapması sağlanır.</t>
  </si>
  <si>
    <t xml:space="preserve">Geçen haftaki bakım takvimi hatırlatılır; hidrolik ve pnömatik devrelerin bakımının birlikte nasıl planlanacağı sorulur.</t>
  </si>
  <si>
    <t xml:space="preserve">Hidrolik ve pnömatik devrelerin günlük, haftalık ve aylık bakımları uygulamalı olarak gösterilip yaptırılır.</t>
  </si>
  <si>
    <t xml:space="preserve">Yapılan bakım kayıtları kontrol edilir.</t>
  </si>
  <si>
    <t xml:space="preserve">Pnömatik devrelerin bakımını yapar.
Hidrolik ve pnömatik devrelerin günlük, haftalık ve aylık bakımlarının yapması sağlanır.</t>
  </si>
  <si>
    <t xml:space="preserve">Yılın son haftası olduğu, hidrolik prensiplerden pnömatik devre bakımına kadar yıl boyunca öğrenilen tüm sürecin kısa bir özetiyle derse başlanacağı söylenir.</t>
  </si>
  <si>
    <t xml:space="preserve">Pnömatik devrelerin bakımı son kez uygulamalı olarak yaptırılır; hidrolik ve pnömatik devrelerin günlük, haftalık ve aylık bakımları genel bir kontrol listesiyle gözden geçirilir.</t>
  </si>
  <si>
    <t xml:space="preserve">Yıl boyunca yapılan tüm hesaplama ve uygulamalar genel olarak değerlendirilir, öğrencilere yıl sonu dönütü verilir.</t>
  </si>
  <si>
    <t xml:space="preserve">MAKİNE ELEMANLARI</t>
  </si>
  <si>
    <t xml:space="preserve">BİRLEŞTİRME ELEMANLARI VE YAĞLAMA - Kamalar</t>
  </si>
  <si>
    <t xml:space="preserve">Kama ile birleştirme yapılması sağlanır.</t>
  </si>
  <si>
    <t xml:space="preserve">Öğretim yılının ilk dersi olduğu için önceki bir konu tekrarı yapılmaz; bunun yerine bir kasnağın bir mile dönmeden nasıl sabitlendiği sorulur; kama örnekleri gösterilir.</t>
  </si>
  <si>
    <t xml:space="preserve">Kama çeşitleri (paralel, eğik, yarım ay kama) ve kama ile birleştirme yapma teknikleri anlatılır; öğrenciler örnek bir kamalı birleştirme uygulaması yapar.</t>
  </si>
  <si>
    <t xml:space="preserve">Yapılan kamalı bağlantının sıkılığı kontrol edilir.</t>
  </si>
  <si>
    <t xml:space="preserve">Derslik ve Atölye, etkileşimli tahta/projeksiyon, sökülebilen/sökülemeyen birleştirme elemanları, yağlar ve yağlama aparatları, miller, muylular, kayış-kasnak-zincir sistemleri, kavrama sistemleri, el takımları, ölçü aletleri</t>
  </si>
  <si>
    <t xml:space="preserve">Pimler</t>
  </si>
  <si>
    <t xml:space="preserve">Pimleri kullanılması sağlanır.</t>
  </si>
  <si>
    <t xml:space="preserve">Geçen haftaki kama hatırlatılır; kamadan farklı olarak daha küçük parçaların pimle nasıl sabitlendiği sorulur.</t>
  </si>
  <si>
    <t xml:space="preserve">Pim çeşitleri ve pimlerin kullanım teknikleri anlatılır; öğrenciler örnek bir pimli birleştirme uygulaması yapar.</t>
  </si>
  <si>
    <t xml:space="preserve">Yapılan pimli bağlantı kontrol edilir; Kamalar ve Pimler konuları tamamlanır.</t>
  </si>
  <si>
    <t xml:space="preserve">Vida, Cıvata ve Somunlar</t>
  </si>
  <si>
    <t xml:space="preserve">Vida, cıvata ve somun ile birleştirme yapılması sağlanır.</t>
  </si>
  <si>
    <t xml:space="preserve">Sökülebilir en yaygın bağlantı elemanının ne olduğu sorulur; vida, cıvata, somun örnekleri gösterilir.</t>
  </si>
  <si>
    <t xml:space="preserve">Vida, cıvata ve somun ile birleştirme yapma teknikleri (doğru sıkma sırası, tork) anlatılır; öğrenciler örnek bir cıvatalı birleştirme uygulaması yapar.</t>
  </si>
  <si>
    <t xml:space="preserve">Geçen haftaki cıvatalı bağlantı hatırlatılır; bu hafta farklı vida/cıvata tipleriyle pekiştirileceği söylenir.</t>
  </si>
  <si>
    <t xml:space="preserve">Farklı vida/cıvata/somun tipleriyle birleştirme uygulaması tekrarlanır.</t>
  </si>
  <si>
    <t xml:space="preserve">Vida, Cıvata ve Somunlar ünitesi genel bir değerlendirmeyle tamamlanır.</t>
  </si>
  <si>
    <t xml:space="preserve">Tolerans Hesaplamaları</t>
  </si>
  <si>
    <t xml:space="preserve">Tolerans hesaplamaları yapılması sağlanır.</t>
  </si>
  <si>
    <t xml:space="preserve">İki parçanın birbirine tam oturması için ölçüde ne kadar 'pay' bırakılabileceği sorulur; tolerans kavramına geçilir.</t>
  </si>
  <si>
    <t xml:space="preserve">Tolerans hesaplamalarının mantığı (üst/alt sapma, geçme türleri) anlatılır; öğrenciler örnek tolerans hesaplaması yapar.</t>
  </si>
  <si>
    <t xml:space="preserve">Geçen haftaki tolerans hesabı hatırlatılır; bu hafta farklı geçme türleriyle pekiştirileceği söylenir.</t>
  </si>
  <si>
    <t xml:space="preserve">Boşluklu, geçmeli ve sıkı geçme türleri için tolerans hesaplamaları tekrarlanır.</t>
  </si>
  <si>
    <t xml:space="preserve">Tolerans Hesaplamaları ünitesi genel bir değerlendirmeyle tamamlanır.</t>
  </si>
  <si>
    <t xml:space="preserve">Yüzey Kalite İşaretleri</t>
  </si>
  <si>
    <t xml:space="preserve">Yüzey kalite işaretlerini uygun yerde kullanılması sağlanır.
29 EKİM Cumhuriyet Bayramı</t>
  </si>
  <si>
    <t xml:space="preserve">29 Ekim Cumhuriyet Bayramı nedeniyle kısa bir haftaya girildiği hatırlatılır; bir parçanın yüzeyinin ne kadar pürüzsüz olması gerektiğinin resimde nasıl gösterildiği sorulur.</t>
  </si>
  <si>
    <t xml:space="preserve">Yüzey kalite işaretlerinin (Ra değeri, sembol) uygun yerde kullanılması gösterilip uygulatılır.</t>
  </si>
  <si>
    <t xml:space="preserve">Öğrencilerden bir parça resmine uygun yüzey kalite işareti yerleştirmeleri istenir.</t>
  </si>
  <si>
    <t xml:space="preserve">Sökülebilen Birleştirme Elemanlarının Hesapları</t>
  </si>
  <si>
    <t xml:space="preserve">Sökülebilen birleştirme elemanlarının hesaplamalarının yapılması sağlanır.</t>
  </si>
  <si>
    <t xml:space="preserve">Geçen haftaki yüzey kalite işaretleri hatırlatılır; sökülebilen bağlantı elemanlarının ne kadar yük taşıyabileceğinin nasıl hesaplandığı sorulur.</t>
  </si>
  <si>
    <t xml:space="preserve">Sökülebilen birleştirme elemanlarının (cıvata) mukavemet hesaplamaları gösterilip uygulatılır.</t>
  </si>
  <si>
    <t xml:space="preserve">Sökülebilen birleştirme elemanlarının hesaplamalarının yapılması sağlanır.
10 KASIM Atatürk'ü Anma Günü ve Atatürk Haftası</t>
  </si>
  <si>
    <t xml:space="preserve">10 Kasım Atatürk'ü Anma Günü anması sonrası, geçen haftaki hesaplamanın bu hafta farklı bir bağlantı elemanıyla pekiştirileceği söylenir.</t>
  </si>
  <si>
    <t xml:space="preserve">Farklı bir sökülebilir birleştirme elemanı için mukavemet hesaplaması tekrarlanır.</t>
  </si>
  <si>
    <t xml:space="preserve">Sökülebilen Birleştirme Elemanlarının Hesapları ünitesi genel bir değerlendirmeyle tamamlanır.</t>
  </si>
  <si>
    <t xml:space="preserve">Sökülemeyen Birleştirme Elemanları - Perçinler</t>
  </si>
  <si>
    <t xml:space="preserve">Sökülemeyen birleştirme elemanlarının seçimini ve ilgili hesaplamalarını yapar.
Perçinli birleştirme işlemlerinin yapılması sağlanır.</t>
  </si>
  <si>
    <t xml:space="preserve">Ara tatil dönüşü kısa bir hatırlatmanın ardından, sökülemeyen bir bağlantı türünün (perçin) nasıl yapıldığı sorulur; perçin örnekleri gösterilir.</t>
  </si>
  <si>
    <t xml:space="preserve">Sökülemeyen birleştirme elemanlarının seçimi ve perçinli birleştirme işlemi gösterilip uygulatılır.</t>
  </si>
  <si>
    <t xml:space="preserve">Yapılan perçinli bağlantı kontrol edilir.</t>
  </si>
  <si>
    <t xml:space="preserve">Perçinler</t>
  </si>
  <si>
    <t xml:space="preserve">Perçinli birleştirme işlemlerinin yapılması sağlanır.
Sökülemeyen birleştirme elemanlarının hesaplamalarının yapılması sağlanır.</t>
  </si>
  <si>
    <t xml:space="preserve">Geçen haftaki perçinli bağlantı hatırlatılır; perçinlerin ne kadar yük taşıyabileceğinin nasıl hesaplandığı sorulur.</t>
  </si>
  <si>
    <t xml:space="preserve">Perçinli birleştirme işlemine devam edilir; sökülemeyen birleştirme elemanlarının mukavemet hesaplamaları gösterilir.</t>
  </si>
  <si>
    <t xml:space="preserve">Hesaplama sonuçları kontrol edilir; Perçinler ünitesi tamamlanır.</t>
  </si>
  <si>
    <t xml:space="preserve">Kaynaklı Birleştirmeler</t>
  </si>
  <si>
    <t xml:space="preserve">Kaynaklı birleştirme işlemlerinin yapılması sağlanır.</t>
  </si>
  <si>
    <t xml:space="preserve">Perçinden farklı bir kalıcı birleştirme yöntemi olan kaynağa geçileceği söylenir.</t>
  </si>
  <si>
    <t xml:space="preserve">Kaynaklı birleştirme işlemi güvenlik tedbirleriyle gösterilip uygulatılır.</t>
  </si>
  <si>
    <t xml:space="preserve">Yapılan kaynaklı bağlantı kontrol edilir.</t>
  </si>
  <si>
    <t xml:space="preserve">Kaynaklı birleştirme işlemlerinin yapılması sağlanır.
Sökülemeyen birleştirme elemanlarının hesaplamalarının yapılması sağlanır.</t>
  </si>
  <si>
    <t xml:space="preserve">Geçen haftaki kaynaklı bağlantı hatırlatılır; kaynak dikişinin ne kadar yük taşıyabileceğinin nasıl hesaplandığı sorulur.</t>
  </si>
  <si>
    <t xml:space="preserve">Kaynaklı birleştirme işlemine devam edilir; sökülemeyen birleştirme elemanlarının mukavemet hesaplamaları kaynak için tekrarlanır.</t>
  </si>
  <si>
    <t xml:space="preserve">Hesaplama sonuçları kontrol edilir; Kaynaklı Birleştirmeler ünitesi tamamlanır.</t>
  </si>
  <si>
    <t xml:space="preserve">Lehimleme</t>
  </si>
  <si>
    <t xml:space="preserve">Sökülemeyen birleştirme elemanlarının hesaplamalarının yapılması sağlanır.</t>
  </si>
  <si>
    <t xml:space="preserve">Kaynak kadar yüksek ısı gerektirmeyen ince parçaların nasıl birleştirildiği sorulur; lehim örnekleri gösterilir.</t>
  </si>
  <si>
    <t xml:space="preserve">Lehimleme tekniği ve sökülemeyen birleştirme elemanlarının hesaplamaları lehim için gösterilip uygulatılır.</t>
  </si>
  <si>
    <t xml:space="preserve">Yapılan lehimli bağlantı kontrol edilir; Lehimleme konusu tamamlanır.</t>
  </si>
  <si>
    <t xml:space="preserve">Yağlar ve Yağlama - Madensel Yağlar</t>
  </si>
  <si>
    <t xml:space="preserve">Makine elemanlarının kataloglarına uygun şekilde yağ bakımını yapar.
Makine parçalarının yağlanması gereken yerlerinin belirlenmesi sağlanır.
Makine parçalarının yağlama şekillerinin tespit edilmesi sağlanır.</t>
  </si>
  <si>
    <t xml:space="preserve">Yılın son haftası öncesinde, bir makinenin hareketli parçalarının neden yağlanması gerektiği sorulur; madensel yağ örnekleri gösterilir.</t>
  </si>
  <si>
    <t xml:space="preserve">Makine elemanlarının kataloglarına uygun yağ bakımı, yağlanması gereken yerlerin ve yağlama şekillerinin tespiti anlatılır.</t>
  </si>
  <si>
    <t xml:space="preserve">Kataloga Uygun Yağlama</t>
  </si>
  <si>
    <t xml:space="preserve">Kataloga uygun yağlama yapılması sağlanır.</t>
  </si>
  <si>
    <t xml:space="preserve">2. dönemin ilk haftası olması nedeniyle geçen dönem işlenenlerin kısa bir özeti yapılır; kataloğa uygun yağlamanın nasıl yapılacağı sorulur.</t>
  </si>
  <si>
    <t xml:space="preserve">Kataloğa uygun yağlama işlemi uygulamalı olarak gösterilip yaptırılır.</t>
  </si>
  <si>
    <t xml:space="preserve">Kataloga Uygun Yağlama konusu tamamlanır.</t>
  </si>
  <si>
    <t xml:space="preserve">Soğutma Sıvıları - Yağ Katalogları</t>
  </si>
  <si>
    <t xml:space="preserve">Yağ kataloglarının incelenmesi sağlanır.</t>
  </si>
  <si>
    <t xml:space="preserve">Bazı makinelerde yağ yerine soğutma sıvısı kullanıldığı sorulur; bir yağ kataloğu gösterilir.</t>
  </si>
  <si>
    <t xml:space="preserve">Soğutma sıvıları tanıtılır; yağ kataloglarının nasıl inceleneceği gösterilir.</t>
  </si>
  <si>
    <t xml:space="preserve">Öğrencilerden yağ kataloğundan bir örnek yağ seçmeleri istenir.</t>
  </si>
  <si>
    <t xml:space="preserve">Yağ Katalogları</t>
  </si>
  <si>
    <t xml:space="preserve">Yağ kataloglarının incelenmesi sağlanır.
Kataloga uygun yağlama yapılması sağlanır.</t>
  </si>
  <si>
    <t xml:space="preserve">Geçen haftaki katalog inceleme hatırlatılır; bu hafta kataloğa uygun yağlamanın pekiştirileceği söylenir.</t>
  </si>
  <si>
    <t xml:space="preserve">Yağ kataloglarının incelenmesi ve kataloğa uygun yağlama uygulaması tekrarlanır.</t>
  </si>
  <si>
    <t xml:space="preserve">Yağlar ve Yağlama ünitesi genel bir değerlendirmeyle tamamlanır.</t>
  </si>
  <si>
    <t xml:space="preserve">MİLLER, MUYLULAR VE YATAKLAR - Miller, Muylular ve Yataklar</t>
  </si>
  <si>
    <t xml:space="preserve">Düz miller ve çeşitleri açıklanır.
Muylu ve çeşitleri açıklanır.</t>
  </si>
  <si>
    <t xml:space="preserve">Yarıyıl tatili dönüşü kısa bir hatırlatmayla derse başlanır; bir milin diğer mil türlerinden farkı sorulur; düz mil örnekleri gösterilir.</t>
  </si>
  <si>
    <t xml:space="preserve">Düz miller ve çeşitleri anlatılır; muylu ve muylu çeşitleri açıklanır.</t>
  </si>
  <si>
    <t xml:space="preserve">Öğrencilerden bir mil-muylu örneği paylaşmaları istenir.</t>
  </si>
  <si>
    <t xml:space="preserve">Miller, Muylular ve Yataklar</t>
  </si>
  <si>
    <t xml:space="preserve">Mil ve yataklarının yağlanması açıklanır.</t>
  </si>
  <si>
    <t xml:space="preserve">Geçen haftaki mil ve muylu hatırlatılır; bunların yatakta nasıl yağlandığı sorulur.</t>
  </si>
  <si>
    <t xml:space="preserve">Mil ve yataklarının yağlanması teknikleri anlatılır.</t>
  </si>
  <si>
    <t xml:space="preserve">Miller, Muylular ve Yataklar ünitesi genel bir değerlendirmeyle tamamlanır.</t>
  </si>
  <si>
    <t xml:space="preserve">Yuvarlanma Dirençli Yataklar</t>
  </si>
  <si>
    <t xml:space="preserve">Yuvarlanma dirençli yataklar açıklanır.</t>
  </si>
  <si>
    <t xml:space="preserve">Kaymalı yataktan farklı olarak, bilyalı/masuralı bir yatağın (rulman) yapısı sorulur; rulman örnekleri gösterilir.</t>
  </si>
  <si>
    <t xml:space="preserve">Yuvarlanma dirençli yataklar (bilyalı, masuralı) tanıtılır.</t>
  </si>
  <si>
    <t xml:space="preserve">Öğrencilerden bir rulman çeşidi örneği vermeleri istenir.</t>
  </si>
  <si>
    <t xml:space="preserve">Geçen haftaki rulman çeşitleri hatırlatılır; bu hafta farklı rulman tipleriyle pekiştirileceği söylenir.</t>
  </si>
  <si>
    <t xml:space="preserve">Farklı yuvarlanma dirençli yatak tipleri (radyal, eksenel) karşılaştırılır.</t>
  </si>
  <si>
    <t xml:space="preserve">Yuvarlanma Dirençli Yataklar ünitesi genel bir değerlendirmeyle tamamlanır.</t>
  </si>
  <si>
    <t xml:space="preserve">Mil, Muylu ve Yatakların Hesapları</t>
  </si>
  <si>
    <t xml:space="preserve">Mil, muylu ve yatakların hesapları yapılması sağlanır.</t>
  </si>
  <si>
    <t xml:space="preserve">Tatil dönüşü kısa bir hatırlatmayla başlanır; bir milin taşıyabileceği yükün nasıl hesaplandığı sorulur.</t>
  </si>
  <si>
    <t xml:space="preserve">Mil, muylu ve yatakların mukavemet hesaplamaları gösterilip uygulatılır.</t>
  </si>
  <si>
    <t xml:space="preserve">Geçen haftaki mil hesabı hatırlatılır; bu hafta farklı bir mil-yatak sistemi ile pekiştirileceği söylenir.</t>
  </si>
  <si>
    <t xml:space="preserve">Farklı bir mil-muylu-yatak sistemi için hesaplama tekrarlanır.</t>
  </si>
  <si>
    <t xml:space="preserve">Mil, Muylu ve Yatakların Hesapları ünitesi genel bir değerlendirmeyle tamamlanır.</t>
  </si>
  <si>
    <t xml:space="preserve">Kayış, Kasnak, Dişli Çark ve Zincirler</t>
  </si>
  <si>
    <t xml:space="preserve">Kayış, kasnak, dişli çarklar ve zincirlerin seçimini ve ilgili hesaplamalarını yapar.
Kayış, kasnak dişli çark ve zincirlerin çeşitleri, kullanıldığı yerler açıklanır.</t>
  </si>
  <si>
    <t xml:space="preserve">Bir milin hareketinin başka bir mile nasıl aktarıldığı sorulur; kayış, kasnak, dişli çark ve zincir örnekleri gösterilir.</t>
  </si>
  <si>
    <t xml:space="preserve">Kayış, kasnak, dişli çark ve zincirlerin çeşitleri ve kullanıldığı yerler karşılaştırmalı olarak anlatılır.</t>
  </si>
  <si>
    <t xml:space="preserve">Öğrencilerden bir hareket iletim elemanı örneği vermeleri istenir.</t>
  </si>
  <si>
    <t xml:space="preserve">Kayış, kasnak, dişli çarklar ve zincirlerin hareket iletimleri ile ilgili uygulamaların yapılması sağlanır.</t>
  </si>
  <si>
    <t xml:space="preserve">Geçen haftaki hareket iletim elemanları hatırlatılır; bu hafta bunların uygulamalı olarak kullanılacağı söylenir.</t>
  </si>
  <si>
    <t xml:space="preserve">Kayış, kasnak, dişli çark ve zincirlerin hareket iletimiyle ilgili uygulamalar yaptırılır.</t>
  </si>
  <si>
    <t xml:space="preserve">Yapılan uygulamalar kontrol edilir.</t>
  </si>
  <si>
    <t xml:space="preserve">Kayış, Kasnak, Dişli Çark ve Zincirlerin Hesaplamaları</t>
  </si>
  <si>
    <t xml:space="preserve">Kayış, kasnak, dişli çarklar ve zincirlerin hareket iletimleri ile hesaplamaların yapılması sağlanır.
23 NİSAN Ulusal Egemenlik ve Çocuk Bayramı</t>
  </si>
  <si>
    <t xml:space="preserve">23 Nisan haftasına denk gelen bu haftada, hareket iletim elemanlarının hesaplarının nasıl yapılacağı sorulur.</t>
  </si>
  <si>
    <t xml:space="preserve">Kayış, kasnak, dişli çark ve zincirlerin hareket iletim hesaplamaları (devir oranı) gösterilip uygulatılır.</t>
  </si>
  <si>
    <t xml:space="preserve">Kayış, kasnak, dişli çarklar ve zincirlerin hareket iletimleri ile hesaplamaların yapılması sağlanır.</t>
  </si>
  <si>
    <t xml:space="preserve">Geçen haftaki devir oranı hesabı hatırlatılır; bu hafta farklı bir sistemle pekiştirileceği söylenir.</t>
  </si>
  <si>
    <t xml:space="preserve">Farklı bir kayış-kasnak veya dişli-zincir sistemi için hareket iletim hesaplaması tekrarlanır.</t>
  </si>
  <si>
    <t xml:space="preserve">Moment ve güç hesaplamaların yapılması sağlanır.</t>
  </si>
  <si>
    <t xml:space="preserve">Geçen haftaki hareket iletim hesabı hatırlatılır; bu hafta moment ve güç hesabına geçileceği söylenir.</t>
  </si>
  <si>
    <t xml:space="preserve">Kayış, kasnak, dişli çark ve zincirlerde moment ve güç hesaplamaları gösterilip uygulatılır.</t>
  </si>
  <si>
    <t xml:space="preserve">Geçen haftaki moment ve güç hesabı hatırlatılır; bu hafta farklı bir sistemle pekiştirileceği söylenir.</t>
  </si>
  <si>
    <t xml:space="preserve">Farklı bir sistem için moment ve güç hesaplaması tekrarlanır.</t>
  </si>
  <si>
    <t xml:space="preserve">Kayış, Kasnak, Dişli Çark ve Zincirlerin Hesaplamaları ünitesi genel bir değerlendirmeyle tamamlanır.</t>
  </si>
  <si>
    <t xml:space="preserve">Kavramalar</t>
  </si>
  <si>
    <t xml:space="preserve">Kavramaların seçimini yapar.
Kavramaların çeşitleri ve kullanıldığı yerler açıklanır.
19 MAYIS Atatürk'ü Anma Gençlik ve Spor Bayramı</t>
  </si>
  <si>
    <t xml:space="preserve">19 Mayıs kutlamasının ardından, iki milin hareketinin birbirine nasıl bağlanıp ayrılabildiği sorulur; kavrama örnekleri gösterilir.</t>
  </si>
  <si>
    <t xml:space="preserve">Kavramaların çeşitleri (sabit, kaymalı, esnek) ve kullanıldığı yerler anlatılır.</t>
  </si>
  <si>
    <t xml:space="preserve">Öğrencilerden bir kavrama çeşidi örneği vermeleri istenir.</t>
  </si>
  <si>
    <t xml:space="preserve">Kavramaların hareket iletim hesaplamaları yapılması sağlanır.</t>
  </si>
  <si>
    <t xml:space="preserve">Geçen haftaki kavrama çeşitleri hatırlatılır; kavramaların hareket iletim hesabının nasıl yapılacağı sorulur.</t>
  </si>
  <si>
    <t xml:space="preserve">Kavramaların hareket iletim hesaplamaları gösterilip uygulatılır.</t>
  </si>
  <si>
    <t xml:space="preserve">Kavramaların seçimini yapar.
Kavramaların hareket iletim hesaplamaları yapılması sağlanır.</t>
  </si>
  <si>
    <t xml:space="preserve">Geçen haftaki hesaplama hatırlatılır; bu hafta kavrama seçiminin pekiştirileceği söylenir.</t>
  </si>
  <si>
    <t xml:space="preserve">Farklı bir uygulama için kavrama seçimi ve hareket iletim hesabı tekrarlanır.</t>
  </si>
  <si>
    <t xml:space="preserve">Seçim ve hesaplama sonuçları kontrol edilir.</t>
  </si>
  <si>
    <t xml:space="preserve">Geçen haftaki kavrama seçimi hatırlatılır; bu hafta farklı bir sistemle pekiştirileceği söylenir.</t>
  </si>
  <si>
    <t xml:space="preserve">Farklı bir kavrama sistemi için hareket iletim hesabı tekrarlanır.</t>
  </si>
  <si>
    <t xml:space="preserve">Yıl sonuna yaklaşılırken, kavrama seçiminin son kez pekiştirileceği söylenir.</t>
  </si>
  <si>
    <t xml:space="preserve">Farklı bir uygulama için kavrama seçimi ve hareket iletim hesabı yaptırılır.</t>
  </si>
  <si>
    <t xml:space="preserve">Geçen haftaki kavrama hesabı hatırlatılır; bu hafta son pekiştirmenin yapılacağı söylenir.</t>
  </si>
  <si>
    <t xml:space="preserve">Kavramaların hareket iletim hesaplamaları son kez farklı bir örnekle tekrarlanır.</t>
  </si>
  <si>
    <t xml:space="preserve">Yılın son haftası olduğu, kamalardan kavramalara kadar yıl boyunca öğrenilen tüm makine elemanları bilgisinin kısa bir özetiyle derse başlanacağı söylenir.</t>
  </si>
  <si>
    <t xml:space="preserve">Öğrenciler yıl boyunca öğrendikleri birleştirme elemanları, yağlama, mil-yatak ve hareket iletim konularını içeren karma bir değerlendirme çalışması yapar.</t>
  </si>
</sst>
</file>

<file path=xl/styles.xml><?xml version="1.0" encoding="utf-8"?>
<styleSheet xmlns="http://schemas.openxmlformats.org/spreadsheetml/2006/main">
  <numFmts count="3">
    <numFmt numFmtId="164" formatCode="General"/>
    <numFmt numFmtId="165" formatCode="dd\.mm\.yyyy"/>
    <numFmt numFmtId="166" formatCode="dd\.mm\.yyyy&quot; (&quot;dddd\)"/>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Times New Roman"/>
      <family val="0"/>
      <charset val="1"/>
    </font>
    <font>
      <b val="true"/>
      <sz val="10"/>
      <name val="Times New Roman"/>
      <family val="0"/>
      <charset val="1"/>
    </font>
    <font>
      <b val="true"/>
      <sz val="10"/>
      <color rgb="FF0000FF"/>
      <name val="Times New Roman"/>
      <family val="0"/>
      <charset val="1"/>
    </font>
    <font>
      <b val="true"/>
      <sz val="10"/>
      <color rgb="FF000000"/>
      <name val="Times New Roman"/>
      <family val="0"/>
      <charset val="1"/>
    </font>
    <font>
      <i val="true"/>
      <sz val="8"/>
      <color rgb="FF808080"/>
      <name val="Times New Roman"/>
      <family val="0"/>
      <charset val="1"/>
    </font>
    <font>
      <b val="true"/>
      <sz val="16"/>
      <name val="Times New Roman"/>
      <family val="0"/>
      <charset val="1"/>
    </font>
    <font>
      <sz val="10"/>
      <name val="Times New Roman"/>
      <family val="0"/>
      <charset val="1"/>
    </font>
    <font>
      <sz val="9"/>
      <name val="Times New Roman"/>
      <family val="0"/>
      <charset val="1"/>
    </font>
    <font>
      <b val="true"/>
      <sz val="11"/>
      <name val="Times New Roman"/>
      <family val="0"/>
      <charset val="1"/>
    </font>
  </fonts>
  <fills count="6">
    <fill>
      <patternFill patternType="none"/>
    </fill>
    <fill>
      <patternFill patternType="gray125"/>
    </fill>
    <fill>
      <patternFill patternType="solid">
        <fgColor rgb="FF1F4E78"/>
        <bgColor rgb="FF003366"/>
      </patternFill>
    </fill>
    <fill>
      <patternFill patternType="solid">
        <fgColor rgb="FFFFF2CC"/>
        <bgColor rgb="FFFCE4D6"/>
      </patternFill>
    </fill>
    <fill>
      <patternFill patternType="solid">
        <fgColor rgb="FFD9D9D9"/>
        <bgColor rgb="FFFCE4D6"/>
      </patternFill>
    </fill>
    <fill>
      <patternFill patternType="solid">
        <fgColor rgb="FFFCE4D6"/>
        <bgColor rgb="FFFFF2CC"/>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6" fillId="3" borderId="1" xfId="0" applyFont="true" applyBorder="true" applyAlignment="true" applyProtection="true">
      <alignment horizontal="general" vertical="bottom" textRotation="0" wrapText="false" indent="0" shrinkToFit="false"/>
      <protection locked="true" hidden="false"/>
    </xf>
    <xf numFmtId="165" fontId="7" fillId="3" borderId="1"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5" fillId="4" borderId="0"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5" fontId="7" fillId="0" borderId="1" xfId="0" applyFont="tru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0" fillId="5" borderId="1" xfId="0" applyFont="false" applyBorder="true" applyAlignment="true" applyProtection="true">
      <alignment horizontal="general" vertical="bottom" textRotation="0" wrapText="false" indent="0" shrinkToFit="false"/>
      <protection locked="true" hidden="false"/>
    </xf>
    <xf numFmtId="165" fontId="7" fillId="5" borderId="1" xfId="0" applyFont="true" applyBorder="true" applyAlignment="true" applyProtection="true">
      <alignment horizontal="general" vertical="bottom" textRotation="0" wrapText="false" indent="0" shrinkToFit="false"/>
      <protection locked="true" hidden="false"/>
    </xf>
    <xf numFmtId="164" fontId="7" fillId="5" borderId="1" xfId="0" applyFont="true" applyBorder="true" applyAlignment="true" applyProtection="true">
      <alignment horizontal="general" vertical="bottom" textRotation="0" wrapText="false" indent="0" shrinkToFit="false"/>
      <protection locked="true" hidden="false"/>
    </xf>
    <xf numFmtId="164" fontId="6" fillId="5" borderId="1"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center" vertical="center" textRotation="0" wrapText="false" indent="0" shrinkToFit="false"/>
      <protection locked="true" hidden="false"/>
    </xf>
    <xf numFmtId="164" fontId="10" fillId="0" borderId="2" xfId="0" applyFont="true" applyBorder="true" applyAlignment="true" applyProtection="true">
      <alignment horizontal="left" vertical="center" textRotation="0" wrapText="true" indent="0" shrinkToFit="false"/>
      <protection locked="true" hidden="false"/>
    </xf>
    <xf numFmtId="164" fontId="5" fillId="4" borderId="1" xfId="0" applyFont="true" applyBorder="true" applyAlignment="true" applyProtection="true">
      <alignment horizontal="center" vertical="center" textRotation="0" wrapText="true" indent="0" shrinkToFit="false"/>
      <protection locked="true" hidden="false"/>
    </xf>
    <xf numFmtId="166" fontId="11" fillId="0" borderId="1" xfId="0" applyFont="true" applyBorder="true" applyAlignment="true" applyProtection="true">
      <alignment horizontal="general" vertical="top" textRotation="0" wrapText="true" indent="0" shrinkToFit="false"/>
      <protection locked="true" hidden="false"/>
    </xf>
    <xf numFmtId="164" fontId="11" fillId="0" borderId="1" xfId="0" applyFont="true" applyBorder="true" applyAlignment="true" applyProtection="true">
      <alignment horizontal="general" vertical="top" textRotation="0" wrapText="true" indent="0" shrinkToFit="false"/>
      <protection locked="true" hidden="false"/>
    </xf>
    <xf numFmtId="164" fontId="11" fillId="3" borderId="1" xfId="0" applyFont="true" applyBorder="true" applyAlignment="true" applyProtection="true">
      <alignment horizontal="general" vertical="bottom" textRotation="0" wrapText="false" indent="0" shrinkToFit="false"/>
      <protection locked="true" hidden="false"/>
    </xf>
    <xf numFmtId="164" fontId="12" fillId="0" borderId="0" xfId="0" applyFont="true" applyBorder="true" applyAlignment="true" applyProtection="true">
      <alignment horizontal="center" vertical="center" textRotation="0" wrapText="false" indent="0" shrinkToFit="false"/>
      <protection locked="true" hidden="false"/>
    </xf>
    <xf numFmtId="164" fontId="10" fillId="0" borderId="0" xfId="0" applyFont="true" applyBorder="true" applyAlignment="true" applyProtection="tru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4.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5.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6.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7.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8.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9.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10.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1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1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13.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14.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15.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16.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17.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18.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19.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0.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96840</xdr:colOff>
      <xdr:row>0</xdr:row>
      <xdr:rowOff>801720</xdr:rowOff>
    </xdr:to>
    <xdr:pic>
      <xdr:nvPicPr>
        <xdr:cNvPr id="0" name="Image 1" descr="Picture"/>
        <xdr:cNvPicPr/>
      </xdr:nvPicPr>
      <xdr:blipFill>
        <a:blip r:embed="rId1"/>
        <a:stretch/>
      </xdr:blipFill>
      <xdr:spPr>
        <a:xfrm>
          <a:off x="0" y="0"/>
          <a:ext cx="801720" cy="801720"/>
        </a:xfrm>
        <a:prstGeom prst="rect">
          <a:avLst/>
        </a:prstGeom>
        <a:ln w="0">
          <a:noFill/>
        </a:ln>
      </xdr:spPr>
    </xdr:pic>
    <xdr:clientData/>
  </xdr:twoCellAnchor>
  <xdr:twoCellAnchor editAs="oneCell">
    <xdr:from>
      <xdr:col>5</xdr:col>
      <xdr:colOff>0</xdr:colOff>
      <xdr:row>0</xdr:row>
      <xdr:rowOff>0</xdr:rowOff>
    </xdr:from>
    <xdr:to>
      <xdr:col>6</xdr:col>
      <xdr:colOff>590040</xdr:colOff>
      <xdr:row>0</xdr:row>
      <xdr:rowOff>801720</xdr:rowOff>
    </xdr:to>
    <xdr:pic>
      <xdr:nvPicPr>
        <xdr:cNvPr id="1" name="Image 2" descr="Picture"/>
        <xdr:cNvPicPr/>
      </xdr:nvPicPr>
      <xdr:blipFill>
        <a:blip r:embed="rId2"/>
        <a:stretch/>
      </xdr:blipFill>
      <xdr:spPr>
        <a:xfrm>
          <a:off x="5638680" y="0"/>
          <a:ext cx="801720" cy="8017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801720</xdr:colOff>
      <xdr:row>0</xdr:row>
      <xdr:rowOff>801720</xdr:rowOff>
    </xdr:to>
    <xdr:pic>
      <xdr:nvPicPr>
        <xdr:cNvPr id="2" name="Image 1" descr="Picture"/>
        <xdr:cNvPicPr/>
      </xdr:nvPicPr>
      <xdr:blipFill>
        <a:blip r:embed="rId1"/>
        <a:stretch/>
      </xdr:blipFill>
      <xdr:spPr>
        <a:xfrm>
          <a:off x="0" y="0"/>
          <a:ext cx="801720" cy="801720"/>
        </a:xfrm>
        <a:prstGeom prst="rect">
          <a:avLst/>
        </a:prstGeom>
        <a:ln w="0">
          <a:noFill/>
        </a:ln>
      </xdr:spPr>
    </xdr:pic>
    <xdr:clientData/>
  </xdr:twoCellAnchor>
  <xdr:twoCellAnchor editAs="oneCell">
    <xdr:from>
      <xdr:col>7</xdr:col>
      <xdr:colOff>0</xdr:colOff>
      <xdr:row>0</xdr:row>
      <xdr:rowOff>0</xdr:rowOff>
    </xdr:from>
    <xdr:to>
      <xdr:col>7</xdr:col>
      <xdr:colOff>801720</xdr:colOff>
      <xdr:row>0</xdr:row>
      <xdr:rowOff>801720</xdr:rowOff>
    </xdr:to>
    <xdr:pic>
      <xdr:nvPicPr>
        <xdr:cNvPr id="3" name="Image 2" descr="Picture"/>
        <xdr:cNvPicPr/>
      </xdr:nvPicPr>
      <xdr:blipFill>
        <a:blip r:embed="rId2"/>
        <a:stretch/>
      </xdr:blipFill>
      <xdr:spPr>
        <a:xfrm>
          <a:off x="11277720" y="0"/>
          <a:ext cx="801720" cy="8017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801720</xdr:colOff>
      <xdr:row>0</xdr:row>
      <xdr:rowOff>801720</xdr:rowOff>
    </xdr:to>
    <xdr:pic>
      <xdr:nvPicPr>
        <xdr:cNvPr id="4" name="Image 1" descr="Picture"/>
        <xdr:cNvPicPr/>
      </xdr:nvPicPr>
      <xdr:blipFill>
        <a:blip r:embed="rId1"/>
        <a:stretch/>
      </xdr:blipFill>
      <xdr:spPr>
        <a:xfrm>
          <a:off x="0" y="0"/>
          <a:ext cx="801720" cy="801720"/>
        </a:xfrm>
        <a:prstGeom prst="rect">
          <a:avLst/>
        </a:prstGeom>
        <a:ln w="0">
          <a:noFill/>
        </a:ln>
      </xdr:spPr>
    </xdr:pic>
    <xdr:clientData/>
  </xdr:twoCellAnchor>
  <xdr:twoCellAnchor editAs="oneCell">
    <xdr:from>
      <xdr:col>7</xdr:col>
      <xdr:colOff>0</xdr:colOff>
      <xdr:row>0</xdr:row>
      <xdr:rowOff>0</xdr:rowOff>
    </xdr:from>
    <xdr:to>
      <xdr:col>7</xdr:col>
      <xdr:colOff>801720</xdr:colOff>
      <xdr:row>0</xdr:row>
      <xdr:rowOff>801720</xdr:rowOff>
    </xdr:to>
    <xdr:pic>
      <xdr:nvPicPr>
        <xdr:cNvPr id="5" name="Image 2" descr="Picture"/>
        <xdr:cNvPicPr/>
      </xdr:nvPicPr>
      <xdr:blipFill>
        <a:blip r:embed="rId2"/>
        <a:stretch/>
      </xdr:blipFill>
      <xdr:spPr>
        <a:xfrm>
          <a:off x="11277720" y="0"/>
          <a:ext cx="801720" cy="80172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801720</xdr:colOff>
      <xdr:row>0</xdr:row>
      <xdr:rowOff>801720</xdr:rowOff>
    </xdr:to>
    <xdr:pic>
      <xdr:nvPicPr>
        <xdr:cNvPr id="6" name="Image 1" descr="Picture"/>
        <xdr:cNvPicPr/>
      </xdr:nvPicPr>
      <xdr:blipFill>
        <a:blip r:embed="rId1"/>
        <a:stretch/>
      </xdr:blipFill>
      <xdr:spPr>
        <a:xfrm>
          <a:off x="0" y="0"/>
          <a:ext cx="801720" cy="801720"/>
        </a:xfrm>
        <a:prstGeom prst="rect">
          <a:avLst/>
        </a:prstGeom>
        <a:ln w="0">
          <a:noFill/>
        </a:ln>
      </xdr:spPr>
    </xdr:pic>
    <xdr:clientData/>
  </xdr:twoCellAnchor>
  <xdr:twoCellAnchor editAs="oneCell">
    <xdr:from>
      <xdr:col>7</xdr:col>
      <xdr:colOff>0</xdr:colOff>
      <xdr:row>0</xdr:row>
      <xdr:rowOff>0</xdr:rowOff>
    </xdr:from>
    <xdr:to>
      <xdr:col>7</xdr:col>
      <xdr:colOff>801720</xdr:colOff>
      <xdr:row>0</xdr:row>
      <xdr:rowOff>801720</xdr:rowOff>
    </xdr:to>
    <xdr:pic>
      <xdr:nvPicPr>
        <xdr:cNvPr id="7" name="Image 2" descr="Picture"/>
        <xdr:cNvPicPr/>
      </xdr:nvPicPr>
      <xdr:blipFill>
        <a:blip r:embed="rId2"/>
        <a:stretch/>
      </xdr:blipFill>
      <xdr:spPr>
        <a:xfrm>
          <a:off x="11277720" y="0"/>
          <a:ext cx="801720" cy="80172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801720</xdr:colOff>
      <xdr:row>0</xdr:row>
      <xdr:rowOff>801720</xdr:rowOff>
    </xdr:to>
    <xdr:pic>
      <xdr:nvPicPr>
        <xdr:cNvPr id="8" name="Image 1" descr="Picture"/>
        <xdr:cNvPicPr/>
      </xdr:nvPicPr>
      <xdr:blipFill>
        <a:blip r:embed="rId1"/>
        <a:stretch/>
      </xdr:blipFill>
      <xdr:spPr>
        <a:xfrm>
          <a:off x="0" y="0"/>
          <a:ext cx="801720" cy="801720"/>
        </a:xfrm>
        <a:prstGeom prst="rect">
          <a:avLst/>
        </a:prstGeom>
        <a:ln w="0">
          <a:noFill/>
        </a:ln>
      </xdr:spPr>
    </xdr:pic>
    <xdr:clientData/>
  </xdr:twoCellAnchor>
  <xdr:twoCellAnchor editAs="oneCell">
    <xdr:from>
      <xdr:col>7</xdr:col>
      <xdr:colOff>0</xdr:colOff>
      <xdr:row>0</xdr:row>
      <xdr:rowOff>0</xdr:rowOff>
    </xdr:from>
    <xdr:to>
      <xdr:col>7</xdr:col>
      <xdr:colOff>801720</xdr:colOff>
      <xdr:row>0</xdr:row>
      <xdr:rowOff>801720</xdr:rowOff>
    </xdr:to>
    <xdr:pic>
      <xdr:nvPicPr>
        <xdr:cNvPr id="9" name="Image 2" descr="Picture"/>
        <xdr:cNvPicPr/>
      </xdr:nvPicPr>
      <xdr:blipFill>
        <a:blip r:embed="rId2"/>
        <a:stretch/>
      </xdr:blipFill>
      <xdr:spPr>
        <a:xfrm>
          <a:off x="11277720" y="0"/>
          <a:ext cx="801720" cy="80172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801720</xdr:colOff>
      <xdr:row>0</xdr:row>
      <xdr:rowOff>801720</xdr:rowOff>
    </xdr:to>
    <xdr:pic>
      <xdr:nvPicPr>
        <xdr:cNvPr id="10" name="Image 1" descr="Picture"/>
        <xdr:cNvPicPr/>
      </xdr:nvPicPr>
      <xdr:blipFill>
        <a:blip r:embed="rId1"/>
        <a:stretch/>
      </xdr:blipFill>
      <xdr:spPr>
        <a:xfrm>
          <a:off x="0" y="0"/>
          <a:ext cx="801720" cy="801720"/>
        </a:xfrm>
        <a:prstGeom prst="rect">
          <a:avLst/>
        </a:prstGeom>
        <a:ln w="0">
          <a:noFill/>
        </a:ln>
      </xdr:spPr>
    </xdr:pic>
    <xdr:clientData/>
  </xdr:twoCellAnchor>
  <xdr:twoCellAnchor editAs="oneCell">
    <xdr:from>
      <xdr:col>7</xdr:col>
      <xdr:colOff>0</xdr:colOff>
      <xdr:row>0</xdr:row>
      <xdr:rowOff>0</xdr:rowOff>
    </xdr:from>
    <xdr:to>
      <xdr:col>7</xdr:col>
      <xdr:colOff>801720</xdr:colOff>
      <xdr:row>0</xdr:row>
      <xdr:rowOff>801720</xdr:rowOff>
    </xdr:to>
    <xdr:pic>
      <xdr:nvPicPr>
        <xdr:cNvPr id="11" name="Image 2" descr="Picture"/>
        <xdr:cNvPicPr/>
      </xdr:nvPicPr>
      <xdr:blipFill>
        <a:blip r:embed="rId2"/>
        <a:stretch/>
      </xdr:blipFill>
      <xdr:spPr>
        <a:xfrm>
          <a:off x="11277720" y="0"/>
          <a:ext cx="801720" cy="80172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801720</xdr:colOff>
      <xdr:row>0</xdr:row>
      <xdr:rowOff>801720</xdr:rowOff>
    </xdr:to>
    <xdr:pic>
      <xdr:nvPicPr>
        <xdr:cNvPr id="12" name="Image 1" descr="Picture"/>
        <xdr:cNvPicPr/>
      </xdr:nvPicPr>
      <xdr:blipFill>
        <a:blip r:embed="rId1"/>
        <a:stretch/>
      </xdr:blipFill>
      <xdr:spPr>
        <a:xfrm>
          <a:off x="0" y="0"/>
          <a:ext cx="801720" cy="801720"/>
        </a:xfrm>
        <a:prstGeom prst="rect">
          <a:avLst/>
        </a:prstGeom>
        <a:ln w="0">
          <a:noFill/>
        </a:ln>
      </xdr:spPr>
    </xdr:pic>
    <xdr:clientData/>
  </xdr:twoCellAnchor>
  <xdr:twoCellAnchor editAs="oneCell">
    <xdr:from>
      <xdr:col>7</xdr:col>
      <xdr:colOff>0</xdr:colOff>
      <xdr:row>0</xdr:row>
      <xdr:rowOff>0</xdr:rowOff>
    </xdr:from>
    <xdr:to>
      <xdr:col>7</xdr:col>
      <xdr:colOff>801720</xdr:colOff>
      <xdr:row>0</xdr:row>
      <xdr:rowOff>801720</xdr:rowOff>
    </xdr:to>
    <xdr:pic>
      <xdr:nvPicPr>
        <xdr:cNvPr id="13" name="Image 2" descr="Picture"/>
        <xdr:cNvPicPr/>
      </xdr:nvPicPr>
      <xdr:blipFill>
        <a:blip r:embed="rId2"/>
        <a:stretch/>
      </xdr:blipFill>
      <xdr:spPr>
        <a:xfrm>
          <a:off x="11277720" y="0"/>
          <a:ext cx="801720" cy="80172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801720</xdr:colOff>
      <xdr:row>0</xdr:row>
      <xdr:rowOff>801720</xdr:rowOff>
    </xdr:to>
    <xdr:pic>
      <xdr:nvPicPr>
        <xdr:cNvPr id="14" name="Image 1" descr="Picture"/>
        <xdr:cNvPicPr/>
      </xdr:nvPicPr>
      <xdr:blipFill>
        <a:blip r:embed="rId1"/>
        <a:stretch/>
      </xdr:blipFill>
      <xdr:spPr>
        <a:xfrm>
          <a:off x="0" y="0"/>
          <a:ext cx="801720" cy="801720"/>
        </a:xfrm>
        <a:prstGeom prst="rect">
          <a:avLst/>
        </a:prstGeom>
        <a:ln w="0">
          <a:noFill/>
        </a:ln>
      </xdr:spPr>
    </xdr:pic>
    <xdr:clientData/>
  </xdr:twoCellAnchor>
  <xdr:twoCellAnchor editAs="oneCell">
    <xdr:from>
      <xdr:col>7</xdr:col>
      <xdr:colOff>0</xdr:colOff>
      <xdr:row>0</xdr:row>
      <xdr:rowOff>0</xdr:rowOff>
    </xdr:from>
    <xdr:to>
      <xdr:col>7</xdr:col>
      <xdr:colOff>801720</xdr:colOff>
      <xdr:row>0</xdr:row>
      <xdr:rowOff>801720</xdr:rowOff>
    </xdr:to>
    <xdr:pic>
      <xdr:nvPicPr>
        <xdr:cNvPr id="15" name="Image 2" descr="Picture"/>
        <xdr:cNvPicPr/>
      </xdr:nvPicPr>
      <xdr:blipFill>
        <a:blip r:embed="rId2"/>
        <a:stretch/>
      </xdr:blipFill>
      <xdr:spPr>
        <a:xfrm>
          <a:off x="11277720" y="0"/>
          <a:ext cx="801720" cy="80172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801720</xdr:colOff>
      <xdr:row>0</xdr:row>
      <xdr:rowOff>801720</xdr:rowOff>
    </xdr:to>
    <xdr:pic>
      <xdr:nvPicPr>
        <xdr:cNvPr id="16" name="Image 1" descr="Picture"/>
        <xdr:cNvPicPr/>
      </xdr:nvPicPr>
      <xdr:blipFill>
        <a:blip r:embed="rId1"/>
        <a:stretch/>
      </xdr:blipFill>
      <xdr:spPr>
        <a:xfrm>
          <a:off x="0" y="0"/>
          <a:ext cx="801720" cy="801720"/>
        </a:xfrm>
        <a:prstGeom prst="rect">
          <a:avLst/>
        </a:prstGeom>
        <a:ln w="0">
          <a:noFill/>
        </a:ln>
      </xdr:spPr>
    </xdr:pic>
    <xdr:clientData/>
  </xdr:twoCellAnchor>
  <xdr:twoCellAnchor editAs="oneCell">
    <xdr:from>
      <xdr:col>7</xdr:col>
      <xdr:colOff>0</xdr:colOff>
      <xdr:row>0</xdr:row>
      <xdr:rowOff>0</xdr:rowOff>
    </xdr:from>
    <xdr:to>
      <xdr:col>7</xdr:col>
      <xdr:colOff>801720</xdr:colOff>
      <xdr:row>0</xdr:row>
      <xdr:rowOff>801720</xdr:rowOff>
    </xdr:to>
    <xdr:pic>
      <xdr:nvPicPr>
        <xdr:cNvPr id="17" name="Image 2" descr="Picture"/>
        <xdr:cNvPicPr/>
      </xdr:nvPicPr>
      <xdr:blipFill>
        <a:blip r:embed="rId2"/>
        <a:stretch/>
      </xdr:blipFill>
      <xdr:spPr>
        <a:xfrm>
          <a:off x="11277720" y="0"/>
          <a:ext cx="801720" cy="80172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801720</xdr:colOff>
      <xdr:row>0</xdr:row>
      <xdr:rowOff>801720</xdr:rowOff>
    </xdr:to>
    <xdr:pic>
      <xdr:nvPicPr>
        <xdr:cNvPr id="18" name="Image 1" descr="Picture"/>
        <xdr:cNvPicPr/>
      </xdr:nvPicPr>
      <xdr:blipFill>
        <a:blip r:embed="rId1"/>
        <a:stretch/>
      </xdr:blipFill>
      <xdr:spPr>
        <a:xfrm>
          <a:off x="0" y="0"/>
          <a:ext cx="801720" cy="801720"/>
        </a:xfrm>
        <a:prstGeom prst="rect">
          <a:avLst/>
        </a:prstGeom>
        <a:ln w="0">
          <a:noFill/>
        </a:ln>
      </xdr:spPr>
    </xdr:pic>
    <xdr:clientData/>
  </xdr:twoCellAnchor>
  <xdr:twoCellAnchor editAs="oneCell">
    <xdr:from>
      <xdr:col>7</xdr:col>
      <xdr:colOff>0</xdr:colOff>
      <xdr:row>0</xdr:row>
      <xdr:rowOff>0</xdr:rowOff>
    </xdr:from>
    <xdr:to>
      <xdr:col>7</xdr:col>
      <xdr:colOff>801720</xdr:colOff>
      <xdr:row>0</xdr:row>
      <xdr:rowOff>801720</xdr:rowOff>
    </xdr:to>
    <xdr:pic>
      <xdr:nvPicPr>
        <xdr:cNvPr id="19" name="Image 2" descr="Picture"/>
        <xdr:cNvPicPr/>
      </xdr:nvPicPr>
      <xdr:blipFill>
        <a:blip r:embed="rId2"/>
        <a:stretch/>
      </xdr:blipFill>
      <xdr:spPr>
        <a:xfrm>
          <a:off x="11277720" y="0"/>
          <a:ext cx="801720" cy="80172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801720</xdr:colOff>
      <xdr:row>0</xdr:row>
      <xdr:rowOff>801720</xdr:rowOff>
    </xdr:to>
    <xdr:pic>
      <xdr:nvPicPr>
        <xdr:cNvPr id="20" name="Image 1" descr="Picture"/>
        <xdr:cNvPicPr/>
      </xdr:nvPicPr>
      <xdr:blipFill>
        <a:blip r:embed="rId1"/>
        <a:stretch/>
      </xdr:blipFill>
      <xdr:spPr>
        <a:xfrm>
          <a:off x="0" y="0"/>
          <a:ext cx="801720" cy="801720"/>
        </a:xfrm>
        <a:prstGeom prst="rect">
          <a:avLst/>
        </a:prstGeom>
        <a:ln w="0">
          <a:noFill/>
        </a:ln>
      </xdr:spPr>
    </xdr:pic>
    <xdr:clientData/>
  </xdr:twoCellAnchor>
  <xdr:twoCellAnchor editAs="oneCell">
    <xdr:from>
      <xdr:col>7</xdr:col>
      <xdr:colOff>0</xdr:colOff>
      <xdr:row>0</xdr:row>
      <xdr:rowOff>0</xdr:rowOff>
    </xdr:from>
    <xdr:to>
      <xdr:col>7</xdr:col>
      <xdr:colOff>801720</xdr:colOff>
      <xdr:row>0</xdr:row>
      <xdr:rowOff>801720</xdr:rowOff>
    </xdr:to>
    <xdr:pic>
      <xdr:nvPicPr>
        <xdr:cNvPr id="21" name="Image 2" descr="Picture"/>
        <xdr:cNvPicPr/>
      </xdr:nvPicPr>
      <xdr:blipFill>
        <a:blip r:embed="rId2"/>
        <a:stretch/>
      </xdr:blipFill>
      <xdr:spPr>
        <a:xfrm>
          <a:off x="11277720" y="0"/>
          <a:ext cx="801720" cy="80172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801720</xdr:colOff>
      <xdr:row>0</xdr:row>
      <xdr:rowOff>801720</xdr:rowOff>
    </xdr:to>
    <xdr:pic>
      <xdr:nvPicPr>
        <xdr:cNvPr id="22" name="Image 1" descr="Picture"/>
        <xdr:cNvPicPr/>
      </xdr:nvPicPr>
      <xdr:blipFill>
        <a:blip r:embed="rId1"/>
        <a:stretch/>
      </xdr:blipFill>
      <xdr:spPr>
        <a:xfrm>
          <a:off x="0" y="0"/>
          <a:ext cx="801720" cy="801720"/>
        </a:xfrm>
        <a:prstGeom prst="rect">
          <a:avLst/>
        </a:prstGeom>
        <a:ln w="0">
          <a:noFill/>
        </a:ln>
      </xdr:spPr>
    </xdr:pic>
    <xdr:clientData/>
  </xdr:twoCellAnchor>
  <xdr:twoCellAnchor editAs="oneCell">
    <xdr:from>
      <xdr:col>7</xdr:col>
      <xdr:colOff>0</xdr:colOff>
      <xdr:row>0</xdr:row>
      <xdr:rowOff>0</xdr:rowOff>
    </xdr:from>
    <xdr:to>
      <xdr:col>7</xdr:col>
      <xdr:colOff>801720</xdr:colOff>
      <xdr:row>0</xdr:row>
      <xdr:rowOff>801720</xdr:rowOff>
    </xdr:to>
    <xdr:pic>
      <xdr:nvPicPr>
        <xdr:cNvPr id="23" name="Image 2" descr="Picture"/>
        <xdr:cNvPicPr/>
      </xdr:nvPicPr>
      <xdr:blipFill>
        <a:blip r:embed="rId2"/>
        <a:stretch/>
      </xdr:blipFill>
      <xdr:spPr>
        <a:xfrm>
          <a:off x="11277720" y="0"/>
          <a:ext cx="801720" cy="80172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801720</xdr:colOff>
      <xdr:row>0</xdr:row>
      <xdr:rowOff>801720</xdr:rowOff>
    </xdr:to>
    <xdr:pic>
      <xdr:nvPicPr>
        <xdr:cNvPr id="24" name="Image 1" descr="Picture"/>
        <xdr:cNvPicPr/>
      </xdr:nvPicPr>
      <xdr:blipFill>
        <a:blip r:embed="rId1"/>
        <a:stretch/>
      </xdr:blipFill>
      <xdr:spPr>
        <a:xfrm>
          <a:off x="0" y="0"/>
          <a:ext cx="801720" cy="801720"/>
        </a:xfrm>
        <a:prstGeom prst="rect">
          <a:avLst/>
        </a:prstGeom>
        <a:ln w="0">
          <a:noFill/>
        </a:ln>
      </xdr:spPr>
    </xdr:pic>
    <xdr:clientData/>
  </xdr:twoCellAnchor>
  <xdr:twoCellAnchor editAs="oneCell">
    <xdr:from>
      <xdr:col>7</xdr:col>
      <xdr:colOff>0</xdr:colOff>
      <xdr:row>0</xdr:row>
      <xdr:rowOff>0</xdr:rowOff>
    </xdr:from>
    <xdr:to>
      <xdr:col>7</xdr:col>
      <xdr:colOff>801720</xdr:colOff>
      <xdr:row>0</xdr:row>
      <xdr:rowOff>801720</xdr:rowOff>
    </xdr:to>
    <xdr:pic>
      <xdr:nvPicPr>
        <xdr:cNvPr id="25" name="Image 2" descr="Picture"/>
        <xdr:cNvPicPr/>
      </xdr:nvPicPr>
      <xdr:blipFill>
        <a:blip r:embed="rId2"/>
        <a:stretch/>
      </xdr:blipFill>
      <xdr:spPr>
        <a:xfrm>
          <a:off x="11277720" y="0"/>
          <a:ext cx="801720" cy="80172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801720</xdr:colOff>
      <xdr:row>0</xdr:row>
      <xdr:rowOff>801720</xdr:rowOff>
    </xdr:to>
    <xdr:pic>
      <xdr:nvPicPr>
        <xdr:cNvPr id="26" name="Image 1" descr="Picture"/>
        <xdr:cNvPicPr/>
      </xdr:nvPicPr>
      <xdr:blipFill>
        <a:blip r:embed="rId1"/>
        <a:stretch/>
      </xdr:blipFill>
      <xdr:spPr>
        <a:xfrm>
          <a:off x="0" y="0"/>
          <a:ext cx="801720" cy="801720"/>
        </a:xfrm>
        <a:prstGeom prst="rect">
          <a:avLst/>
        </a:prstGeom>
        <a:ln w="0">
          <a:noFill/>
        </a:ln>
      </xdr:spPr>
    </xdr:pic>
    <xdr:clientData/>
  </xdr:twoCellAnchor>
  <xdr:twoCellAnchor editAs="oneCell">
    <xdr:from>
      <xdr:col>7</xdr:col>
      <xdr:colOff>0</xdr:colOff>
      <xdr:row>0</xdr:row>
      <xdr:rowOff>0</xdr:rowOff>
    </xdr:from>
    <xdr:to>
      <xdr:col>7</xdr:col>
      <xdr:colOff>801720</xdr:colOff>
      <xdr:row>0</xdr:row>
      <xdr:rowOff>801720</xdr:rowOff>
    </xdr:to>
    <xdr:pic>
      <xdr:nvPicPr>
        <xdr:cNvPr id="27" name="Image 2" descr="Picture"/>
        <xdr:cNvPicPr/>
      </xdr:nvPicPr>
      <xdr:blipFill>
        <a:blip r:embed="rId2"/>
        <a:stretch/>
      </xdr:blipFill>
      <xdr:spPr>
        <a:xfrm>
          <a:off x="11277720" y="0"/>
          <a:ext cx="801720" cy="801720"/>
        </a:xfrm>
        <a:prstGeom prst="rect">
          <a:avLst/>
        </a:prstGeom>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801720</xdr:colOff>
      <xdr:row>0</xdr:row>
      <xdr:rowOff>801720</xdr:rowOff>
    </xdr:to>
    <xdr:pic>
      <xdr:nvPicPr>
        <xdr:cNvPr id="28" name="Image 1" descr="Picture"/>
        <xdr:cNvPicPr/>
      </xdr:nvPicPr>
      <xdr:blipFill>
        <a:blip r:embed="rId1"/>
        <a:stretch/>
      </xdr:blipFill>
      <xdr:spPr>
        <a:xfrm>
          <a:off x="0" y="0"/>
          <a:ext cx="801720" cy="801720"/>
        </a:xfrm>
        <a:prstGeom prst="rect">
          <a:avLst/>
        </a:prstGeom>
        <a:ln w="0">
          <a:noFill/>
        </a:ln>
      </xdr:spPr>
    </xdr:pic>
    <xdr:clientData/>
  </xdr:twoCellAnchor>
  <xdr:twoCellAnchor editAs="oneCell">
    <xdr:from>
      <xdr:col>7</xdr:col>
      <xdr:colOff>0</xdr:colOff>
      <xdr:row>0</xdr:row>
      <xdr:rowOff>0</xdr:rowOff>
    </xdr:from>
    <xdr:to>
      <xdr:col>7</xdr:col>
      <xdr:colOff>801720</xdr:colOff>
      <xdr:row>0</xdr:row>
      <xdr:rowOff>801720</xdr:rowOff>
    </xdr:to>
    <xdr:pic>
      <xdr:nvPicPr>
        <xdr:cNvPr id="29" name="Image 2" descr="Picture"/>
        <xdr:cNvPicPr/>
      </xdr:nvPicPr>
      <xdr:blipFill>
        <a:blip r:embed="rId2"/>
        <a:stretch/>
      </xdr:blipFill>
      <xdr:spPr>
        <a:xfrm>
          <a:off x="11277720" y="0"/>
          <a:ext cx="801720" cy="801720"/>
        </a:xfrm>
        <a:prstGeom prst="rect">
          <a:avLst/>
        </a:prstGeom>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801720</xdr:colOff>
      <xdr:row>0</xdr:row>
      <xdr:rowOff>801720</xdr:rowOff>
    </xdr:to>
    <xdr:pic>
      <xdr:nvPicPr>
        <xdr:cNvPr id="30" name="Image 1" descr="Picture"/>
        <xdr:cNvPicPr/>
      </xdr:nvPicPr>
      <xdr:blipFill>
        <a:blip r:embed="rId1"/>
        <a:stretch/>
      </xdr:blipFill>
      <xdr:spPr>
        <a:xfrm>
          <a:off x="0" y="0"/>
          <a:ext cx="801720" cy="801720"/>
        </a:xfrm>
        <a:prstGeom prst="rect">
          <a:avLst/>
        </a:prstGeom>
        <a:ln w="0">
          <a:noFill/>
        </a:ln>
      </xdr:spPr>
    </xdr:pic>
    <xdr:clientData/>
  </xdr:twoCellAnchor>
  <xdr:twoCellAnchor editAs="oneCell">
    <xdr:from>
      <xdr:col>7</xdr:col>
      <xdr:colOff>0</xdr:colOff>
      <xdr:row>0</xdr:row>
      <xdr:rowOff>0</xdr:rowOff>
    </xdr:from>
    <xdr:to>
      <xdr:col>7</xdr:col>
      <xdr:colOff>801720</xdr:colOff>
      <xdr:row>0</xdr:row>
      <xdr:rowOff>801720</xdr:rowOff>
    </xdr:to>
    <xdr:pic>
      <xdr:nvPicPr>
        <xdr:cNvPr id="31" name="Image 2" descr="Picture"/>
        <xdr:cNvPicPr/>
      </xdr:nvPicPr>
      <xdr:blipFill>
        <a:blip r:embed="rId2"/>
        <a:stretch/>
      </xdr:blipFill>
      <xdr:spPr>
        <a:xfrm>
          <a:off x="11277720" y="0"/>
          <a:ext cx="801720" cy="801720"/>
        </a:xfrm>
        <a:prstGeom prst="rect">
          <a:avLst/>
        </a:prstGeom>
        <a:ln w="0">
          <a:noFill/>
        </a:ln>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801720</xdr:colOff>
      <xdr:row>0</xdr:row>
      <xdr:rowOff>801720</xdr:rowOff>
    </xdr:to>
    <xdr:pic>
      <xdr:nvPicPr>
        <xdr:cNvPr id="32" name="Image 1" descr="Picture"/>
        <xdr:cNvPicPr/>
      </xdr:nvPicPr>
      <xdr:blipFill>
        <a:blip r:embed="rId1"/>
        <a:stretch/>
      </xdr:blipFill>
      <xdr:spPr>
        <a:xfrm>
          <a:off x="0" y="0"/>
          <a:ext cx="801720" cy="801720"/>
        </a:xfrm>
        <a:prstGeom prst="rect">
          <a:avLst/>
        </a:prstGeom>
        <a:ln w="0">
          <a:noFill/>
        </a:ln>
      </xdr:spPr>
    </xdr:pic>
    <xdr:clientData/>
  </xdr:twoCellAnchor>
  <xdr:twoCellAnchor editAs="oneCell">
    <xdr:from>
      <xdr:col>7</xdr:col>
      <xdr:colOff>0</xdr:colOff>
      <xdr:row>0</xdr:row>
      <xdr:rowOff>0</xdr:rowOff>
    </xdr:from>
    <xdr:to>
      <xdr:col>7</xdr:col>
      <xdr:colOff>801720</xdr:colOff>
      <xdr:row>0</xdr:row>
      <xdr:rowOff>801720</xdr:rowOff>
    </xdr:to>
    <xdr:pic>
      <xdr:nvPicPr>
        <xdr:cNvPr id="33" name="Image 2" descr="Picture"/>
        <xdr:cNvPicPr/>
      </xdr:nvPicPr>
      <xdr:blipFill>
        <a:blip r:embed="rId2"/>
        <a:stretch/>
      </xdr:blipFill>
      <xdr:spPr>
        <a:xfrm>
          <a:off x="11277720" y="0"/>
          <a:ext cx="801720" cy="801720"/>
        </a:xfrm>
        <a:prstGeom prst="rect">
          <a:avLst/>
        </a:prstGeom>
        <a:ln w="0">
          <a:noFill/>
        </a:ln>
      </xdr:spPr>
    </xdr:pic>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801720</xdr:colOff>
      <xdr:row>0</xdr:row>
      <xdr:rowOff>801720</xdr:rowOff>
    </xdr:to>
    <xdr:pic>
      <xdr:nvPicPr>
        <xdr:cNvPr id="34" name="Image 1" descr="Picture"/>
        <xdr:cNvPicPr/>
      </xdr:nvPicPr>
      <xdr:blipFill>
        <a:blip r:embed="rId1"/>
        <a:stretch/>
      </xdr:blipFill>
      <xdr:spPr>
        <a:xfrm>
          <a:off x="0" y="0"/>
          <a:ext cx="801720" cy="801720"/>
        </a:xfrm>
        <a:prstGeom prst="rect">
          <a:avLst/>
        </a:prstGeom>
        <a:ln w="0">
          <a:noFill/>
        </a:ln>
      </xdr:spPr>
    </xdr:pic>
    <xdr:clientData/>
  </xdr:twoCellAnchor>
  <xdr:twoCellAnchor editAs="oneCell">
    <xdr:from>
      <xdr:col>7</xdr:col>
      <xdr:colOff>0</xdr:colOff>
      <xdr:row>0</xdr:row>
      <xdr:rowOff>0</xdr:rowOff>
    </xdr:from>
    <xdr:to>
      <xdr:col>7</xdr:col>
      <xdr:colOff>801720</xdr:colOff>
      <xdr:row>0</xdr:row>
      <xdr:rowOff>801720</xdr:rowOff>
    </xdr:to>
    <xdr:pic>
      <xdr:nvPicPr>
        <xdr:cNvPr id="35" name="Image 2" descr="Picture"/>
        <xdr:cNvPicPr/>
      </xdr:nvPicPr>
      <xdr:blipFill>
        <a:blip r:embed="rId2"/>
        <a:stretch/>
      </xdr:blipFill>
      <xdr:spPr>
        <a:xfrm>
          <a:off x="11277720" y="0"/>
          <a:ext cx="801720" cy="801720"/>
        </a:xfrm>
        <a:prstGeom prst="rect">
          <a:avLst/>
        </a:prstGeom>
        <a:ln w="0">
          <a:noFill/>
        </a:ln>
      </xdr:spPr>
    </xdr:pic>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801720</xdr:colOff>
      <xdr:row>0</xdr:row>
      <xdr:rowOff>801720</xdr:rowOff>
    </xdr:to>
    <xdr:pic>
      <xdr:nvPicPr>
        <xdr:cNvPr id="36" name="Image 1" descr="Picture"/>
        <xdr:cNvPicPr/>
      </xdr:nvPicPr>
      <xdr:blipFill>
        <a:blip r:embed="rId1"/>
        <a:stretch/>
      </xdr:blipFill>
      <xdr:spPr>
        <a:xfrm>
          <a:off x="0" y="0"/>
          <a:ext cx="801720" cy="801720"/>
        </a:xfrm>
        <a:prstGeom prst="rect">
          <a:avLst/>
        </a:prstGeom>
        <a:ln w="0">
          <a:noFill/>
        </a:ln>
      </xdr:spPr>
    </xdr:pic>
    <xdr:clientData/>
  </xdr:twoCellAnchor>
  <xdr:twoCellAnchor editAs="oneCell">
    <xdr:from>
      <xdr:col>7</xdr:col>
      <xdr:colOff>0</xdr:colOff>
      <xdr:row>0</xdr:row>
      <xdr:rowOff>0</xdr:rowOff>
    </xdr:from>
    <xdr:to>
      <xdr:col>7</xdr:col>
      <xdr:colOff>801720</xdr:colOff>
      <xdr:row>0</xdr:row>
      <xdr:rowOff>801720</xdr:rowOff>
    </xdr:to>
    <xdr:pic>
      <xdr:nvPicPr>
        <xdr:cNvPr id="37" name="Image 2" descr="Picture"/>
        <xdr:cNvPicPr/>
      </xdr:nvPicPr>
      <xdr:blipFill>
        <a:blip r:embed="rId2"/>
        <a:stretch/>
      </xdr:blipFill>
      <xdr:spPr>
        <a:xfrm>
          <a:off x="11277720" y="0"/>
          <a:ext cx="801720" cy="801720"/>
        </a:xfrm>
        <a:prstGeom prst="rect">
          <a:avLst/>
        </a:prstGeom>
        <a:ln w="0">
          <a:noFill/>
        </a:ln>
      </xdr:spPr>
    </xdr:pic>
    <xdr:clientData/>
  </xdr:twoCellAnchor>
</xdr:wsDr>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801720</xdr:colOff>
      <xdr:row>0</xdr:row>
      <xdr:rowOff>801720</xdr:rowOff>
    </xdr:to>
    <xdr:pic>
      <xdr:nvPicPr>
        <xdr:cNvPr id="38" name="Image 1" descr="Picture"/>
        <xdr:cNvPicPr/>
      </xdr:nvPicPr>
      <xdr:blipFill>
        <a:blip r:embed="rId1"/>
        <a:stretch/>
      </xdr:blipFill>
      <xdr:spPr>
        <a:xfrm>
          <a:off x="0" y="0"/>
          <a:ext cx="801720" cy="801720"/>
        </a:xfrm>
        <a:prstGeom prst="rect">
          <a:avLst/>
        </a:prstGeom>
        <a:ln w="0">
          <a:noFill/>
        </a:ln>
      </xdr:spPr>
    </xdr:pic>
    <xdr:clientData/>
  </xdr:twoCellAnchor>
  <xdr:twoCellAnchor editAs="oneCell">
    <xdr:from>
      <xdr:col>7</xdr:col>
      <xdr:colOff>0</xdr:colOff>
      <xdr:row>0</xdr:row>
      <xdr:rowOff>0</xdr:rowOff>
    </xdr:from>
    <xdr:to>
      <xdr:col>7</xdr:col>
      <xdr:colOff>801720</xdr:colOff>
      <xdr:row>0</xdr:row>
      <xdr:rowOff>801720</xdr:rowOff>
    </xdr:to>
    <xdr:pic>
      <xdr:nvPicPr>
        <xdr:cNvPr id="39" name="Image 2" descr="Picture"/>
        <xdr:cNvPicPr/>
      </xdr:nvPicPr>
      <xdr:blipFill>
        <a:blip r:embed="rId2"/>
        <a:stretch/>
      </xdr:blipFill>
      <xdr:spPr>
        <a:xfrm>
          <a:off x="11277720" y="0"/>
          <a:ext cx="801720" cy="801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drawing" Target="../drawings/drawing19.xml"/>
</Relationships>
</file>

<file path=xl/worksheets/_rels/sheet20.xml.rels><?xml version="1.0" encoding="UTF-8"?>
<Relationships xmlns="http://schemas.openxmlformats.org/package/2006/relationships"><Relationship Id="rId1" Type="http://schemas.openxmlformats.org/officeDocument/2006/relationships/drawing" Target="../drawings/drawing2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6"/>
    <col collapsed="false" customWidth="true" hidden="false" outlineLevel="0" max="3" min="3" style="1" width="22"/>
    <col collapsed="false" customWidth="true" hidden="false" outlineLevel="0" max="4" min="4" style="1" width="10"/>
    <col collapsed="false" customWidth="true" hidden="false" outlineLevel="0" max="5" min="5" style="1" width="22"/>
    <col collapsed="false" customWidth="true" hidden="false" outlineLevel="0" max="6" min="6" style="1" width="3"/>
  </cols>
  <sheetData>
    <row r="1" customFormat="false" ht="75" hidden="false" customHeight="true" outlineLevel="0" collapsed="false">
      <c r="A1" s="2" t="s">
        <v>0</v>
      </c>
      <c r="B1" s="2"/>
      <c r="C1" s="2"/>
      <c r="D1" s="2"/>
      <c r="E1" s="2"/>
      <c r="F1" s="2"/>
    </row>
    <row r="3" customFormat="false" ht="15" hidden="false" customHeight="true" outlineLevel="0" collapsed="false">
      <c r="A3" s="3" t="s">
        <v>1</v>
      </c>
      <c r="B3" s="4" t="s">
        <v>2</v>
      </c>
    </row>
    <row r="4" customFormat="false" ht="15" hidden="false" customHeight="true" outlineLevel="0" collapsed="false">
      <c r="A4" s="3" t="s">
        <v>3</v>
      </c>
      <c r="B4" s="4" t="s">
        <v>4</v>
      </c>
    </row>
    <row r="5" customFormat="false" ht="15" hidden="false" customHeight="true" outlineLevel="0" collapsed="false">
      <c r="A5" s="3" t="s">
        <v>5</v>
      </c>
      <c r="B5" s="5" t="n">
        <f aca="false">DATE(VALUE(LEFT($B$4,4)),9,14)-(WEEKDAY(DATE(VALUE(LEFT($B$4,4)),9,14),2)-1)</f>
        <v>46279</v>
      </c>
    </row>
    <row r="6" customFormat="false" ht="15" hidden="false" customHeight="true" outlineLevel="0" collapsed="false">
      <c r="A6" s="6" t="s">
        <v>6</v>
      </c>
      <c r="B6" s="6"/>
      <c r="C6" s="6"/>
      <c r="D6" s="6"/>
      <c r="E6" s="6"/>
      <c r="F6" s="6"/>
    </row>
    <row r="8" customFormat="false" ht="15" hidden="false" customHeight="true" outlineLevel="0" collapsed="false">
      <c r="A8" s="7" t="s">
        <v>7</v>
      </c>
      <c r="B8" s="7"/>
      <c r="C8" s="7"/>
      <c r="D8" s="7"/>
      <c r="E8" s="7"/>
      <c r="F8" s="7"/>
    </row>
    <row r="9" customFormat="false" ht="15" hidden="false" customHeight="true" outlineLevel="0" collapsed="false">
      <c r="A9" s="3" t="s">
        <v>8</v>
      </c>
      <c r="B9" s="3" t="s">
        <v>9</v>
      </c>
      <c r="C9" s="3" t="s">
        <v>10</v>
      </c>
      <c r="D9" s="3" t="s">
        <v>11</v>
      </c>
      <c r="E9" s="3" t="s">
        <v>12</v>
      </c>
      <c r="F9" s="3"/>
    </row>
    <row r="10" customFormat="false" ht="15" hidden="false" customHeight="true" outlineLevel="0" collapsed="false">
      <c r="A10" s="8" t="n">
        <v>1</v>
      </c>
      <c r="B10" s="9" t="n">
        <f aca="false">($B$5+(1-1)*7)</f>
        <v>46279</v>
      </c>
      <c r="C10" s="10" t="str">
        <f aca="false">IF(MONTH(($B$5+(1-1)*7))=MONTH((($B$5+(1-1)*7)+4)),TEXT(DAY(($B$5+(1-1)*7)),"00")&amp;"-"&amp;TEXT(DAY((($B$5+(1-1)*7)+4)),"00")&amp;" "&amp;CHOOSE(MONTH(($B$5+(1-1)*7)),"Ocak","Şubat","Mart","Nisan","Mayıs","Haziran","Temmuz","Ağustos","Eylül","Ekim","Kasım","Aralık"),TEXT(DAY(($B$5+(1-1)*7)),"00")&amp;" "&amp;CHOOSE(MONTH(($B$5+(1-1)*7)),"Ocak","Şubat","Mart","Nisan","Mayıs","Haziran","Temmuz","Ağustos","Eylül","Ekim","Kasım","Aralık")&amp;" - "&amp;TEXT(DAY((($B$5+(1-1)*7)+4)),"00")&amp;" "&amp;CHOOSE(MONTH((($B$5+(1-1)*7)+4)),"Ocak","Şubat","Mart","Nisan","Mayıs","Haziran","Temmuz","Ağustos","Eylül","Ekim","Kasım","Aralık"))</f>
        <v>14-18 Eylül</v>
      </c>
      <c r="D10" s="10" t="s">
        <v>13</v>
      </c>
      <c r="E10" s="4"/>
    </row>
    <row r="11" customFormat="false" ht="15" hidden="false" customHeight="true" outlineLevel="0" collapsed="false">
      <c r="A11" s="8" t="n">
        <v>2</v>
      </c>
      <c r="B11" s="9" t="n">
        <f aca="false">($B$5+(2-1)*7)</f>
        <v>46286</v>
      </c>
      <c r="C11" s="10" t="str">
        <f aca="false">IF(MONTH(($B$5+(2-1)*7))=MONTH((($B$5+(2-1)*7)+4)),TEXT(DAY(($B$5+(2-1)*7)),"00")&amp;"-"&amp;TEXT(DAY((($B$5+(2-1)*7)+4)),"00")&amp;" "&amp;CHOOSE(MONTH(($B$5+(2-1)*7)),"Ocak","Şubat","Mart","Nisan","Mayıs","Haziran","Temmuz","Ağustos","Eylül","Ekim","Kasım","Aralık"),TEXT(DAY(($B$5+(2-1)*7)),"00")&amp;" "&amp;CHOOSE(MONTH(($B$5+(2-1)*7)),"Ocak","Şubat","Mart","Nisan","Mayıs","Haziran","Temmuz","Ağustos","Eylül","Ekim","Kasım","Aralık")&amp;" - "&amp;TEXT(DAY((($B$5+(2-1)*7)+4)),"00")&amp;" "&amp;CHOOSE(MONTH((($B$5+(2-1)*7)+4)),"Ocak","Şubat","Mart","Nisan","Mayıs","Haziran","Temmuz","Ağustos","Eylül","Ekim","Kasım","Aralık"))</f>
        <v>21-25 Eylül</v>
      </c>
      <c r="D11" s="10" t="s">
        <v>13</v>
      </c>
      <c r="E11" s="4"/>
    </row>
    <row r="12" customFormat="false" ht="15" hidden="false" customHeight="true" outlineLevel="0" collapsed="false">
      <c r="A12" s="8" t="n">
        <v>3</v>
      </c>
      <c r="B12" s="9" t="n">
        <f aca="false">($B$5+(3-1)*7)</f>
        <v>46293</v>
      </c>
      <c r="C12" s="10" t="str">
        <f aca="false">IF(MONTH(($B$5+(3-1)*7))=MONTH((($B$5+(3-1)*7)+4)),TEXT(DAY(($B$5+(3-1)*7)),"00")&amp;"-"&amp;TEXT(DAY((($B$5+(3-1)*7)+4)),"00")&amp;" "&amp;CHOOSE(MONTH(($B$5+(3-1)*7)),"Ocak","Şubat","Mart","Nisan","Mayıs","Haziran","Temmuz","Ağustos","Eylül","Ekim","Kasım","Aralık"),TEXT(DAY(($B$5+(3-1)*7)),"00")&amp;" "&amp;CHOOSE(MONTH(($B$5+(3-1)*7)),"Ocak","Şubat","Mart","Nisan","Mayıs","Haziran","Temmuz","Ağustos","Eylül","Ekim","Kasım","Aralık")&amp;" - "&amp;TEXT(DAY((($B$5+(3-1)*7)+4)),"00")&amp;" "&amp;CHOOSE(MONTH((($B$5+(3-1)*7)+4)),"Ocak","Şubat","Mart","Nisan","Mayıs","Haziran","Temmuz","Ağustos","Eylül","Ekim","Kasım","Aralık"))</f>
        <v>28 Eylül - 02 Ekim</v>
      </c>
      <c r="D12" s="10" t="s">
        <v>13</v>
      </c>
      <c r="E12" s="4"/>
    </row>
    <row r="13" customFormat="false" ht="15" hidden="false" customHeight="true" outlineLevel="0" collapsed="false">
      <c r="A13" s="8" t="n">
        <v>4</v>
      </c>
      <c r="B13" s="9" t="n">
        <f aca="false">($B$5+(4-1)*7)</f>
        <v>46300</v>
      </c>
      <c r="C13" s="10" t="str">
        <f aca="false">IF(MONTH(($B$5+(4-1)*7))=MONTH((($B$5+(4-1)*7)+4)),TEXT(DAY(($B$5+(4-1)*7)),"00")&amp;"-"&amp;TEXT(DAY((($B$5+(4-1)*7)+4)),"00")&amp;" "&amp;CHOOSE(MONTH(($B$5+(4-1)*7)),"Ocak","Şubat","Mart","Nisan","Mayıs","Haziran","Temmuz","Ağustos","Eylül","Ekim","Kasım","Aralık"),TEXT(DAY(($B$5+(4-1)*7)),"00")&amp;" "&amp;CHOOSE(MONTH(($B$5+(4-1)*7)),"Ocak","Şubat","Mart","Nisan","Mayıs","Haziran","Temmuz","Ağustos","Eylül","Ekim","Kasım","Aralık")&amp;" - "&amp;TEXT(DAY((($B$5+(4-1)*7)+4)),"00")&amp;" "&amp;CHOOSE(MONTH((($B$5+(4-1)*7)+4)),"Ocak","Şubat","Mart","Nisan","Mayıs","Haziran","Temmuz","Ağustos","Eylül","Ekim","Kasım","Aralık"))</f>
        <v>05-09 Ekim</v>
      </c>
      <c r="D13" s="10" t="s">
        <v>13</v>
      </c>
      <c r="E13" s="4"/>
    </row>
    <row r="14" customFormat="false" ht="15" hidden="false" customHeight="true" outlineLevel="0" collapsed="false">
      <c r="A14" s="8" t="n">
        <v>5</v>
      </c>
      <c r="B14" s="9" t="n">
        <f aca="false">($B$5+(5-1)*7)</f>
        <v>46307</v>
      </c>
      <c r="C14" s="10" t="str">
        <f aca="false">IF(MONTH(($B$5+(5-1)*7))=MONTH((($B$5+(5-1)*7)+4)),TEXT(DAY(($B$5+(5-1)*7)),"00")&amp;"-"&amp;TEXT(DAY((($B$5+(5-1)*7)+4)),"00")&amp;" "&amp;CHOOSE(MONTH(($B$5+(5-1)*7)),"Ocak","Şubat","Mart","Nisan","Mayıs","Haziran","Temmuz","Ağustos","Eylül","Ekim","Kasım","Aralık"),TEXT(DAY(($B$5+(5-1)*7)),"00")&amp;" "&amp;CHOOSE(MONTH(($B$5+(5-1)*7)),"Ocak","Şubat","Mart","Nisan","Mayıs","Haziran","Temmuz","Ağustos","Eylül","Ekim","Kasım","Aralık")&amp;" - "&amp;TEXT(DAY((($B$5+(5-1)*7)+4)),"00")&amp;" "&amp;CHOOSE(MONTH((($B$5+(5-1)*7)+4)),"Ocak","Şubat","Mart","Nisan","Mayıs","Haziran","Temmuz","Ağustos","Eylül","Ekim","Kasım","Aralık"))</f>
        <v>12-16 Ekim</v>
      </c>
      <c r="D14" s="10" t="s">
        <v>13</v>
      </c>
      <c r="E14" s="4"/>
    </row>
    <row r="15" customFormat="false" ht="15" hidden="false" customHeight="true" outlineLevel="0" collapsed="false">
      <c r="A15" s="8" t="n">
        <v>6</v>
      </c>
      <c r="B15" s="9" t="n">
        <f aca="false">($B$5+(6-1)*7)</f>
        <v>46314</v>
      </c>
      <c r="C15" s="10" t="str">
        <f aca="false">IF(MONTH(($B$5+(6-1)*7))=MONTH((($B$5+(6-1)*7)+4)),TEXT(DAY(($B$5+(6-1)*7)),"00")&amp;"-"&amp;TEXT(DAY((($B$5+(6-1)*7)+4)),"00")&amp;" "&amp;CHOOSE(MONTH(($B$5+(6-1)*7)),"Ocak","Şubat","Mart","Nisan","Mayıs","Haziran","Temmuz","Ağustos","Eylül","Ekim","Kasım","Aralık"),TEXT(DAY(($B$5+(6-1)*7)),"00")&amp;" "&amp;CHOOSE(MONTH(($B$5+(6-1)*7)),"Ocak","Şubat","Mart","Nisan","Mayıs","Haziran","Temmuz","Ağustos","Eylül","Ekim","Kasım","Aralık")&amp;" - "&amp;TEXT(DAY((($B$5+(6-1)*7)+4)),"00")&amp;" "&amp;CHOOSE(MONTH((($B$5+(6-1)*7)+4)),"Ocak","Şubat","Mart","Nisan","Mayıs","Haziran","Temmuz","Ağustos","Eylül","Ekim","Kasım","Aralık"))</f>
        <v>19-23 Ekim</v>
      </c>
      <c r="D15" s="10" t="s">
        <v>13</v>
      </c>
      <c r="E15" s="4"/>
    </row>
    <row r="16" customFormat="false" ht="15" hidden="false" customHeight="true" outlineLevel="0" collapsed="false">
      <c r="A16" s="8" t="n">
        <v>7</v>
      </c>
      <c r="B16" s="9" t="n">
        <f aca="false">($B$5+(7-1)*7)</f>
        <v>46321</v>
      </c>
      <c r="C16" s="10" t="str">
        <f aca="false">IF(MONTH(($B$5+(7-1)*7))=MONTH((($B$5+(7-1)*7)+4)),TEXT(DAY(($B$5+(7-1)*7)),"00")&amp;"-"&amp;TEXT(DAY((($B$5+(7-1)*7)+4)),"00")&amp;" "&amp;CHOOSE(MONTH(($B$5+(7-1)*7)),"Ocak","Şubat","Mart","Nisan","Mayıs","Haziran","Temmuz","Ağustos","Eylül","Ekim","Kasım","Aralık"),TEXT(DAY(($B$5+(7-1)*7)),"00")&amp;" "&amp;CHOOSE(MONTH(($B$5+(7-1)*7)),"Ocak","Şubat","Mart","Nisan","Mayıs","Haziran","Temmuz","Ağustos","Eylül","Ekim","Kasım","Aralık")&amp;" - "&amp;TEXT(DAY((($B$5+(7-1)*7)+4)),"00")&amp;" "&amp;CHOOSE(MONTH((($B$5+(7-1)*7)+4)),"Ocak","Şubat","Mart","Nisan","Mayıs","Haziran","Temmuz","Ağustos","Eylül","Ekim","Kasım","Aralık"))</f>
        <v>26-30 Ekim</v>
      </c>
      <c r="D16" s="10" t="s">
        <v>13</v>
      </c>
      <c r="E16" s="4"/>
    </row>
    <row r="17" customFormat="false" ht="15" hidden="false" customHeight="true" outlineLevel="0" collapsed="false">
      <c r="A17" s="8" t="n">
        <v>8</v>
      </c>
      <c r="B17" s="9" t="n">
        <f aca="false">($B$5+(8-1)*7)</f>
        <v>46328</v>
      </c>
      <c r="C17" s="10" t="str">
        <f aca="false">IF(MONTH(($B$5+(8-1)*7))=MONTH((($B$5+(8-1)*7)+4)),TEXT(DAY(($B$5+(8-1)*7)),"00")&amp;"-"&amp;TEXT(DAY((($B$5+(8-1)*7)+4)),"00")&amp;" "&amp;CHOOSE(MONTH(($B$5+(8-1)*7)),"Ocak","Şubat","Mart","Nisan","Mayıs","Haziran","Temmuz","Ağustos","Eylül","Ekim","Kasım","Aralık"),TEXT(DAY(($B$5+(8-1)*7)),"00")&amp;" "&amp;CHOOSE(MONTH(($B$5+(8-1)*7)),"Ocak","Şubat","Mart","Nisan","Mayıs","Haziran","Temmuz","Ağustos","Eylül","Ekim","Kasım","Aralık")&amp;" - "&amp;TEXT(DAY((($B$5+(8-1)*7)+4)),"00")&amp;" "&amp;CHOOSE(MONTH((($B$5+(8-1)*7)+4)),"Ocak","Şubat","Mart","Nisan","Mayıs","Haziran","Temmuz","Ağustos","Eylül","Ekim","Kasım","Aralık"))</f>
        <v>02-06 Kasım</v>
      </c>
      <c r="D17" s="10" t="s">
        <v>13</v>
      </c>
      <c r="E17" s="4"/>
    </row>
    <row r="18" customFormat="false" ht="15" hidden="false" customHeight="true" outlineLevel="0" collapsed="false">
      <c r="A18" s="8" t="n">
        <v>9</v>
      </c>
      <c r="B18" s="9" t="n">
        <f aca="false">($B$5+(9-1)*7)</f>
        <v>46335</v>
      </c>
      <c r="C18" s="10" t="str">
        <f aca="false">IF(MONTH(($B$5+(9-1)*7))=MONTH((($B$5+(9-1)*7)+4)),TEXT(DAY(($B$5+(9-1)*7)),"00")&amp;"-"&amp;TEXT(DAY((($B$5+(9-1)*7)+4)),"00")&amp;" "&amp;CHOOSE(MONTH(($B$5+(9-1)*7)),"Ocak","Şubat","Mart","Nisan","Mayıs","Haziran","Temmuz","Ağustos","Eylül","Ekim","Kasım","Aralık"),TEXT(DAY(($B$5+(9-1)*7)),"00")&amp;" "&amp;CHOOSE(MONTH(($B$5+(9-1)*7)),"Ocak","Şubat","Mart","Nisan","Mayıs","Haziran","Temmuz","Ağustos","Eylül","Ekim","Kasım","Aralık")&amp;" - "&amp;TEXT(DAY((($B$5+(9-1)*7)+4)),"00")&amp;" "&amp;CHOOSE(MONTH((($B$5+(9-1)*7)+4)),"Ocak","Şubat","Mart","Nisan","Mayıs","Haziran","Temmuz","Ağustos","Eylül","Ekim","Kasım","Aralık"))</f>
        <v>09-13 Kasım</v>
      </c>
      <c r="D18" s="10" t="s">
        <v>13</v>
      </c>
      <c r="E18" s="4"/>
    </row>
    <row r="19" customFormat="false" ht="15" hidden="false" customHeight="true" outlineLevel="0" collapsed="false">
      <c r="A19" s="11" t="n">
        <v>10</v>
      </c>
      <c r="B19" s="12" t="n">
        <f aca="false">($B$5+(10-1)*7)</f>
        <v>46342</v>
      </c>
      <c r="C19" s="13" t="str">
        <f aca="false">IF(MONTH(($B$5+(10-1)*7))=MONTH((($B$5+(10-1)*7)+4)),TEXT(DAY(($B$5+(10-1)*7)),"00")&amp;"-"&amp;TEXT(DAY((($B$5+(10-1)*7)+4)),"00")&amp;" "&amp;CHOOSE(MONTH(($B$5+(10-1)*7)),"Ocak","Şubat","Mart","Nisan","Mayıs","Haziran","Temmuz","Ağustos","Eylül","Ekim","Kasım","Aralık"),TEXT(DAY(($B$5+(10-1)*7)),"00")&amp;" "&amp;CHOOSE(MONTH(($B$5+(10-1)*7)),"Ocak","Şubat","Mart","Nisan","Mayıs","Haziran","Temmuz","Ağustos","Eylül","Ekim","Kasım","Aralık")&amp;" - "&amp;TEXT(DAY((($B$5+(10-1)*7)+4)),"00")&amp;" "&amp;CHOOSE(MONTH((($B$5+(10-1)*7)+4)),"Ocak","Şubat","Mart","Nisan","Mayıs","Haziran","Temmuz","Ağustos","Eylül","Ekim","Kasım","Aralık"))</f>
        <v>16-20 Kasım</v>
      </c>
      <c r="D19" s="13" t="s">
        <v>14</v>
      </c>
      <c r="E19" s="14" t="s">
        <v>15</v>
      </c>
    </row>
    <row r="20" customFormat="false" ht="15" hidden="false" customHeight="true" outlineLevel="0" collapsed="false">
      <c r="A20" s="8" t="n">
        <v>11</v>
      </c>
      <c r="B20" s="9" t="n">
        <f aca="false">($B$5+(11-1)*7)</f>
        <v>46349</v>
      </c>
      <c r="C20" s="10" t="str">
        <f aca="false">IF(MONTH(($B$5+(11-1)*7))=MONTH((($B$5+(11-1)*7)+4)),TEXT(DAY(($B$5+(11-1)*7)),"00")&amp;"-"&amp;TEXT(DAY((($B$5+(11-1)*7)+4)),"00")&amp;" "&amp;CHOOSE(MONTH(($B$5+(11-1)*7)),"Ocak","Şubat","Mart","Nisan","Mayıs","Haziran","Temmuz","Ağustos","Eylül","Ekim","Kasım","Aralık"),TEXT(DAY(($B$5+(11-1)*7)),"00")&amp;" "&amp;CHOOSE(MONTH(($B$5+(11-1)*7)),"Ocak","Şubat","Mart","Nisan","Mayıs","Haziran","Temmuz","Ağustos","Eylül","Ekim","Kasım","Aralık")&amp;" - "&amp;TEXT(DAY((($B$5+(11-1)*7)+4)),"00")&amp;" "&amp;CHOOSE(MONTH((($B$5+(11-1)*7)+4)),"Ocak","Şubat","Mart","Nisan","Mayıs","Haziran","Temmuz","Ağustos","Eylül","Ekim","Kasım","Aralık"))</f>
        <v>23-27 Kasım</v>
      </c>
      <c r="D20" s="10" t="s">
        <v>13</v>
      </c>
      <c r="E20" s="4"/>
    </row>
    <row r="21" customFormat="false" ht="15" hidden="false" customHeight="true" outlineLevel="0" collapsed="false">
      <c r="A21" s="8" t="n">
        <v>12</v>
      </c>
      <c r="B21" s="9" t="n">
        <f aca="false">($B$5+(12-1)*7)</f>
        <v>46356</v>
      </c>
      <c r="C21" s="10" t="str">
        <f aca="false">IF(MONTH(($B$5+(12-1)*7))=MONTH((($B$5+(12-1)*7)+4)),TEXT(DAY(($B$5+(12-1)*7)),"00")&amp;"-"&amp;TEXT(DAY((($B$5+(12-1)*7)+4)),"00")&amp;" "&amp;CHOOSE(MONTH(($B$5+(12-1)*7)),"Ocak","Şubat","Mart","Nisan","Mayıs","Haziran","Temmuz","Ağustos","Eylül","Ekim","Kasım","Aralık"),TEXT(DAY(($B$5+(12-1)*7)),"00")&amp;" "&amp;CHOOSE(MONTH(($B$5+(12-1)*7)),"Ocak","Şubat","Mart","Nisan","Mayıs","Haziran","Temmuz","Ağustos","Eylül","Ekim","Kasım","Aralık")&amp;" - "&amp;TEXT(DAY((($B$5+(12-1)*7)+4)),"00")&amp;" "&amp;CHOOSE(MONTH((($B$5+(12-1)*7)+4)),"Ocak","Şubat","Mart","Nisan","Mayıs","Haziran","Temmuz","Ağustos","Eylül","Ekim","Kasım","Aralık"))</f>
        <v>30 Kasım - 04 Aralık</v>
      </c>
      <c r="D21" s="10" t="s">
        <v>13</v>
      </c>
      <c r="E21" s="4"/>
    </row>
    <row r="22" customFormat="false" ht="15" hidden="false" customHeight="true" outlineLevel="0" collapsed="false">
      <c r="A22" s="8" t="n">
        <v>13</v>
      </c>
      <c r="B22" s="9" t="n">
        <f aca="false">($B$5+(13-1)*7)</f>
        <v>46363</v>
      </c>
      <c r="C22" s="10" t="str">
        <f aca="false">IF(MONTH(($B$5+(13-1)*7))=MONTH((($B$5+(13-1)*7)+4)),TEXT(DAY(($B$5+(13-1)*7)),"00")&amp;"-"&amp;TEXT(DAY((($B$5+(13-1)*7)+4)),"00")&amp;" "&amp;CHOOSE(MONTH(($B$5+(13-1)*7)),"Ocak","Şubat","Mart","Nisan","Mayıs","Haziran","Temmuz","Ağustos","Eylül","Ekim","Kasım","Aralık"),TEXT(DAY(($B$5+(13-1)*7)),"00")&amp;" "&amp;CHOOSE(MONTH(($B$5+(13-1)*7)),"Ocak","Şubat","Mart","Nisan","Mayıs","Haziran","Temmuz","Ağustos","Eylül","Ekim","Kasım","Aralık")&amp;" - "&amp;TEXT(DAY((($B$5+(13-1)*7)+4)),"00")&amp;" "&amp;CHOOSE(MONTH((($B$5+(13-1)*7)+4)),"Ocak","Şubat","Mart","Nisan","Mayıs","Haziran","Temmuz","Ağustos","Eylül","Ekim","Kasım","Aralık"))</f>
        <v>07-11 Aralık</v>
      </c>
      <c r="D22" s="10" t="s">
        <v>13</v>
      </c>
      <c r="E22" s="4"/>
    </row>
    <row r="23" customFormat="false" ht="15" hidden="false" customHeight="true" outlineLevel="0" collapsed="false">
      <c r="A23" s="8" t="n">
        <v>14</v>
      </c>
      <c r="B23" s="9" t="n">
        <f aca="false">($B$5+(14-1)*7)</f>
        <v>46370</v>
      </c>
      <c r="C23" s="10" t="str">
        <f aca="false">IF(MONTH(($B$5+(14-1)*7))=MONTH((($B$5+(14-1)*7)+4)),TEXT(DAY(($B$5+(14-1)*7)),"00")&amp;"-"&amp;TEXT(DAY((($B$5+(14-1)*7)+4)),"00")&amp;" "&amp;CHOOSE(MONTH(($B$5+(14-1)*7)),"Ocak","Şubat","Mart","Nisan","Mayıs","Haziran","Temmuz","Ağustos","Eylül","Ekim","Kasım","Aralık"),TEXT(DAY(($B$5+(14-1)*7)),"00")&amp;" "&amp;CHOOSE(MONTH(($B$5+(14-1)*7)),"Ocak","Şubat","Mart","Nisan","Mayıs","Haziran","Temmuz","Ağustos","Eylül","Ekim","Kasım","Aralık")&amp;" - "&amp;TEXT(DAY((($B$5+(14-1)*7)+4)),"00")&amp;" "&amp;CHOOSE(MONTH((($B$5+(14-1)*7)+4)),"Ocak","Şubat","Mart","Nisan","Mayıs","Haziran","Temmuz","Ağustos","Eylül","Ekim","Kasım","Aralık"))</f>
        <v>14-18 Aralık</v>
      </c>
      <c r="D23" s="10" t="s">
        <v>13</v>
      </c>
      <c r="E23" s="4"/>
    </row>
    <row r="24" customFormat="false" ht="15" hidden="false" customHeight="true" outlineLevel="0" collapsed="false">
      <c r="A24" s="8" t="n">
        <v>15</v>
      </c>
      <c r="B24" s="9" t="n">
        <f aca="false">($B$5+(15-1)*7)</f>
        <v>46377</v>
      </c>
      <c r="C24" s="10" t="str">
        <f aca="false">IF(MONTH(($B$5+(15-1)*7))=MONTH((($B$5+(15-1)*7)+4)),TEXT(DAY(($B$5+(15-1)*7)),"00")&amp;"-"&amp;TEXT(DAY((($B$5+(15-1)*7)+4)),"00")&amp;" "&amp;CHOOSE(MONTH(($B$5+(15-1)*7)),"Ocak","Şubat","Mart","Nisan","Mayıs","Haziran","Temmuz","Ağustos","Eylül","Ekim","Kasım","Aralık"),TEXT(DAY(($B$5+(15-1)*7)),"00")&amp;" "&amp;CHOOSE(MONTH(($B$5+(15-1)*7)),"Ocak","Şubat","Mart","Nisan","Mayıs","Haziran","Temmuz","Ağustos","Eylül","Ekim","Kasım","Aralık")&amp;" - "&amp;TEXT(DAY((($B$5+(15-1)*7)+4)),"00")&amp;" "&amp;CHOOSE(MONTH((($B$5+(15-1)*7)+4)),"Ocak","Şubat","Mart","Nisan","Mayıs","Haziran","Temmuz","Ağustos","Eylül","Ekim","Kasım","Aralık"))</f>
        <v>21-25 Aralık</v>
      </c>
      <c r="D24" s="10" t="s">
        <v>13</v>
      </c>
      <c r="E24" s="4"/>
    </row>
    <row r="25" customFormat="false" ht="15" hidden="false" customHeight="true" outlineLevel="0" collapsed="false">
      <c r="A25" s="8" t="n">
        <v>16</v>
      </c>
      <c r="B25" s="9" t="n">
        <f aca="false">($B$5+(16-1)*7)</f>
        <v>46384</v>
      </c>
      <c r="C25" s="10" t="str">
        <f aca="false">IF(MONTH(($B$5+(16-1)*7))=MONTH((($B$5+(16-1)*7)+4)),TEXT(DAY(($B$5+(16-1)*7)),"00")&amp;"-"&amp;TEXT(DAY((($B$5+(16-1)*7)+4)),"00")&amp;" "&amp;CHOOSE(MONTH(($B$5+(16-1)*7)),"Ocak","Şubat","Mart","Nisan","Mayıs","Haziran","Temmuz","Ağustos","Eylül","Ekim","Kasım","Aralık"),TEXT(DAY(($B$5+(16-1)*7)),"00")&amp;" "&amp;CHOOSE(MONTH(($B$5+(16-1)*7)),"Ocak","Şubat","Mart","Nisan","Mayıs","Haziran","Temmuz","Ağustos","Eylül","Ekim","Kasım","Aralık")&amp;" - "&amp;TEXT(DAY((($B$5+(16-1)*7)+4)),"00")&amp;" "&amp;CHOOSE(MONTH((($B$5+(16-1)*7)+4)),"Ocak","Şubat","Mart","Nisan","Mayıs","Haziran","Temmuz","Ağustos","Eylül","Ekim","Kasım","Aralık"))</f>
        <v>28 Aralık - 01 Ocak</v>
      </c>
      <c r="D25" s="10" t="s">
        <v>13</v>
      </c>
      <c r="E25" s="4"/>
    </row>
    <row r="26" customFormat="false" ht="15" hidden="false" customHeight="true" outlineLevel="0" collapsed="false">
      <c r="A26" s="8" t="n">
        <v>17</v>
      </c>
      <c r="B26" s="9" t="n">
        <f aca="false">($B$5+(17-1)*7)</f>
        <v>46391</v>
      </c>
      <c r="C26" s="10" t="str">
        <f aca="false">IF(MONTH(($B$5+(17-1)*7))=MONTH((($B$5+(17-1)*7)+4)),TEXT(DAY(($B$5+(17-1)*7)),"00")&amp;"-"&amp;TEXT(DAY((($B$5+(17-1)*7)+4)),"00")&amp;" "&amp;CHOOSE(MONTH(($B$5+(17-1)*7)),"Ocak","Şubat","Mart","Nisan","Mayıs","Haziran","Temmuz","Ağustos","Eylül","Ekim","Kasım","Aralık"),TEXT(DAY(($B$5+(17-1)*7)),"00")&amp;" "&amp;CHOOSE(MONTH(($B$5+(17-1)*7)),"Ocak","Şubat","Mart","Nisan","Mayıs","Haziran","Temmuz","Ağustos","Eylül","Ekim","Kasım","Aralık")&amp;" - "&amp;TEXT(DAY((($B$5+(17-1)*7)+4)),"00")&amp;" "&amp;CHOOSE(MONTH((($B$5+(17-1)*7)+4)),"Ocak","Şubat","Mart","Nisan","Mayıs","Haziran","Temmuz","Ağustos","Eylül","Ekim","Kasım","Aralık"))</f>
        <v>04-08 Ocak</v>
      </c>
      <c r="D26" s="10" t="s">
        <v>13</v>
      </c>
      <c r="E26" s="4"/>
    </row>
    <row r="27" customFormat="false" ht="15" hidden="false" customHeight="true" outlineLevel="0" collapsed="false">
      <c r="A27" s="8" t="n">
        <v>18</v>
      </c>
      <c r="B27" s="9" t="n">
        <f aca="false">($B$5+(18-1)*7)</f>
        <v>46398</v>
      </c>
      <c r="C27" s="10" t="str">
        <f aca="false">IF(MONTH(($B$5+(18-1)*7))=MONTH((($B$5+(18-1)*7)+4)),TEXT(DAY(($B$5+(18-1)*7)),"00")&amp;"-"&amp;TEXT(DAY((($B$5+(18-1)*7)+4)),"00")&amp;" "&amp;CHOOSE(MONTH(($B$5+(18-1)*7)),"Ocak","Şubat","Mart","Nisan","Mayıs","Haziran","Temmuz","Ağustos","Eylül","Ekim","Kasım","Aralık"),TEXT(DAY(($B$5+(18-1)*7)),"00")&amp;" "&amp;CHOOSE(MONTH(($B$5+(18-1)*7)),"Ocak","Şubat","Mart","Nisan","Mayıs","Haziran","Temmuz","Ağustos","Eylül","Ekim","Kasım","Aralık")&amp;" - "&amp;TEXT(DAY((($B$5+(18-1)*7)+4)),"00")&amp;" "&amp;CHOOSE(MONTH((($B$5+(18-1)*7)+4)),"Ocak","Şubat","Mart","Nisan","Mayıs","Haziran","Temmuz","Ağustos","Eylül","Ekim","Kasım","Aralık"))</f>
        <v>11-15 Ocak</v>
      </c>
      <c r="D27" s="10" t="s">
        <v>13</v>
      </c>
      <c r="E27" s="4"/>
    </row>
    <row r="28" customFormat="false" ht="15" hidden="false" customHeight="true" outlineLevel="0" collapsed="false">
      <c r="A28" s="8" t="n">
        <v>19</v>
      </c>
      <c r="B28" s="9" t="n">
        <f aca="false">($B$5+(19-1)*7)</f>
        <v>46405</v>
      </c>
      <c r="C28" s="10" t="str">
        <f aca="false">IF(MONTH(($B$5+(19-1)*7))=MONTH((($B$5+(19-1)*7)+4)),TEXT(DAY(($B$5+(19-1)*7)),"00")&amp;"-"&amp;TEXT(DAY((($B$5+(19-1)*7)+4)),"00")&amp;" "&amp;CHOOSE(MONTH(($B$5+(19-1)*7)),"Ocak","Şubat","Mart","Nisan","Mayıs","Haziran","Temmuz","Ağustos","Eylül","Ekim","Kasım","Aralık"),TEXT(DAY(($B$5+(19-1)*7)),"00")&amp;" "&amp;CHOOSE(MONTH(($B$5+(19-1)*7)),"Ocak","Şubat","Mart","Nisan","Mayıs","Haziran","Temmuz","Ağustos","Eylül","Ekim","Kasım","Aralık")&amp;" - "&amp;TEXT(DAY((($B$5+(19-1)*7)+4)),"00")&amp;" "&amp;CHOOSE(MONTH((($B$5+(19-1)*7)+4)),"Ocak","Şubat","Mart","Nisan","Mayıs","Haziran","Temmuz","Ağustos","Eylül","Ekim","Kasım","Aralık"))</f>
        <v>18-22 Ocak</v>
      </c>
      <c r="D28" s="10" t="s">
        <v>13</v>
      </c>
      <c r="E28" s="4"/>
    </row>
    <row r="29" customFormat="false" ht="15" hidden="false" customHeight="true" outlineLevel="0" collapsed="false">
      <c r="A29" s="11" t="n">
        <v>20</v>
      </c>
      <c r="B29" s="12" t="n">
        <f aca="false">($B$5+(20-1)*7)</f>
        <v>46412</v>
      </c>
      <c r="C29" s="13" t="str">
        <f aca="false">IF(MONTH(($B$5+(20-1)*7))=MONTH((($B$5+(20-1)*7)+4)),TEXT(DAY(($B$5+(20-1)*7)),"00")&amp;"-"&amp;TEXT(DAY((($B$5+(20-1)*7)+4)),"00")&amp;" "&amp;CHOOSE(MONTH(($B$5+(20-1)*7)),"Ocak","Şubat","Mart","Nisan","Mayıs","Haziran","Temmuz","Ağustos","Eylül","Ekim","Kasım","Aralık"),TEXT(DAY(($B$5+(20-1)*7)),"00")&amp;" "&amp;CHOOSE(MONTH(($B$5+(20-1)*7)),"Ocak","Şubat","Mart","Nisan","Mayıs","Haziran","Temmuz","Ağustos","Eylül","Ekim","Kasım","Aralık")&amp;" - "&amp;TEXT(DAY((($B$5+(20-1)*7)+4)),"00")&amp;" "&amp;CHOOSE(MONTH((($B$5+(20-1)*7)+4)),"Ocak","Şubat","Mart","Nisan","Mayıs","Haziran","Temmuz","Ağustos","Eylül","Ekim","Kasım","Aralık"))</f>
        <v>25-29 Ocak</v>
      </c>
      <c r="D29" s="13" t="s">
        <v>14</v>
      </c>
      <c r="E29" s="14" t="s">
        <v>16</v>
      </c>
    </row>
    <row r="30" customFormat="false" ht="15" hidden="false" customHeight="true" outlineLevel="0" collapsed="false">
      <c r="A30" s="8" t="n">
        <v>21</v>
      </c>
      <c r="B30" s="9" t="n">
        <f aca="false">($B$5+(21-1)*7+7)</f>
        <v>46426</v>
      </c>
      <c r="C30" s="10" t="str">
        <f aca="false">IF(MONTH(($B$5+(21-1)*7+7))=MONTH((($B$5+(21-1)*7+7)+4)),TEXT(DAY(($B$5+(21-1)*7+7)),"00")&amp;"-"&amp;TEXT(DAY((($B$5+(21-1)*7+7)+4)),"00")&amp;" "&amp;CHOOSE(MONTH(($B$5+(21-1)*7+7)),"Ocak","Şubat","Mart","Nisan","Mayıs","Haziran","Temmuz","Ağustos","Eylül","Ekim","Kasım","Aralık"),TEXT(DAY(($B$5+(21-1)*7+7)),"00")&amp;" "&amp;CHOOSE(MONTH(($B$5+(21-1)*7+7)),"Ocak","Şubat","Mart","Nisan","Mayıs","Haziran","Temmuz","Ağustos","Eylül","Ekim","Kasım","Aralık")&amp;" - "&amp;TEXT(DAY((($B$5+(21-1)*7+7)+4)),"00")&amp;" "&amp;CHOOSE(MONTH((($B$5+(21-1)*7+7)+4)),"Ocak","Şubat","Mart","Nisan","Mayıs","Haziran","Temmuz","Ağustos","Eylül","Ekim","Kasım","Aralık"))</f>
        <v>08-12 Şubat</v>
      </c>
      <c r="D30" s="10" t="s">
        <v>13</v>
      </c>
      <c r="E30" s="4"/>
    </row>
    <row r="31" customFormat="false" ht="15" hidden="false" customHeight="true" outlineLevel="0" collapsed="false">
      <c r="A31" s="8" t="n">
        <v>22</v>
      </c>
      <c r="B31" s="9" t="n">
        <f aca="false">($B$5+(22-1)*7+7)</f>
        <v>46433</v>
      </c>
      <c r="C31" s="10" t="str">
        <f aca="false">IF(MONTH(($B$5+(22-1)*7+7))=MONTH((($B$5+(22-1)*7+7)+4)),TEXT(DAY(($B$5+(22-1)*7+7)),"00")&amp;"-"&amp;TEXT(DAY((($B$5+(22-1)*7+7)+4)),"00")&amp;" "&amp;CHOOSE(MONTH(($B$5+(22-1)*7+7)),"Ocak","Şubat","Mart","Nisan","Mayıs","Haziran","Temmuz","Ağustos","Eylül","Ekim","Kasım","Aralık"),TEXT(DAY(($B$5+(22-1)*7+7)),"00")&amp;" "&amp;CHOOSE(MONTH(($B$5+(22-1)*7+7)),"Ocak","Şubat","Mart","Nisan","Mayıs","Haziran","Temmuz","Ağustos","Eylül","Ekim","Kasım","Aralık")&amp;" - "&amp;TEXT(DAY((($B$5+(22-1)*7+7)+4)),"00")&amp;" "&amp;CHOOSE(MONTH((($B$5+(22-1)*7+7)+4)),"Ocak","Şubat","Mart","Nisan","Mayıs","Haziran","Temmuz","Ağustos","Eylül","Ekim","Kasım","Aralık"))</f>
        <v>15-19 Şubat</v>
      </c>
      <c r="D31" s="10" t="s">
        <v>13</v>
      </c>
      <c r="E31" s="4"/>
    </row>
    <row r="32" customFormat="false" ht="15" hidden="false" customHeight="true" outlineLevel="0" collapsed="false">
      <c r="A32" s="8" t="n">
        <v>23</v>
      </c>
      <c r="B32" s="9" t="n">
        <f aca="false">($B$5+(23-1)*7+7)</f>
        <v>46440</v>
      </c>
      <c r="C32" s="10" t="str">
        <f aca="false">IF(MONTH(($B$5+(23-1)*7+7))=MONTH((($B$5+(23-1)*7+7)+4)),TEXT(DAY(($B$5+(23-1)*7+7)),"00")&amp;"-"&amp;TEXT(DAY((($B$5+(23-1)*7+7)+4)),"00")&amp;" "&amp;CHOOSE(MONTH(($B$5+(23-1)*7+7)),"Ocak","Şubat","Mart","Nisan","Mayıs","Haziran","Temmuz","Ağustos","Eylül","Ekim","Kasım","Aralık"),TEXT(DAY(($B$5+(23-1)*7+7)),"00")&amp;" "&amp;CHOOSE(MONTH(($B$5+(23-1)*7+7)),"Ocak","Şubat","Mart","Nisan","Mayıs","Haziran","Temmuz","Ağustos","Eylül","Ekim","Kasım","Aralık")&amp;" - "&amp;TEXT(DAY((($B$5+(23-1)*7+7)+4)),"00")&amp;" "&amp;CHOOSE(MONTH((($B$5+(23-1)*7+7)+4)),"Ocak","Şubat","Mart","Nisan","Mayıs","Haziran","Temmuz","Ağustos","Eylül","Ekim","Kasım","Aralık"))</f>
        <v>22-26 Şubat</v>
      </c>
      <c r="D32" s="10" t="s">
        <v>13</v>
      </c>
      <c r="E32" s="4"/>
    </row>
    <row r="33" customFormat="false" ht="15" hidden="false" customHeight="true" outlineLevel="0" collapsed="false">
      <c r="A33" s="8" t="n">
        <v>24</v>
      </c>
      <c r="B33" s="9" t="n">
        <f aca="false">($B$5+(24-1)*7+7)</f>
        <v>46447</v>
      </c>
      <c r="C33" s="10" t="str">
        <f aca="false">IF(MONTH(($B$5+(24-1)*7+7))=MONTH((($B$5+(24-1)*7+7)+4)),TEXT(DAY(($B$5+(24-1)*7+7)),"00")&amp;"-"&amp;TEXT(DAY((($B$5+(24-1)*7+7)+4)),"00")&amp;" "&amp;CHOOSE(MONTH(($B$5+(24-1)*7+7)),"Ocak","Şubat","Mart","Nisan","Mayıs","Haziran","Temmuz","Ağustos","Eylül","Ekim","Kasım","Aralık"),TEXT(DAY(($B$5+(24-1)*7+7)),"00")&amp;" "&amp;CHOOSE(MONTH(($B$5+(24-1)*7+7)),"Ocak","Şubat","Mart","Nisan","Mayıs","Haziran","Temmuz","Ağustos","Eylül","Ekim","Kasım","Aralık")&amp;" - "&amp;TEXT(DAY((($B$5+(24-1)*7+7)+4)),"00")&amp;" "&amp;CHOOSE(MONTH((($B$5+(24-1)*7+7)+4)),"Ocak","Şubat","Mart","Nisan","Mayıs","Haziran","Temmuz","Ağustos","Eylül","Ekim","Kasım","Aralık"))</f>
        <v>01-05 Mart</v>
      </c>
      <c r="D33" s="10" t="s">
        <v>13</v>
      </c>
      <c r="E33" s="4"/>
    </row>
    <row r="34" customFormat="false" ht="15" hidden="false" customHeight="true" outlineLevel="0" collapsed="false">
      <c r="A34" s="11" t="n">
        <v>25</v>
      </c>
      <c r="B34" s="12" t="n">
        <f aca="false">($B$5+(25-1)*7+7)</f>
        <v>46454</v>
      </c>
      <c r="C34" s="13" t="str">
        <f aca="false">IF(MONTH(($B$5+(25-1)*7+7))=MONTH((($B$5+(25-1)*7+7)+4)),TEXT(DAY(($B$5+(25-1)*7+7)),"00")&amp;"-"&amp;TEXT(DAY((($B$5+(25-1)*7+7)+4)),"00")&amp;" "&amp;CHOOSE(MONTH(($B$5+(25-1)*7+7)),"Ocak","Şubat","Mart","Nisan","Mayıs","Haziran","Temmuz","Ağustos","Eylül","Ekim","Kasım","Aralık"),TEXT(DAY(($B$5+(25-1)*7+7)),"00")&amp;" "&amp;CHOOSE(MONTH(($B$5+(25-1)*7+7)),"Ocak","Şubat","Mart","Nisan","Mayıs","Haziran","Temmuz","Ağustos","Eylül","Ekim","Kasım","Aralık")&amp;" - "&amp;TEXT(DAY((($B$5+(25-1)*7+7)+4)),"00")&amp;" "&amp;CHOOSE(MONTH((($B$5+(25-1)*7+7)+4)),"Ocak","Şubat","Mart","Nisan","Mayıs","Haziran","Temmuz","Ağustos","Eylül","Ekim","Kasım","Aralık"))</f>
        <v>08-12 Mart</v>
      </c>
      <c r="D34" s="13" t="s">
        <v>14</v>
      </c>
      <c r="E34" s="14" t="s">
        <v>17</v>
      </c>
    </row>
    <row r="35" customFormat="false" ht="15" hidden="false" customHeight="true" outlineLevel="0" collapsed="false">
      <c r="A35" s="8" t="n">
        <v>26</v>
      </c>
      <c r="B35" s="9" t="n">
        <f aca="false">($B$5+(26-1)*7+7)</f>
        <v>46461</v>
      </c>
      <c r="C35" s="10" t="str">
        <f aca="false">IF(MONTH(($B$5+(26-1)*7+7))=MONTH((($B$5+(26-1)*7+7)+4)),TEXT(DAY(($B$5+(26-1)*7+7)),"00")&amp;"-"&amp;TEXT(DAY((($B$5+(26-1)*7+7)+4)),"00")&amp;" "&amp;CHOOSE(MONTH(($B$5+(26-1)*7+7)),"Ocak","Şubat","Mart","Nisan","Mayıs","Haziran","Temmuz","Ağustos","Eylül","Ekim","Kasım","Aralık"),TEXT(DAY(($B$5+(26-1)*7+7)),"00")&amp;" "&amp;CHOOSE(MONTH(($B$5+(26-1)*7+7)),"Ocak","Şubat","Mart","Nisan","Mayıs","Haziran","Temmuz","Ağustos","Eylül","Ekim","Kasım","Aralık")&amp;" - "&amp;TEXT(DAY((($B$5+(26-1)*7+7)+4)),"00")&amp;" "&amp;CHOOSE(MONTH((($B$5+(26-1)*7+7)+4)),"Ocak","Şubat","Mart","Nisan","Mayıs","Haziran","Temmuz","Ağustos","Eylül","Ekim","Kasım","Aralık"))</f>
        <v>15-19 Mart</v>
      </c>
      <c r="D35" s="10" t="s">
        <v>13</v>
      </c>
      <c r="E35" s="4"/>
    </row>
    <row r="36" customFormat="false" ht="15" hidden="false" customHeight="true" outlineLevel="0" collapsed="false">
      <c r="A36" s="8" t="n">
        <v>27</v>
      </c>
      <c r="B36" s="9" t="n">
        <f aca="false">($B$5+(27-1)*7+7)</f>
        <v>46468</v>
      </c>
      <c r="C36" s="10" t="str">
        <f aca="false">IF(MONTH(($B$5+(27-1)*7+7))=MONTH((($B$5+(27-1)*7+7)+4)),TEXT(DAY(($B$5+(27-1)*7+7)),"00")&amp;"-"&amp;TEXT(DAY((($B$5+(27-1)*7+7)+4)),"00")&amp;" "&amp;CHOOSE(MONTH(($B$5+(27-1)*7+7)),"Ocak","Şubat","Mart","Nisan","Mayıs","Haziran","Temmuz","Ağustos","Eylül","Ekim","Kasım","Aralık"),TEXT(DAY(($B$5+(27-1)*7+7)),"00")&amp;" "&amp;CHOOSE(MONTH(($B$5+(27-1)*7+7)),"Ocak","Şubat","Mart","Nisan","Mayıs","Haziran","Temmuz","Ağustos","Eylül","Ekim","Kasım","Aralık")&amp;" - "&amp;TEXT(DAY((($B$5+(27-1)*7+7)+4)),"00")&amp;" "&amp;CHOOSE(MONTH((($B$5+(27-1)*7+7)+4)),"Ocak","Şubat","Mart","Nisan","Mayıs","Haziran","Temmuz","Ağustos","Eylül","Ekim","Kasım","Aralık"))</f>
        <v>22-26 Mart</v>
      </c>
      <c r="D36" s="10" t="s">
        <v>13</v>
      </c>
      <c r="E36" s="4"/>
    </row>
    <row r="37" customFormat="false" ht="15" hidden="false" customHeight="true" outlineLevel="0" collapsed="false">
      <c r="A37" s="8" t="n">
        <v>28</v>
      </c>
      <c r="B37" s="9" t="n">
        <f aca="false">($B$5+(28-1)*7+7)</f>
        <v>46475</v>
      </c>
      <c r="C37" s="10" t="str">
        <f aca="false">IF(MONTH(($B$5+(28-1)*7+7))=MONTH((($B$5+(28-1)*7+7)+4)),TEXT(DAY(($B$5+(28-1)*7+7)),"00")&amp;"-"&amp;TEXT(DAY((($B$5+(28-1)*7+7)+4)),"00")&amp;" "&amp;CHOOSE(MONTH(($B$5+(28-1)*7+7)),"Ocak","Şubat","Mart","Nisan","Mayıs","Haziran","Temmuz","Ağustos","Eylül","Ekim","Kasım","Aralık"),TEXT(DAY(($B$5+(28-1)*7+7)),"00")&amp;" "&amp;CHOOSE(MONTH(($B$5+(28-1)*7+7)),"Ocak","Şubat","Mart","Nisan","Mayıs","Haziran","Temmuz","Ağustos","Eylül","Ekim","Kasım","Aralık")&amp;" - "&amp;TEXT(DAY((($B$5+(28-1)*7+7)+4)),"00")&amp;" "&amp;CHOOSE(MONTH((($B$5+(28-1)*7+7)+4)),"Ocak","Şubat","Mart","Nisan","Mayıs","Haziran","Temmuz","Ağustos","Eylül","Ekim","Kasım","Aralık"))</f>
        <v>29 Mart - 02 Nisan</v>
      </c>
      <c r="D37" s="10" t="s">
        <v>13</v>
      </c>
      <c r="E37" s="4"/>
    </row>
    <row r="38" customFormat="false" ht="15" hidden="false" customHeight="true" outlineLevel="0" collapsed="false">
      <c r="A38" s="8" t="n">
        <v>29</v>
      </c>
      <c r="B38" s="9" t="n">
        <f aca="false">($B$5+(29-1)*7+7)</f>
        <v>46482</v>
      </c>
      <c r="C38" s="10" t="str">
        <f aca="false">IF(MONTH(($B$5+(29-1)*7+7))=MONTH((($B$5+(29-1)*7+7)+4)),TEXT(DAY(($B$5+(29-1)*7+7)),"00")&amp;"-"&amp;TEXT(DAY((($B$5+(29-1)*7+7)+4)),"00")&amp;" "&amp;CHOOSE(MONTH(($B$5+(29-1)*7+7)),"Ocak","Şubat","Mart","Nisan","Mayıs","Haziran","Temmuz","Ağustos","Eylül","Ekim","Kasım","Aralık"),TEXT(DAY(($B$5+(29-1)*7+7)),"00")&amp;" "&amp;CHOOSE(MONTH(($B$5+(29-1)*7+7)),"Ocak","Şubat","Mart","Nisan","Mayıs","Haziran","Temmuz","Ağustos","Eylül","Ekim","Kasım","Aralık")&amp;" - "&amp;TEXT(DAY((($B$5+(29-1)*7+7)+4)),"00")&amp;" "&amp;CHOOSE(MONTH((($B$5+(29-1)*7+7)+4)),"Ocak","Şubat","Mart","Nisan","Mayıs","Haziran","Temmuz","Ağustos","Eylül","Ekim","Kasım","Aralık"))</f>
        <v>05-09 Nisan</v>
      </c>
      <c r="D38" s="10" t="s">
        <v>13</v>
      </c>
      <c r="E38" s="4"/>
    </row>
    <row r="39" customFormat="false" ht="15" hidden="false" customHeight="true" outlineLevel="0" collapsed="false">
      <c r="A39" s="8" t="n">
        <v>30</v>
      </c>
      <c r="B39" s="9" t="n">
        <f aca="false">($B$5+(30-1)*7+7)</f>
        <v>46489</v>
      </c>
      <c r="C39" s="10" t="str">
        <f aca="false">IF(MONTH(($B$5+(30-1)*7+7))=MONTH((($B$5+(30-1)*7+7)+4)),TEXT(DAY(($B$5+(30-1)*7+7)),"00")&amp;"-"&amp;TEXT(DAY((($B$5+(30-1)*7+7)+4)),"00")&amp;" "&amp;CHOOSE(MONTH(($B$5+(30-1)*7+7)),"Ocak","Şubat","Mart","Nisan","Mayıs","Haziran","Temmuz","Ağustos","Eylül","Ekim","Kasım","Aralık"),TEXT(DAY(($B$5+(30-1)*7+7)),"00")&amp;" "&amp;CHOOSE(MONTH(($B$5+(30-1)*7+7)),"Ocak","Şubat","Mart","Nisan","Mayıs","Haziran","Temmuz","Ağustos","Eylül","Ekim","Kasım","Aralık")&amp;" - "&amp;TEXT(DAY((($B$5+(30-1)*7+7)+4)),"00")&amp;" "&amp;CHOOSE(MONTH((($B$5+(30-1)*7+7)+4)),"Ocak","Şubat","Mart","Nisan","Mayıs","Haziran","Temmuz","Ağustos","Eylül","Ekim","Kasım","Aralık"))</f>
        <v>12-16 Nisan</v>
      </c>
      <c r="D39" s="10" t="s">
        <v>13</v>
      </c>
      <c r="E39" s="4"/>
    </row>
    <row r="40" customFormat="false" ht="15" hidden="false" customHeight="true" outlineLevel="0" collapsed="false">
      <c r="A40" s="8" t="n">
        <v>31</v>
      </c>
      <c r="B40" s="9" t="n">
        <f aca="false">($B$5+(31-1)*7+7)</f>
        <v>46496</v>
      </c>
      <c r="C40" s="10" t="str">
        <f aca="false">IF(MONTH(($B$5+(31-1)*7+7))=MONTH((($B$5+(31-1)*7+7)+4)),TEXT(DAY(($B$5+(31-1)*7+7)),"00")&amp;"-"&amp;TEXT(DAY((($B$5+(31-1)*7+7)+4)),"00")&amp;" "&amp;CHOOSE(MONTH(($B$5+(31-1)*7+7)),"Ocak","Şubat","Mart","Nisan","Mayıs","Haziran","Temmuz","Ağustos","Eylül","Ekim","Kasım","Aralık"),TEXT(DAY(($B$5+(31-1)*7+7)),"00")&amp;" "&amp;CHOOSE(MONTH(($B$5+(31-1)*7+7)),"Ocak","Şubat","Mart","Nisan","Mayıs","Haziran","Temmuz","Ağustos","Eylül","Ekim","Kasım","Aralık")&amp;" - "&amp;TEXT(DAY((($B$5+(31-1)*7+7)+4)),"00")&amp;" "&amp;CHOOSE(MONTH((($B$5+(31-1)*7+7)+4)),"Ocak","Şubat","Mart","Nisan","Mayıs","Haziran","Temmuz","Ağustos","Eylül","Ekim","Kasım","Aralık"))</f>
        <v>19-23 Nisan</v>
      </c>
      <c r="D40" s="10" t="s">
        <v>13</v>
      </c>
      <c r="E40" s="4"/>
    </row>
    <row r="41" customFormat="false" ht="15" hidden="false" customHeight="true" outlineLevel="0" collapsed="false">
      <c r="A41" s="8" t="n">
        <v>32</v>
      </c>
      <c r="B41" s="9" t="n">
        <f aca="false">($B$5+(32-1)*7+7)</f>
        <v>46503</v>
      </c>
      <c r="C41" s="10" t="str">
        <f aca="false">IF(MONTH(($B$5+(32-1)*7+7))=MONTH((($B$5+(32-1)*7+7)+4)),TEXT(DAY(($B$5+(32-1)*7+7)),"00")&amp;"-"&amp;TEXT(DAY((($B$5+(32-1)*7+7)+4)),"00")&amp;" "&amp;CHOOSE(MONTH(($B$5+(32-1)*7+7)),"Ocak","Şubat","Mart","Nisan","Mayıs","Haziran","Temmuz","Ağustos","Eylül","Ekim","Kasım","Aralık"),TEXT(DAY(($B$5+(32-1)*7+7)),"00")&amp;" "&amp;CHOOSE(MONTH(($B$5+(32-1)*7+7)),"Ocak","Şubat","Mart","Nisan","Mayıs","Haziran","Temmuz","Ağustos","Eylül","Ekim","Kasım","Aralık")&amp;" - "&amp;TEXT(DAY((($B$5+(32-1)*7+7)+4)),"00")&amp;" "&amp;CHOOSE(MONTH((($B$5+(32-1)*7+7)+4)),"Ocak","Şubat","Mart","Nisan","Mayıs","Haziran","Temmuz","Ağustos","Eylül","Ekim","Kasım","Aralık"))</f>
        <v>26-30 Nisan</v>
      </c>
      <c r="D41" s="10" t="s">
        <v>13</v>
      </c>
      <c r="E41" s="4"/>
    </row>
    <row r="42" customFormat="false" ht="15" hidden="false" customHeight="true" outlineLevel="0" collapsed="false">
      <c r="A42" s="8" t="n">
        <v>33</v>
      </c>
      <c r="B42" s="9" t="n">
        <f aca="false">($B$5+(33-1)*7+7)</f>
        <v>46510</v>
      </c>
      <c r="C42" s="10" t="str">
        <f aca="false">IF(MONTH(($B$5+(33-1)*7+7))=MONTH((($B$5+(33-1)*7+7)+4)),TEXT(DAY(($B$5+(33-1)*7+7)),"00")&amp;"-"&amp;TEXT(DAY((($B$5+(33-1)*7+7)+4)),"00")&amp;" "&amp;CHOOSE(MONTH(($B$5+(33-1)*7+7)),"Ocak","Şubat","Mart","Nisan","Mayıs","Haziran","Temmuz","Ağustos","Eylül","Ekim","Kasım","Aralık"),TEXT(DAY(($B$5+(33-1)*7+7)),"00")&amp;" "&amp;CHOOSE(MONTH(($B$5+(33-1)*7+7)),"Ocak","Şubat","Mart","Nisan","Mayıs","Haziran","Temmuz","Ağustos","Eylül","Ekim","Kasım","Aralık")&amp;" - "&amp;TEXT(DAY((($B$5+(33-1)*7+7)+4)),"00")&amp;" "&amp;CHOOSE(MONTH((($B$5+(33-1)*7+7)+4)),"Ocak","Şubat","Mart","Nisan","Mayıs","Haziran","Temmuz","Ağustos","Eylül","Ekim","Kasım","Aralık"))</f>
        <v>03-07 Mayıs</v>
      </c>
      <c r="D42" s="10" t="s">
        <v>13</v>
      </c>
      <c r="E42" s="4"/>
    </row>
    <row r="43" customFormat="false" ht="15" hidden="false" customHeight="true" outlineLevel="0" collapsed="false">
      <c r="A43" s="8" t="n">
        <v>34</v>
      </c>
      <c r="B43" s="9" t="n">
        <f aca="false">($B$5+(34-1)*7+7)</f>
        <v>46517</v>
      </c>
      <c r="C43" s="10" t="str">
        <f aca="false">IF(MONTH(($B$5+(34-1)*7+7))=MONTH((($B$5+(34-1)*7+7)+4)),TEXT(DAY(($B$5+(34-1)*7+7)),"00")&amp;"-"&amp;TEXT(DAY((($B$5+(34-1)*7+7)+4)),"00")&amp;" "&amp;CHOOSE(MONTH(($B$5+(34-1)*7+7)),"Ocak","Şubat","Mart","Nisan","Mayıs","Haziran","Temmuz","Ağustos","Eylül","Ekim","Kasım","Aralık"),TEXT(DAY(($B$5+(34-1)*7+7)),"00")&amp;" "&amp;CHOOSE(MONTH(($B$5+(34-1)*7+7)),"Ocak","Şubat","Mart","Nisan","Mayıs","Haziran","Temmuz","Ağustos","Eylül","Ekim","Kasım","Aralık")&amp;" - "&amp;TEXT(DAY((($B$5+(34-1)*7+7)+4)),"00")&amp;" "&amp;CHOOSE(MONTH((($B$5+(34-1)*7+7)+4)),"Ocak","Şubat","Mart","Nisan","Mayıs","Haziran","Temmuz","Ağustos","Eylül","Ekim","Kasım","Aralık"))</f>
        <v>10-14 Mayıs</v>
      </c>
      <c r="D43" s="10" t="s">
        <v>13</v>
      </c>
      <c r="E43" s="4"/>
    </row>
    <row r="44" customFormat="false" ht="15" hidden="false" customHeight="true" outlineLevel="0" collapsed="false">
      <c r="A44" s="8" t="n">
        <v>35</v>
      </c>
      <c r="B44" s="9" t="n">
        <f aca="false">($B$5+(35-1)*7+7)</f>
        <v>46524</v>
      </c>
      <c r="C44" s="10" t="str">
        <f aca="false">IF(MONTH(($B$5+(35-1)*7+7))=MONTH((($B$5+(35-1)*7+7)+4)),TEXT(DAY(($B$5+(35-1)*7+7)),"00")&amp;"-"&amp;TEXT(DAY((($B$5+(35-1)*7+7)+4)),"00")&amp;" "&amp;CHOOSE(MONTH(($B$5+(35-1)*7+7)),"Ocak","Şubat","Mart","Nisan","Mayıs","Haziran","Temmuz","Ağustos","Eylül","Ekim","Kasım","Aralık"),TEXT(DAY(($B$5+(35-1)*7+7)),"00")&amp;" "&amp;CHOOSE(MONTH(($B$5+(35-1)*7+7)),"Ocak","Şubat","Mart","Nisan","Mayıs","Haziran","Temmuz","Ağustos","Eylül","Ekim","Kasım","Aralık")&amp;" - "&amp;TEXT(DAY((($B$5+(35-1)*7+7)+4)),"00")&amp;" "&amp;CHOOSE(MONTH((($B$5+(35-1)*7+7)+4)),"Ocak","Şubat","Mart","Nisan","Mayıs","Haziran","Temmuz","Ağustos","Eylül","Ekim","Kasım","Aralık"))</f>
        <v>17-21 Mayıs</v>
      </c>
      <c r="D44" s="10" t="s">
        <v>13</v>
      </c>
      <c r="E44" s="4"/>
    </row>
    <row r="45" customFormat="false" ht="15" hidden="false" customHeight="true" outlineLevel="0" collapsed="false">
      <c r="A45" s="8" t="n">
        <v>36</v>
      </c>
      <c r="B45" s="9" t="n">
        <f aca="false">($B$5+(36-1)*7+7)</f>
        <v>46531</v>
      </c>
      <c r="C45" s="10" t="str">
        <f aca="false">IF(MONTH(($B$5+(36-1)*7+7))=MONTH((($B$5+(36-1)*7+7)+4)),TEXT(DAY(($B$5+(36-1)*7+7)),"00")&amp;"-"&amp;TEXT(DAY((($B$5+(36-1)*7+7)+4)),"00")&amp;" "&amp;CHOOSE(MONTH(($B$5+(36-1)*7+7)),"Ocak","Şubat","Mart","Nisan","Mayıs","Haziran","Temmuz","Ağustos","Eylül","Ekim","Kasım","Aralık"),TEXT(DAY(($B$5+(36-1)*7+7)),"00")&amp;" "&amp;CHOOSE(MONTH(($B$5+(36-1)*7+7)),"Ocak","Şubat","Mart","Nisan","Mayıs","Haziran","Temmuz","Ağustos","Eylül","Ekim","Kasım","Aralık")&amp;" - "&amp;TEXT(DAY((($B$5+(36-1)*7+7)+4)),"00")&amp;" "&amp;CHOOSE(MONTH((($B$5+(36-1)*7+7)+4)),"Ocak","Şubat","Mart","Nisan","Mayıs","Haziran","Temmuz","Ağustos","Eylül","Ekim","Kasım","Aralık"))</f>
        <v>24-28 Mayıs</v>
      </c>
      <c r="D45" s="10" t="s">
        <v>13</v>
      </c>
      <c r="E45" s="4"/>
    </row>
    <row r="46" customFormat="false" ht="15" hidden="false" customHeight="true" outlineLevel="0" collapsed="false">
      <c r="A46" s="8" t="n">
        <v>37</v>
      </c>
      <c r="B46" s="9" t="n">
        <f aca="false">($B$5+(37-1)*7+7)</f>
        <v>46538</v>
      </c>
      <c r="C46" s="10" t="str">
        <f aca="false">IF(MONTH(($B$5+(37-1)*7+7))=MONTH((($B$5+(37-1)*7+7)+4)),TEXT(DAY(($B$5+(37-1)*7+7)),"00")&amp;"-"&amp;TEXT(DAY((($B$5+(37-1)*7+7)+4)),"00")&amp;" "&amp;CHOOSE(MONTH(($B$5+(37-1)*7+7)),"Ocak","Şubat","Mart","Nisan","Mayıs","Haziran","Temmuz","Ağustos","Eylül","Ekim","Kasım","Aralık"),TEXT(DAY(($B$5+(37-1)*7+7)),"00")&amp;" "&amp;CHOOSE(MONTH(($B$5+(37-1)*7+7)),"Ocak","Şubat","Mart","Nisan","Mayıs","Haziran","Temmuz","Ağustos","Eylül","Ekim","Kasım","Aralık")&amp;" - "&amp;TEXT(DAY((($B$5+(37-1)*7+7)+4)),"00")&amp;" "&amp;CHOOSE(MONTH((($B$5+(37-1)*7+7)+4)),"Ocak","Şubat","Mart","Nisan","Mayıs","Haziran","Temmuz","Ağustos","Eylül","Ekim","Kasım","Aralık"))</f>
        <v>31 Mayıs - 04 Haziran</v>
      </c>
      <c r="D46" s="10" t="s">
        <v>13</v>
      </c>
      <c r="E46" s="4"/>
    </row>
    <row r="47" customFormat="false" ht="15" hidden="false" customHeight="true" outlineLevel="0" collapsed="false">
      <c r="A47" s="8" t="n">
        <v>38</v>
      </c>
      <c r="B47" s="9" t="n">
        <f aca="false">($B$5+(38-1)*7+7)</f>
        <v>46545</v>
      </c>
      <c r="C47" s="10" t="str">
        <f aca="false">IF(MONTH(($B$5+(38-1)*7+7))=MONTH((($B$5+(38-1)*7+7)+4)),TEXT(DAY(($B$5+(38-1)*7+7)),"00")&amp;"-"&amp;TEXT(DAY((($B$5+(38-1)*7+7)+4)),"00")&amp;" "&amp;CHOOSE(MONTH(($B$5+(38-1)*7+7)),"Ocak","Şubat","Mart","Nisan","Mayıs","Haziran","Temmuz","Ağustos","Eylül","Ekim","Kasım","Aralık"),TEXT(DAY(($B$5+(38-1)*7+7)),"00")&amp;" "&amp;CHOOSE(MONTH(($B$5+(38-1)*7+7)),"Ocak","Şubat","Mart","Nisan","Mayıs","Haziran","Temmuz","Ağustos","Eylül","Ekim","Kasım","Aralık")&amp;" - "&amp;TEXT(DAY((($B$5+(38-1)*7+7)+4)),"00")&amp;" "&amp;CHOOSE(MONTH((($B$5+(38-1)*7+7)+4)),"Ocak","Şubat","Mart","Nisan","Mayıs","Haziran","Temmuz","Ağustos","Eylül","Ekim","Kasım","Aralık"))</f>
        <v>07-11 Haziran</v>
      </c>
      <c r="D47" s="10" t="s">
        <v>13</v>
      </c>
      <c r="E47" s="4"/>
    </row>
    <row r="48" customFormat="false" ht="15" hidden="false" customHeight="true" outlineLevel="0" collapsed="false">
      <c r="A48" s="8" t="n">
        <v>39</v>
      </c>
      <c r="B48" s="9" t="n">
        <f aca="false">($B$5+(39-1)*7+7)</f>
        <v>46552</v>
      </c>
      <c r="C48" s="10" t="str">
        <f aca="false">IF(MONTH(($B$5+(39-1)*7+7))=MONTH((($B$5+(39-1)*7+7)+4)),TEXT(DAY(($B$5+(39-1)*7+7)),"00")&amp;"-"&amp;TEXT(DAY((($B$5+(39-1)*7+7)+4)),"00")&amp;" "&amp;CHOOSE(MONTH(($B$5+(39-1)*7+7)),"Ocak","Şubat","Mart","Nisan","Mayıs","Haziran","Temmuz","Ağustos","Eylül","Ekim","Kasım","Aralık"),TEXT(DAY(($B$5+(39-1)*7+7)),"00")&amp;" "&amp;CHOOSE(MONTH(($B$5+(39-1)*7+7)),"Ocak","Şubat","Mart","Nisan","Mayıs","Haziran","Temmuz","Ağustos","Eylül","Ekim","Kasım","Aralık")&amp;" - "&amp;TEXT(DAY((($B$5+(39-1)*7+7)+4)),"00")&amp;" "&amp;CHOOSE(MONTH((($B$5+(39-1)*7+7)+4)),"Ocak","Şubat","Mart","Nisan","Mayıs","Haziran","Temmuz","Ağustos","Eylül","Ekim","Kasım","Aralık"))</f>
        <v>14-18 Haziran</v>
      </c>
      <c r="D48" s="10" t="s">
        <v>13</v>
      </c>
      <c r="E48" s="4"/>
    </row>
    <row r="49" customFormat="false" ht="15" hidden="false" customHeight="true" outlineLevel="0" collapsed="false">
      <c r="A49" s="8" t="n">
        <v>40</v>
      </c>
      <c r="B49" s="9" t="n">
        <f aca="false">($B$5+(40-1)*7+7)</f>
        <v>46559</v>
      </c>
      <c r="C49" s="10" t="str">
        <f aca="false">IF(MONTH(($B$5+(40-1)*7+7))=MONTH((($B$5+(40-1)*7+7)+4)),TEXT(DAY(($B$5+(40-1)*7+7)),"00")&amp;"-"&amp;TEXT(DAY((($B$5+(40-1)*7+7)+4)),"00")&amp;" "&amp;CHOOSE(MONTH(($B$5+(40-1)*7+7)),"Ocak","Şubat","Mart","Nisan","Mayıs","Haziran","Temmuz","Ağustos","Eylül","Ekim","Kasım","Aralık"),TEXT(DAY(($B$5+(40-1)*7+7)),"00")&amp;" "&amp;CHOOSE(MONTH(($B$5+(40-1)*7+7)),"Ocak","Şubat","Mart","Nisan","Mayıs","Haziran","Temmuz","Ağustos","Eylül","Ekim","Kasım","Aralık")&amp;" - "&amp;TEXT(DAY((($B$5+(40-1)*7+7)+4)),"00")&amp;" "&amp;CHOOSE(MONTH((($B$5+(40-1)*7+7)+4)),"Ocak","Şubat","Mart","Nisan","Mayıs","Haziran","Temmuz","Ağustos","Eylül","Ekim","Kasım","Aralık"))</f>
        <v>21-25 Haziran</v>
      </c>
      <c r="D49" s="10" t="s">
        <v>13</v>
      </c>
      <c r="E49" s="4"/>
    </row>
  </sheetData>
  <mergeCells count="3">
    <mergeCell ref="A1:F1"/>
    <mergeCell ref="A6:F6"/>
    <mergeCell ref="A8:F8"/>
  </mergeCells>
  <dataValidations count="1">
    <dataValidation allowBlank="false" errorStyle="stop" operator="between" showDropDown="false" showErrorMessage="false" showInputMessage="false" sqref="B4" type="list">
      <formula1>"2026-2027,2027-2028,2028-2029,2029-2030,2030-2031,2031-2032,2032-2033,2033-2034,2034-2035,2035-2036,2036-2037,2037-2038,2038-2039,2039-2040,2040-2041,2041-2042,2042-2043,2043-2044,2044-2045,2045-2046,2046-2047,2047-2048,2048-2049,2049-2050,2050-2051,2051-"</formula1>
      <formula2>0</formula2>
    </dataValidation>
  </dataValidation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4" min="3" style="1" width="26"/>
    <col collapsed="false" customWidth="true" hidden="false" outlineLevel="0" max="5" min="5" style="1" width="34"/>
    <col collapsed="false" customWidth="true" hidden="false" outlineLevel="0" max="6" min="6" style="1" width="22"/>
    <col collapsed="false" customWidth="true" hidden="false" outlineLevel="0" max="7" min="7" style="1" width="18"/>
    <col collapsed="false" customWidth="true" hidden="false" outlineLevel="0" max="8" min="8" style="1" width="22"/>
    <col collapsed="false" customWidth="true" hidden="false" outlineLevel="0" max="9" min="9" style="1" width="18"/>
  </cols>
  <sheetData>
    <row r="1" customFormat="false" ht="75" hidden="false" customHeight="true" outlineLevel="0" collapsed="false">
      <c r="C1" s="15" t="s">
        <v>18</v>
      </c>
      <c r="D1" s="15"/>
      <c r="E1" s="15"/>
      <c r="F1" s="15"/>
      <c r="G1" s="15"/>
    </row>
    <row r="3" customFormat="false" ht="15" hidden="false" customHeight="true" outlineLevel="0" collapsed="false">
      <c r="A3" s="3" t="s">
        <v>19</v>
      </c>
      <c r="B3" s="16" t="s">
        <v>20</v>
      </c>
      <c r="C3" s="16"/>
      <c r="D3" s="16"/>
      <c r="F3" s="3" t="s">
        <v>21</v>
      </c>
      <c r="G3" s="16" t="s">
        <v>22</v>
      </c>
      <c r="H3" s="16"/>
      <c r="I3" s="16"/>
    </row>
    <row r="4" customFormat="false" ht="15" hidden="false" customHeight="true" outlineLevel="0" collapsed="false">
      <c r="A4" s="3" t="s">
        <v>23</v>
      </c>
      <c r="B4" s="16" t="s">
        <v>24</v>
      </c>
      <c r="C4" s="16"/>
      <c r="D4" s="16"/>
      <c r="F4" s="3" t="s">
        <v>25</v>
      </c>
      <c r="G4" s="16" t="s">
        <v>26</v>
      </c>
      <c r="H4" s="16"/>
      <c r="I4" s="16"/>
    </row>
    <row r="5" customFormat="false" ht="15" hidden="false" customHeight="true" outlineLevel="0" collapsed="false">
      <c r="A5" s="3" t="s">
        <v>27</v>
      </c>
      <c r="B5" s="16" t="s">
        <v>28</v>
      </c>
      <c r="C5" s="16"/>
      <c r="D5" s="16"/>
      <c r="F5" s="3" t="s">
        <v>29</v>
      </c>
      <c r="G5" s="4" t="s">
        <v>30</v>
      </c>
    </row>
    <row r="7" customFormat="false" ht="23.25" hidden="false" customHeight="true" outlineLevel="0" collapsed="false">
      <c r="A7" s="17" t="s">
        <v>31</v>
      </c>
      <c r="B7" s="17" t="s">
        <v>32</v>
      </c>
      <c r="C7" s="17" t="s">
        <v>33</v>
      </c>
      <c r="D7" s="17" t="s">
        <v>34</v>
      </c>
      <c r="E7" s="17" t="s">
        <v>35</v>
      </c>
      <c r="F7" s="17" t="s">
        <v>36</v>
      </c>
      <c r="G7" s="17" t="s">
        <v>37</v>
      </c>
      <c r="H7" s="17" t="s">
        <v>38</v>
      </c>
      <c r="I7" s="17" t="s">
        <v>39</v>
      </c>
    </row>
    <row r="8" customFormat="false" ht="116.25" hidden="false" customHeight="true" outlineLevel="0" collapsed="false">
      <c r="A8" s="18" t="n">
        <f aca="false">TAKVİM!$B$10+(MATCH($G$5,{"Pazartesi","Salı","Çarşamba","Perşembe","Cuma"},0)-1)</f>
        <v>46283</v>
      </c>
      <c r="B8" s="19" t="s">
        <v>40</v>
      </c>
      <c r="C8" s="19" t="s">
        <v>41</v>
      </c>
      <c r="D8" s="19" t="s">
        <v>42</v>
      </c>
      <c r="E8" s="19" t="s">
        <v>43</v>
      </c>
      <c r="F8" s="19" t="s">
        <v>44</v>
      </c>
      <c r="G8" s="19" t="s">
        <v>45</v>
      </c>
      <c r="H8" s="19" t="s">
        <v>46</v>
      </c>
      <c r="I8" s="19"/>
    </row>
    <row r="9" customFormat="false" ht="84.75" hidden="false" customHeight="true" outlineLevel="0" collapsed="false">
      <c r="A9" s="18" t="n">
        <f aca="false">TAKVİM!$B$11+(MATCH($G$5,{"Pazartesi","Salı","Çarşamba","Perşembe","Cuma"},0)-1)</f>
        <v>46290</v>
      </c>
      <c r="B9" s="19" t="s">
        <v>47</v>
      </c>
      <c r="C9" s="19" t="s">
        <v>48</v>
      </c>
      <c r="D9" s="19" t="s">
        <v>49</v>
      </c>
      <c r="E9" s="19" t="s">
        <v>50</v>
      </c>
      <c r="F9" s="19" t="s">
        <v>51</v>
      </c>
      <c r="G9" s="19" t="s">
        <v>45</v>
      </c>
      <c r="H9" s="19" t="s">
        <v>46</v>
      </c>
      <c r="I9" s="19"/>
    </row>
    <row r="10" customFormat="false" ht="95.25" hidden="false" customHeight="true" outlineLevel="0" collapsed="false">
      <c r="A10" s="18" t="n">
        <f aca="false">TAKVİM!$B$12+(MATCH($G$5,{"Pazartesi","Salı","Çarşamba","Perşembe","Cuma"},0)-1)</f>
        <v>46297</v>
      </c>
      <c r="B10" s="19" t="s">
        <v>52</v>
      </c>
      <c r="C10" s="19" t="s">
        <v>53</v>
      </c>
      <c r="D10" s="19" t="s">
        <v>54</v>
      </c>
      <c r="E10" s="19" t="s">
        <v>55</v>
      </c>
      <c r="F10" s="19" t="s">
        <v>56</v>
      </c>
      <c r="G10" s="19" t="s">
        <v>45</v>
      </c>
      <c r="H10" s="19" t="s">
        <v>46</v>
      </c>
      <c r="I10" s="19"/>
    </row>
    <row r="11" customFormat="false" ht="95.25" hidden="false" customHeight="true" outlineLevel="0" collapsed="false">
      <c r="A11" s="18" t="n">
        <f aca="false">TAKVİM!$B$13+(MATCH($G$5,{"Pazartesi","Salı","Çarşamba","Perşembe","Cuma"},0)-1)</f>
        <v>46304</v>
      </c>
      <c r="B11" s="19" t="s">
        <v>52</v>
      </c>
      <c r="C11" s="19" t="s">
        <v>53</v>
      </c>
      <c r="D11" s="19" t="s">
        <v>57</v>
      </c>
      <c r="E11" s="19" t="s">
        <v>58</v>
      </c>
      <c r="F11" s="19" t="s">
        <v>59</v>
      </c>
      <c r="G11" s="19" t="s">
        <v>45</v>
      </c>
      <c r="H11" s="19" t="s">
        <v>46</v>
      </c>
      <c r="I11" s="19"/>
    </row>
    <row r="12" customFormat="false" ht="74.25" hidden="false" customHeight="true" outlineLevel="0" collapsed="false">
      <c r="A12" s="18" t="n">
        <f aca="false">TAKVİM!$B$14+(MATCH($G$5,{"Pazartesi","Salı","Çarşamba","Perşembe","Cuma"},0)-1)</f>
        <v>46311</v>
      </c>
      <c r="B12" s="19" t="s">
        <v>60</v>
      </c>
      <c r="C12" s="19" t="s">
        <v>61</v>
      </c>
      <c r="D12" s="19" t="s">
        <v>62</v>
      </c>
      <c r="E12" s="19" t="s">
        <v>63</v>
      </c>
      <c r="F12" s="19" t="s">
        <v>64</v>
      </c>
      <c r="G12" s="19" t="s">
        <v>45</v>
      </c>
      <c r="H12" s="19" t="s">
        <v>46</v>
      </c>
      <c r="I12" s="19"/>
    </row>
    <row r="13" customFormat="false" ht="84.75" hidden="false" customHeight="true" outlineLevel="0" collapsed="false">
      <c r="A13" s="18" t="n">
        <f aca="false">TAKVİM!$B$15+(MATCH($G$5,{"Pazartesi","Salı","Çarşamba","Perşembe","Cuma"},0)-1)</f>
        <v>46318</v>
      </c>
      <c r="B13" s="19" t="s">
        <v>65</v>
      </c>
      <c r="C13" s="19" t="s">
        <v>66</v>
      </c>
      <c r="D13" s="19" t="s">
        <v>67</v>
      </c>
      <c r="E13" s="19" t="s">
        <v>68</v>
      </c>
      <c r="F13" s="19" t="s">
        <v>69</v>
      </c>
      <c r="G13" s="19" t="s">
        <v>45</v>
      </c>
      <c r="H13" s="19" t="s">
        <v>46</v>
      </c>
      <c r="I13" s="19"/>
    </row>
    <row r="14" customFormat="false" ht="95.25" hidden="false" customHeight="true" outlineLevel="0" collapsed="false">
      <c r="A14" s="18" t="n">
        <f aca="false">TAKVİM!$B$16+(MATCH($G$5,{"Pazartesi","Salı","Çarşamba","Perşembe","Cuma"},0)-1)</f>
        <v>46325</v>
      </c>
      <c r="B14" s="19" t="s">
        <v>65</v>
      </c>
      <c r="C14" s="19" t="s">
        <v>70</v>
      </c>
      <c r="D14" s="19" t="s">
        <v>71</v>
      </c>
      <c r="E14" s="19" t="s">
        <v>72</v>
      </c>
      <c r="F14" s="19" t="s">
        <v>73</v>
      </c>
      <c r="G14" s="19" t="s">
        <v>45</v>
      </c>
      <c r="H14" s="19" t="s">
        <v>46</v>
      </c>
      <c r="I14" s="19"/>
    </row>
    <row r="15" customFormat="false" ht="95.25" hidden="false" customHeight="true" outlineLevel="0" collapsed="false">
      <c r="A15" s="18" t="n">
        <f aca="false">TAKVİM!$B$17+(MATCH($G$5,{"Pazartesi","Salı","Çarşamba","Perşembe","Cuma"},0)-1)</f>
        <v>46332</v>
      </c>
      <c r="B15" s="19" t="s">
        <v>74</v>
      </c>
      <c r="C15" s="19" t="s">
        <v>75</v>
      </c>
      <c r="D15" s="19" t="s">
        <v>76</v>
      </c>
      <c r="E15" s="19" t="s">
        <v>77</v>
      </c>
      <c r="F15" s="19" t="s">
        <v>78</v>
      </c>
      <c r="G15" s="19" t="s">
        <v>45</v>
      </c>
      <c r="H15" s="19" t="s">
        <v>46</v>
      </c>
      <c r="I15" s="19"/>
    </row>
    <row r="16" customFormat="false" ht="147.75" hidden="false" customHeight="true" outlineLevel="0" collapsed="false">
      <c r="A16" s="18" t="n">
        <f aca="false">TAKVİM!$B$18+(MATCH($G$5,{"Pazartesi","Salı","Çarşamba","Perşembe","Cuma"},0)-1)</f>
        <v>46339</v>
      </c>
      <c r="B16" s="19" t="s">
        <v>74</v>
      </c>
      <c r="C16" s="19" t="s">
        <v>79</v>
      </c>
      <c r="D16" s="19" t="s">
        <v>80</v>
      </c>
      <c r="E16" s="19" t="s">
        <v>81</v>
      </c>
      <c r="F16" s="19" t="s">
        <v>82</v>
      </c>
      <c r="G16" s="19" t="s">
        <v>45</v>
      </c>
      <c r="H16" s="19" t="s">
        <v>46</v>
      </c>
      <c r="I16" s="19"/>
    </row>
    <row r="17" customFormat="false" ht="15" hidden="false" customHeight="true" outlineLevel="0" collapsed="false">
      <c r="A17" s="20" t="str">
        <f aca="false">TAKVİM!$C$19</f>
        <v>16-20 Kasım</v>
      </c>
      <c r="B17" s="20" t="s">
        <v>15</v>
      </c>
      <c r="C17" s="20"/>
      <c r="D17" s="20"/>
      <c r="E17" s="20"/>
      <c r="F17" s="20"/>
      <c r="G17" s="20"/>
      <c r="H17" s="20"/>
      <c r="I17" s="20"/>
    </row>
    <row r="18" customFormat="false" ht="105.75" hidden="false" customHeight="true" outlineLevel="0" collapsed="false">
      <c r="A18" s="18" t="n">
        <f aca="false">TAKVİM!$B$20+(MATCH($G$5,{"Pazartesi","Salı","Çarşamba","Perşembe","Cuma"},0)-1)</f>
        <v>46353</v>
      </c>
      <c r="B18" s="19" t="s">
        <v>83</v>
      </c>
      <c r="C18" s="19" t="s">
        <v>84</v>
      </c>
      <c r="D18" s="19" t="s">
        <v>85</v>
      </c>
      <c r="E18" s="19" t="s">
        <v>86</v>
      </c>
      <c r="F18" s="19" t="s">
        <v>87</v>
      </c>
      <c r="G18" s="19" t="s">
        <v>45</v>
      </c>
      <c r="H18" s="19" t="s">
        <v>46</v>
      </c>
      <c r="I18" s="19"/>
    </row>
    <row r="19" customFormat="false" ht="74.25" hidden="false" customHeight="true" outlineLevel="0" collapsed="false">
      <c r="A19" s="18" t="n">
        <f aca="false">TAKVİM!$B$21+(MATCH($G$5,{"Pazartesi","Salı","Çarşamba","Perşembe","Cuma"},0)-1)</f>
        <v>46360</v>
      </c>
      <c r="B19" s="19" t="s">
        <v>88</v>
      </c>
      <c r="C19" s="19" t="s">
        <v>89</v>
      </c>
      <c r="D19" s="19" t="s">
        <v>90</v>
      </c>
      <c r="E19" s="19" t="s">
        <v>91</v>
      </c>
      <c r="F19" s="19" t="s">
        <v>92</v>
      </c>
      <c r="G19" s="19" t="s">
        <v>45</v>
      </c>
      <c r="H19" s="19" t="s">
        <v>46</v>
      </c>
      <c r="I19" s="19"/>
    </row>
    <row r="20" customFormat="false" ht="105.75" hidden="false" customHeight="true" outlineLevel="0" collapsed="false">
      <c r="A20" s="18" t="n">
        <f aca="false">TAKVİM!$B$22+(MATCH($G$5,{"Pazartesi","Salı","Çarşamba","Perşembe","Cuma"},0)-1)</f>
        <v>46367</v>
      </c>
      <c r="B20" s="19" t="s">
        <v>93</v>
      </c>
      <c r="C20" s="19" t="s">
        <v>94</v>
      </c>
      <c r="D20" s="19" t="s">
        <v>95</v>
      </c>
      <c r="E20" s="19" t="s">
        <v>96</v>
      </c>
      <c r="F20" s="19" t="s">
        <v>97</v>
      </c>
      <c r="G20" s="19" t="s">
        <v>45</v>
      </c>
      <c r="H20" s="19" t="s">
        <v>46</v>
      </c>
      <c r="I20" s="19"/>
    </row>
    <row r="21" customFormat="false" ht="178.5" hidden="false" customHeight="true" outlineLevel="0" collapsed="false">
      <c r="A21" s="18" t="n">
        <f aca="false">TAKVİM!$B$23+(MATCH($G$5,{"Pazartesi","Salı","Çarşamba","Perşembe","Cuma"},0)-1)</f>
        <v>46374</v>
      </c>
      <c r="B21" s="19" t="s">
        <v>98</v>
      </c>
      <c r="C21" s="19" t="s">
        <v>99</v>
      </c>
      <c r="D21" s="19" t="s">
        <v>100</v>
      </c>
      <c r="E21" s="19" t="s">
        <v>101</v>
      </c>
      <c r="F21" s="19" t="s">
        <v>102</v>
      </c>
      <c r="G21" s="19" t="s">
        <v>45</v>
      </c>
      <c r="H21" s="19" t="s">
        <v>46</v>
      </c>
      <c r="I21" s="19"/>
    </row>
    <row r="22" customFormat="false" ht="105.75" hidden="false" customHeight="true" outlineLevel="0" collapsed="false">
      <c r="A22" s="18" t="n">
        <f aca="false">TAKVİM!$B$24+(MATCH($G$5,{"Pazartesi","Salı","Çarşamba","Perşembe","Cuma"},0)-1)</f>
        <v>46381</v>
      </c>
      <c r="B22" s="19" t="s">
        <v>103</v>
      </c>
      <c r="C22" s="19" t="s">
        <v>104</v>
      </c>
      <c r="D22" s="19" t="s">
        <v>105</v>
      </c>
      <c r="E22" s="19" t="s">
        <v>106</v>
      </c>
      <c r="F22" s="19" t="s">
        <v>107</v>
      </c>
      <c r="G22" s="19" t="s">
        <v>45</v>
      </c>
      <c r="H22" s="19" t="s">
        <v>46</v>
      </c>
      <c r="I22" s="19"/>
    </row>
    <row r="23" customFormat="false" ht="74.25" hidden="false" customHeight="true" outlineLevel="0" collapsed="false">
      <c r="A23" s="18" t="n">
        <f aca="false">TAKVİM!$B$25+(MATCH($G$5,{"Pazartesi","Salı","Çarşamba","Perşembe","Cuma"},0)-1)</f>
        <v>46388</v>
      </c>
      <c r="B23" s="19" t="s">
        <v>103</v>
      </c>
      <c r="C23" s="19" t="s">
        <v>108</v>
      </c>
      <c r="D23" s="19" t="s">
        <v>109</v>
      </c>
      <c r="E23" s="19" t="s">
        <v>110</v>
      </c>
      <c r="F23" s="19" t="s">
        <v>111</v>
      </c>
      <c r="G23" s="19" t="s">
        <v>45</v>
      </c>
      <c r="H23" s="19" t="s">
        <v>46</v>
      </c>
      <c r="I23" s="19"/>
    </row>
    <row r="24" customFormat="false" ht="74.25" hidden="false" customHeight="true" outlineLevel="0" collapsed="false">
      <c r="A24" s="18" t="n">
        <f aca="false">TAKVİM!$B$26+(MATCH($G$5,{"Pazartesi","Salı","Çarşamba","Perşembe","Cuma"},0)-1)</f>
        <v>46395</v>
      </c>
      <c r="B24" s="19" t="s">
        <v>112</v>
      </c>
      <c r="C24" s="19" t="s">
        <v>113</v>
      </c>
      <c r="D24" s="19" t="s">
        <v>114</v>
      </c>
      <c r="E24" s="19" t="s">
        <v>115</v>
      </c>
      <c r="F24" s="19" t="s">
        <v>116</v>
      </c>
      <c r="G24" s="19" t="s">
        <v>45</v>
      </c>
      <c r="H24" s="19" t="s">
        <v>46</v>
      </c>
      <c r="I24" s="19"/>
    </row>
    <row r="25" customFormat="false" ht="95.25" hidden="false" customHeight="true" outlineLevel="0" collapsed="false">
      <c r="A25" s="18" t="n">
        <f aca="false">TAKVİM!$B$27+(MATCH($G$5,{"Pazartesi","Salı","Çarşamba","Perşembe","Cuma"},0)-1)</f>
        <v>46402</v>
      </c>
      <c r="B25" s="19" t="s">
        <v>117</v>
      </c>
      <c r="C25" s="19" t="s">
        <v>118</v>
      </c>
      <c r="D25" s="19" t="s">
        <v>119</v>
      </c>
      <c r="E25" s="19" t="s">
        <v>120</v>
      </c>
      <c r="F25" s="19" t="s">
        <v>121</v>
      </c>
      <c r="G25" s="19" t="s">
        <v>45</v>
      </c>
      <c r="H25" s="19" t="s">
        <v>46</v>
      </c>
      <c r="I25" s="19"/>
    </row>
    <row r="26" customFormat="false" ht="84.75" hidden="false" customHeight="true" outlineLevel="0" collapsed="false">
      <c r="A26" s="18" t="n">
        <f aca="false">TAKVİM!$B$28+(MATCH($G$5,{"Pazartesi","Salı","Çarşamba","Perşembe","Cuma"},0)-1)</f>
        <v>46409</v>
      </c>
      <c r="B26" s="19" t="s">
        <v>122</v>
      </c>
      <c r="C26" s="19" t="s">
        <v>123</v>
      </c>
      <c r="D26" s="19" t="s">
        <v>124</v>
      </c>
      <c r="E26" s="19" t="s">
        <v>125</v>
      </c>
      <c r="F26" s="19" t="s">
        <v>126</v>
      </c>
      <c r="G26" s="19" t="s">
        <v>45</v>
      </c>
      <c r="H26" s="19" t="s">
        <v>46</v>
      </c>
      <c r="I26" s="19"/>
    </row>
    <row r="27" customFormat="false" ht="15" hidden="false" customHeight="true" outlineLevel="0" collapsed="false">
      <c r="A27" s="20" t="str">
        <f aca="false">TAKVİM!$C$29</f>
        <v>25-29 Ocak</v>
      </c>
      <c r="B27" s="20" t="s">
        <v>16</v>
      </c>
      <c r="C27" s="20"/>
      <c r="D27" s="20"/>
      <c r="E27" s="20"/>
      <c r="F27" s="20"/>
      <c r="G27" s="20"/>
      <c r="H27" s="20"/>
      <c r="I27" s="20"/>
    </row>
    <row r="28" customFormat="false" ht="95.25" hidden="false" customHeight="true" outlineLevel="0" collapsed="false">
      <c r="A28" s="18" t="n">
        <f aca="false">TAKVİM!$B$30+(MATCH($G$5,{"Pazartesi","Salı","Çarşamba","Perşembe","Cuma"},0)-1)</f>
        <v>46430</v>
      </c>
      <c r="B28" s="19" t="s">
        <v>127</v>
      </c>
      <c r="C28" s="19" t="s">
        <v>128</v>
      </c>
      <c r="D28" s="19" t="s">
        <v>129</v>
      </c>
      <c r="E28" s="19" t="s">
        <v>130</v>
      </c>
      <c r="F28" s="19" t="s">
        <v>131</v>
      </c>
      <c r="G28" s="19" t="s">
        <v>45</v>
      </c>
      <c r="H28" s="19" t="s">
        <v>46</v>
      </c>
      <c r="I28" s="19"/>
    </row>
    <row r="29" customFormat="false" ht="84.75" hidden="false" customHeight="true" outlineLevel="0" collapsed="false">
      <c r="A29" s="18" t="n">
        <f aca="false">TAKVİM!$B$31+(MATCH($G$5,{"Pazartesi","Salı","Çarşamba","Perşembe","Cuma"},0)-1)</f>
        <v>46437</v>
      </c>
      <c r="B29" s="19" t="s">
        <v>132</v>
      </c>
      <c r="C29" s="19" t="s">
        <v>128</v>
      </c>
      <c r="D29" s="19" t="s">
        <v>133</v>
      </c>
      <c r="E29" s="19" t="s">
        <v>134</v>
      </c>
      <c r="F29" s="19" t="s">
        <v>135</v>
      </c>
      <c r="G29" s="19" t="s">
        <v>45</v>
      </c>
      <c r="H29" s="19" t="s">
        <v>46</v>
      </c>
      <c r="I29" s="19"/>
    </row>
    <row r="30" customFormat="false" ht="95.25" hidden="false" customHeight="true" outlineLevel="0" collapsed="false">
      <c r="A30" s="18" t="n">
        <f aca="false">TAKVİM!$B$32+(MATCH($G$5,{"Pazartesi","Salı","Çarşamba","Perşembe","Cuma"},0)-1)</f>
        <v>46444</v>
      </c>
      <c r="B30" s="19" t="s">
        <v>136</v>
      </c>
      <c r="C30" s="19" t="s">
        <v>137</v>
      </c>
      <c r="D30" s="19" t="s">
        <v>138</v>
      </c>
      <c r="E30" s="19" t="s">
        <v>139</v>
      </c>
      <c r="F30" s="19" t="s">
        <v>140</v>
      </c>
      <c r="G30" s="19" t="s">
        <v>45</v>
      </c>
      <c r="H30" s="19" t="s">
        <v>46</v>
      </c>
      <c r="I30" s="19"/>
    </row>
    <row r="31" customFormat="false" ht="95.25" hidden="false" customHeight="true" outlineLevel="0" collapsed="false">
      <c r="A31" s="18" t="n">
        <f aca="false">TAKVİM!$B$33+(MATCH($G$5,{"Pazartesi","Salı","Çarşamba","Perşembe","Cuma"},0)-1)</f>
        <v>46451</v>
      </c>
      <c r="B31" s="19" t="s">
        <v>136</v>
      </c>
      <c r="C31" s="19" t="s">
        <v>137</v>
      </c>
      <c r="D31" s="19" t="s">
        <v>141</v>
      </c>
      <c r="E31" s="19" t="s">
        <v>142</v>
      </c>
      <c r="F31" s="19" t="s">
        <v>143</v>
      </c>
      <c r="G31" s="19" t="s">
        <v>45</v>
      </c>
      <c r="H31" s="19" t="s">
        <v>46</v>
      </c>
      <c r="I31" s="19"/>
    </row>
    <row r="32" customFormat="false" ht="15" hidden="false" customHeight="true" outlineLevel="0" collapsed="false">
      <c r="A32" s="20" t="str">
        <f aca="false">TAKVİM!$C$34</f>
        <v>08-12 Mart</v>
      </c>
      <c r="B32" s="20" t="s">
        <v>17</v>
      </c>
      <c r="C32" s="20"/>
      <c r="D32" s="20"/>
      <c r="E32" s="20"/>
      <c r="F32" s="20"/>
      <c r="G32" s="20"/>
      <c r="H32" s="20"/>
      <c r="I32" s="20"/>
    </row>
    <row r="33" customFormat="false" ht="116.25" hidden="false" customHeight="true" outlineLevel="0" collapsed="false">
      <c r="A33" s="18" t="n">
        <f aca="false">TAKVİM!$B$35+(MATCH($G$5,{"Pazartesi","Salı","Çarşamba","Perşembe","Cuma"},0)-1)</f>
        <v>46465</v>
      </c>
      <c r="B33" s="19" t="s">
        <v>144</v>
      </c>
      <c r="C33" s="19" t="s">
        <v>145</v>
      </c>
      <c r="D33" s="19" t="s">
        <v>146</v>
      </c>
      <c r="E33" s="19" t="s">
        <v>147</v>
      </c>
      <c r="F33" s="19" t="s">
        <v>148</v>
      </c>
      <c r="G33" s="19" t="s">
        <v>45</v>
      </c>
      <c r="H33" s="19" t="s">
        <v>46</v>
      </c>
      <c r="I33" s="19"/>
    </row>
    <row r="34" customFormat="false" ht="84.75" hidden="false" customHeight="true" outlineLevel="0" collapsed="false">
      <c r="A34" s="18" t="n">
        <f aca="false">TAKVİM!$B$36+(MATCH($G$5,{"Pazartesi","Salı","Çarşamba","Perşembe","Cuma"},0)-1)</f>
        <v>46472</v>
      </c>
      <c r="B34" s="19" t="s">
        <v>144</v>
      </c>
      <c r="C34" s="19" t="s">
        <v>149</v>
      </c>
      <c r="D34" s="19" t="s">
        <v>150</v>
      </c>
      <c r="E34" s="19" t="s">
        <v>151</v>
      </c>
      <c r="F34" s="19" t="s">
        <v>152</v>
      </c>
      <c r="G34" s="19" t="s">
        <v>45</v>
      </c>
      <c r="H34" s="19" t="s">
        <v>46</v>
      </c>
      <c r="I34" s="19"/>
    </row>
    <row r="35" customFormat="false" ht="116.25" hidden="false" customHeight="true" outlineLevel="0" collapsed="false">
      <c r="A35" s="18" t="n">
        <f aca="false">TAKVİM!$B$37+(MATCH($G$5,{"Pazartesi","Salı","Çarşamba","Perşembe","Cuma"},0)-1)</f>
        <v>46479</v>
      </c>
      <c r="B35" s="19" t="s">
        <v>153</v>
      </c>
      <c r="C35" s="19" t="s">
        <v>154</v>
      </c>
      <c r="D35" s="19" t="s">
        <v>155</v>
      </c>
      <c r="E35" s="19" t="s">
        <v>156</v>
      </c>
      <c r="F35" s="19" t="s">
        <v>157</v>
      </c>
      <c r="G35" s="19" t="s">
        <v>45</v>
      </c>
      <c r="H35" s="19" t="s">
        <v>46</v>
      </c>
      <c r="I35" s="19"/>
    </row>
    <row r="36" customFormat="false" ht="147.75" hidden="false" customHeight="true" outlineLevel="0" collapsed="false">
      <c r="A36" s="18" t="n">
        <f aca="false">TAKVİM!$B$38+(MATCH($G$5,{"Pazartesi","Salı","Çarşamba","Perşembe","Cuma"},0)-1)</f>
        <v>46486</v>
      </c>
      <c r="B36" s="19" t="s">
        <v>153</v>
      </c>
      <c r="C36" s="19" t="s">
        <v>158</v>
      </c>
      <c r="D36" s="19" t="s">
        <v>159</v>
      </c>
      <c r="E36" s="19" t="s">
        <v>160</v>
      </c>
      <c r="F36" s="19" t="s">
        <v>161</v>
      </c>
      <c r="G36" s="19" t="s">
        <v>45</v>
      </c>
      <c r="H36" s="19" t="s">
        <v>46</v>
      </c>
      <c r="I36" s="19"/>
    </row>
    <row r="37" customFormat="false" ht="116.25" hidden="false" customHeight="true" outlineLevel="0" collapsed="false">
      <c r="A37" s="18" t="n">
        <f aca="false">TAKVİM!$B$39+(MATCH($G$5,{"Pazartesi","Salı","Çarşamba","Perşembe","Cuma"},0)-1)</f>
        <v>46493</v>
      </c>
      <c r="B37" s="19" t="s">
        <v>153</v>
      </c>
      <c r="C37" s="19" t="s">
        <v>162</v>
      </c>
      <c r="D37" s="19" t="s">
        <v>163</v>
      </c>
      <c r="E37" s="19" t="s">
        <v>164</v>
      </c>
      <c r="F37" s="19" t="s">
        <v>165</v>
      </c>
      <c r="G37" s="19" t="s">
        <v>45</v>
      </c>
      <c r="H37" s="19" t="s">
        <v>46</v>
      </c>
      <c r="I37" s="19"/>
    </row>
    <row r="38" customFormat="false" ht="84.75" hidden="false" customHeight="true" outlineLevel="0" collapsed="false">
      <c r="A38" s="18" t="n">
        <f aca="false">TAKVİM!$B$40+(MATCH($G$5,{"Pazartesi","Salı","Çarşamba","Perşembe","Cuma"},0)-1)</f>
        <v>46500</v>
      </c>
      <c r="B38" s="19" t="s">
        <v>153</v>
      </c>
      <c r="C38" s="19" t="s">
        <v>166</v>
      </c>
      <c r="D38" s="19" t="s">
        <v>167</v>
      </c>
      <c r="E38" s="19" t="s">
        <v>168</v>
      </c>
      <c r="F38" s="19" t="s">
        <v>169</v>
      </c>
      <c r="G38" s="19" t="s">
        <v>45</v>
      </c>
      <c r="H38" s="19" t="s">
        <v>46</v>
      </c>
      <c r="I38" s="19"/>
    </row>
    <row r="39" customFormat="false" ht="95.25" hidden="false" customHeight="true" outlineLevel="0" collapsed="false">
      <c r="A39" s="18" t="n">
        <f aca="false">TAKVİM!$B$41+(MATCH($G$5,{"Pazartesi","Salı","Çarşamba","Perşembe","Cuma"},0)-1)</f>
        <v>46507</v>
      </c>
      <c r="B39" s="19" t="s">
        <v>170</v>
      </c>
      <c r="C39" s="19" t="s">
        <v>171</v>
      </c>
      <c r="D39" s="19" t="s">
        <v>172</v>
      </c>
      <c r="E39" s="19" t="s">
        <v>173</v>
      </c>
      <c r="F39" s="19" t="s">
        <v>174</v>
      </c>
      <c r="G39" s="19" t="s">
        <v>45</v>
      </c>
      <c r="H39" s="19" t="s">
        <v>46</v>
      </c>
      <c r="I39" s="19"/>
    </row>
    <row r="40" customFormat="false" ht="147.75" hidden="false" customHeight="true" outlineLevel="0" collapsed="false">
      <c r="A40" s="18" t="n">
        <f aca="false">TAKVİM!$B$42+(MATCH($G$5,{"Pazartesi","Salı","Çarşamba","Perşembe","Cuma"},0)-1)</f>
        <v>46514</v>
      </c>
      <c r="B40" s="19" t="s">
        <v>175</v>
      </c>
      <c r="C40" s="19" t="s">
        <v>176</v>
      </c>
      <c r="D40" s="19" t="s">
        <v>177</v>
      </c>
      <c r="E40" s="19" t="s">
        <v>178</v>
      </c>
      <c r="F40" s="19" t="s">
        <v>179</v>
      </c>
      <c r="G40" s="19" t="s">
        <v>45</v>
      </c>
      <c r="H40" s="19" t="s">
        <v>46</v>
      </c>
      <c r="I40" s="19"/>
    </row>
    <row r="41" customFormat="false" ht="178.5" hidden="false" customHeight="true" outlineLevel="0" collapsed="false">
      <c r="A41" s="18" t="n">
        <f aca="false">TAKVİM!$B$43+(MATCH($G$5,{"Pazartesi","Salı","Çarşamba","Perşembe","Cuma"},0)-1)</f>
        <v>46521</v>
      </c>
      <c r="B41" s="19" t="s">
        <v>180</v>
      </c>
      <c r="C41" s="19" t="s">
        <v>181</v>
      </c>
      <c r="D41" s="19" t="s">
        <v>182</v>
      </c>
      <c r="E41" s="19" t="s">
        <v>183</v>
      </c>
      <c r="F41" s="19" t="s">
        <v>184</v>
      </c>
      <c r="G41" s="19" t="s">
        <v>45</v>
      </c>
      <c r="H41" s="19" t="s">
        <v>46</v>
      </c>
      <c r="I41" s="19"/>
    </row>
    <row r="42" customFormat="false" ht="84.75" hidden="false" customHeight="true" outlineLevel="0" collapsed="false">
      <c r="A42" s="18" t="n">
        <f aca="false">TAKVİM!$B$44+(MATCH($G$5,{"Pazartesi","Salı","Çarşamba","Perşembe","Cuma"},0)-1)</f>
        <v>46528</v>
      </c>
      <c r="B42" s="19" t="s">
        <v>180</v>
      </c>
      <c r="C42" s="19" t="s">
        <v>185</v>
      </c>
      <c r="D42" s="19" t="s">
        <v>186</v>
      </c>
      <c r="E42" s="19" t="s">
        <v>187</v>
      </c>
      <c r="F42" s="19" t="s">
        <v>188</v>
      </c>
      <c r="G42" s="19" t="s">
        <v>45</v>
      </c>
      <c r="H42" s="19" t="s">
        <v>46</v>
      </c>
      <c r="I42" s="19"/>
    </row>
    <row r="43" customFormat="false" ht="126.75" hidden="false" customHeight="true" outlineLevel="0" collapsed="false">
      <c r="A43" s="18" t="n">
        <f aca="false">TAKVİM!$B$45+(MATCH($G$5,{"Pazartesi","Salı","Çarşamba","Perşembe","Cuma"},0)-1)</f>
        <v>46535</v>
      </c>
      <c r="B43" s="19" t="s">
        <v>144</v>
      </c>
      <c r="C43" s="19" t="s">
        <v>189</v>
      </c>
      <c r="D43" s="19" t="s">
        <v>190</v>
      </c>
      <c r="E43" s="19" t="s">
        <v>191</v>
      </c>
      <c r="F43" s="19" t="s">
        <v>192</v>
      </c>
      <c r="G43" s="19" t="s">
        <v>45</v>
      </c>
      <c r="H43" s="19" t="s">
        <v>46</v>
      </c>
      <c r="I43" s="19"/>
    </row>
    <row r="44" customFormat="false" ht="168" hidden="false" customHeight="true" outlineLevel="0" collapsed="false">
      <c r="A44" s="18" t="n">
        <f aca="false">TAKVİM!$B$46+(MATCH($G$5,{"Pazartesi","Salı","Çarşamba","Perşembe","Cuma"},0)-1)</f>
        <v>46542</v>
      </c>
      <c r="B44" s="19" t="s">
        <v>144</v>
      </c>
      <c r="C44" s="19" t="s">
        <v>193</v>
      </c>
      <c r="D44" s="19" t="s">
        <v>194</v>
      </c>
      <c r="E44" s="19" t="s">
        <v>195</v>
      </c>
      <c r="F44" s="19" t="s">
        <v>196</v>
      </c>
      <c r="G44" s="19" t="s">
        <v>45</v>
      </c>
      <c r="H44" s="19" t="s">
        <v>46</v>
      </c>
      <c r="I44" s="19"/>
    </row>
    <row r="45" customFormat="false" ht="189" hidden="false" customHeight="true" outlineLevel="0" collapsed="false">
      <c r="A45" s="18" t="n">
        <f aca="false">TAKVİM!$B$47+(MATCH($G$5,{"Pazartesi","Salı","Çarşamba","Perşembe","Cuma"},0)-1)</f>
        <v>46549</v>
      </c>
      <c r="B45" s="19" t="s">
        <v>197</v>
      </c>
      <c r="C45" s="19" t="s">
        <v>198</v>
      </c>
      <c r="D45" s="19" t="s">
        <v>199</v>
      </c>
      <c r="E45" s="19" t="s">
        <v>200</v>
      </c>
      <c r="F45" s="19" t="s">
        <v>201</v>
      </c>
      <c r="G45" s="19" t="s">
        <v>45</v>
      </c>
      <c r="H45" s="19" t="s">
        <v>46</v>
      </c>
      <c r="I45" s="19"/>
    </row>
    <row r="46" customFormat="false" ht="168" hidden="false" customHeight="true" outlineLevel="0" collapsed="false">
      <c r="A46" s="18" t="n">
        <f aca="false">TAKVİM!$B$48+(MATCH($G$5,{"Pazartesi","Salı","Çarşamba","Perşembe","Cuma"},0)-1)</f>
        <v>46556</v>
      </c>
      <c r="B46" s="19" t="s">
        <v>197</v>
      </c>
      <c r="C46" s="19" t="s">
        <v>202</v>
      </c>
      <c r="D46" s="19" t="s">
        <v>203</v>
      </c>
      <c r="E46" s="19" t="s">
        <v>204</v>
      </c>
      <c r="F46" s="19" t="s">
        <v>205</v>
      </c>
      <c r="G46" s="19" t="s">
        <v>45</v>
      </c>
      <c r="H46" s="19" t="s">
        <v>46</v>
      </c>
      <c r="I46" s="19"/>
    </row>
    <row r="47" customFormat="false" ht="116.25" hidden="false" customHeight="true" outlineLevel="0" collapsed="false">
      <c r="A47" s="18" t="n">
        <f aca="false">TAKVİM!$B$49+(MATCH($G$5,{"Pazartesi","Salı","Çarşamba","Perşembe","Cuma"},0)-1)</f>
        <v>46563</v>
      </c>
      <c r="B47" s="19" t="s">
        <v>197</v>
      </c>
      <c r="C47" s="19" t="s">
        <v>206</v>
      </c>
      <c r="D47" s="19" t="s">
        <v>207</v>
      </c>
      <c r="E47" s="19" t="s">
        <v>208</v>
      </c>
      <c r="F47" s="19" t="s">
        <v>209</v>
      </c>
      <c r="G47" s="19" t="s">
        <v>45</v>
      </c>
      <c r="H47" s="19" t="s">
        <v>46</v>
      </c>
      <c r="I47" s="19"/>
    </row>
    <row r="51" customFormat="false" ht="15" hidden="false" customHeight="true" outlineLevel="0" collapsed="false">
      <c r="A51" s="21" t="s">
        <v>28</v>
      </c>
      <c r="B51" s="21"/>
      <c r="C51" s="21"/>
      <c r="D51" s="21"/>
      <c r="F51" s="21" t="s">
        <v>210</v>
      </c>
      <c r="G51" s="21"/>
      <c r="H51" s="21"/>
      <c r="I51" s="21"/>
    </row>
    <row r="52" customFormat="false" ht="15" hidden="false" customHeight="true" outlineLevel="0" collapsed="false">
      <c r="A52" s="22" t="s">
        <v>211</v>
      </c>
      <c r="B52" s="22"/>
      <c r="C52" s="22"/>
      <c r="D52" s="22"/>
      <c r="F52" s="22" t="s">
        <v>212</v>
      </c>
      <c r="G52" s="22"/>
      <c r="H52" s="22"/>
      <c r="I52" s="22"/>
    </row>
    <row r="54" customFormat="false" ht="15" hidden="false" customHeight="true" outlineLevel="0" collapsed="false">
      <c r="A54" s="22" t="s">
        <v>213</v>
      </c>
      <c r="B54" s="22"/>
      <c r="C54" s="22"/>
      <c r="D54" s="22"/>
      <c r="F54" s="21" t="s">
        <v>214</v>
      </c>
      <c r="G54" s="21"/>
      <c r="H54" s="21"/>
      <c r="I54" s="21"/>
    </row>
  </sheetData>
  <mergeCells count="15">
    <mergeCell ref="C1:G1"/>
    <mergeCell ref="B3:D3"/>
    <mergeCell ref="G3:I3"/>
    <mergeCell ref="B4:D4"/>
    <mergeCell ref="G4:I4"/>
    <mergeCell ref="B5:D5"/>
    <mergeCell ref="B17:I17"/>
    <mergeCell ref="B27:I27"/>
    <mergeCell ref="B32:I32"/>
    <mergeCell ref="A51:D51"/>
    <mergeCell ref="F51:I51"/>
    <mergeCell ref="A52:D52"/>
    <mergeCell ref="F52:I52"/>
    <mergeCell ref="A54:D54"/>
    <mergeCell ref="F54:I54"/>
  </mergeCells>
  <dataValidations count="1">
    <dataValidation allowBlank="false" errorStyle="stop" operator="between" showDropDown="false" showErrorMessage="false" showInputMessage="false" sqref="G5" type="list">
      <formula1>"Pazartesi,Salı,Çarşamba,Perşembe,Cuma"</formula1>
      <formula2>0</formula2>
    </dataValidation>
  </dataValidation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4" min="3" style="1" width="26"/>
    <col collapsed="false" customWidth="true" hidden="false" outlineLevel="0" max="5" min="5" style="1" width="34"/>
    <col collapsed="false" customWidth="true" hidden="false" outlineLevel="0" max="6" min="6" style="1" width="22"/>
    <col collapsed="false" customWidth="true" hidden="false" outlineLevel="0" max="7" min="7" style="1" width="18"/>
    <col collapsed="false" customWidth="true" hidden="false" outlineLevel="0" max="8" min="8" style="1" width="22"/>
    <col collapsed="false" customWidth="true" hidden="false" outlineLevel="0" max="9" min="9" style="1" width="18"/>
  </cols>
  <sheetData>
    <row r="1" customFormat="false" ht="75" hidden="false" customHeight="true" outlineLevel="0" collapsed="false">
      <c r="C1" s="15" t="s">
        <v>18</v>
      </c>
      <c r="D1" s="15"/>
      <c r="E1" s="15"/>
      <c r="F1" s="15"/>
      <c r="G1" s="15"/>
    </row>
    <row r="3" customFormat="false" ht="15" hidden="false" customHeight="true" outlineLevel="0" collapsed="false">
      <c r="A3" s="3" t="s">
        <v>19</v>
      </c>
      <c r="B3" s="16" t="s">
        <v>215</v>
      </c>
      <c r="C3" s="16"/>
      <c r="D3" s="16"/>
      <c r="F3" s="3" t="s">
        <v>21</v>
      </c>
      <c r="G3" s="16" t="s">
        <v>22</v>
      </c>
      <c r="H3" s="16"/>
      <c r="I3" s="16"/>
    </row>
    <row r="4" customFormat="false" ht="15" hidden="false" customHeight="true" outlineLevel="0" collapsed="false">
      <c r="A4" s="3" t="s">
        <v>23</v>
      </c>
      <c r="B4" s="16" t="s">
        <v>24</v>
      </c>
      <c r="C4" s="16"/>
      <c r="D4" s="16"/>
      <c r="F4" s="3" t="s">
        <v>25</v>
      </c>
      <c r="G4" s="16" t="s">
        <v>216</v>
      </c>
      <c r="H4" s="16"/>
      <c r="I4" s="16"/>
    </row>
    <row r="5" customFormat="false" ht="15" hidden="false" customHeight="true" outlineLevel="0" collapsed="false">
      <c r="A5" s="3" t="s">
        <v>27</v>
      </c>
      <c r="B5" s="16" t="s">
        <v>28</v>
      </c>
      <c r="C5" s="16"/>
      <c r="D5" s="16"/>
      <c r="F5" s="3" t="s">
        <v>29</v>
      </c>
      <c r="G5" s="4" t="s">
        <v>30</v>
      </c>
    </row>
    <row r="7" customFormat="false" ht="23.25" hidden="false" customHeight="true" outlineLevel="0" collapsed="false">
      <c r="A7" s="17" t="s">
        <v>31</v>
      </c>
      <c r="B7" s="17" t="s">
        <v>32</v>
      </c>
      <c r="C7" s="17" t="s">
        <v>33</v>
      </c>
      <c r="D7" s="17" t="s">
        <v>34</v>
      </c>
      <c r="E7" s="17" t="s">
        <v>35</v>
      </c>
      <c r="F7" s="17" t="s">
        <v>36</v>
      </c>
      <c r="G7" s="17" t="s">
        <v>37</v>
      </c>
      <c r="H7" s="17" t="s">
        <v>38</v>
      </c>
      <c r="I7" s="17" t="s">
        <v>39</v>
      </c>
    </row>
    <row r="8" customFormat="false" ht="137.25" hidden="false" customHeight="true" outlineLevel="0" collapsed="false">
      <c r="A8" s="18" t="n">
        <f aca="false">TAKVİM!$B$10+(MATCH($G$5,{"Pazartesi","Salı","Çarşamba","Perşembe","Cuma"},0)-1)</f>
        <v>46283</v>
      </c>
      <c r="B8" s="19" t="s">
        <v>217</v>
      </c>
      <c r="C8" s="19" t="s">
        <v>218</v>
      </c>
      <c r="D8" s="19" t="s">
        <v>219</v>
      </c>
      <c r="E8" s="19" t="s">
        <v>220</v>
      </c>
      <c r="F8" s="19" t="s">
        <v>221</v>
      </c>
      <c r="G8" s="19" t="s">
        <v>222</v>
      </c>
      <c r="H8" s="19" t="s">
        <v>223</v>
      </c>
      <c r="I8" s="19"/>
    </row>
    <row r="9" customFormat="false" ht="116.25" hidden="false" customHeight="true" outlineLevel="0" collapsed="false">
      <c r="A9" s="18" t="n">
        <f aca="false">TAKVİM!$B$11+(MATCH($G$5,{"Pazartesi","Salı","Çarşamba","Perşembe","Cuma"},0)-1)</f>
        <v>46290</v>
      </c>
      <c r="B9" s="19" t="s">
        <v>224</v>
      </c>
      <c r="C9" s="19" t="s">
        <v>225</v>
      </c>
      <c r="D9" s="19" t="s">
        <v>226</v>
      </c>
      <c r="E9" s="19" t="s">
        <v>227</v>
      </c>
      <c r="F9" s="19" t="s">
        <v>228</v>
      </c>
      <c r="G9" s="19" t="s">
        <v>222</v>
      </c>
      <c r="H9" s="19" t="s">
        <v>223</v>
      </c>
      <c r="I9" s="19"/>
    </row>
    <row r="10" customFormat="false" ht="116.25" hidden="false" customHeight="true" outlineLevel="0" collapsed="false">
      <c r="A10" s="18" t="n">
        <f aca="false">TAKVİM!$B$12+(MATCH($G$5,{"Pazartesi","Salı","Çarşamba","Perşembe","Cuma"},0)-1)</f>
        <v>46297</v>
      </c>
      <c r="B10" s="19" t="s">
        <v>229</v>
      </c>
      <c r="C10" s="19" t="s">
        <v>230</v>
      </c>
      <c r="D10" s="19" t="s">
        <v>231</v>
      </c>
      <c r="E10" s="19" t="s">
        <v>232</v>
      </c>
      <c r="F10" s="19" t="s">
        <v>233</v>
      </c>
      <c r="G10" s="19" t="s">
        <v>222</v>
      </c>
      <c r="H10" s="19" t="s">
        <v>223</v>
      </c>
      <c r="I10" s="19"/>
    </row>
    <row r="11" customFormat="false" ht="84.75" hidden="false" customHeight="true" outlineLevel="0" collapsed="false">
      <c r="A11" s="18" t="n">
        <f aca="false">TAKVİM!$B$13+(MATCH($G$5,{"Pazartesi","Salı","Çarşamba","Perşembe","Cuma"},0)-1)</f>
        <v>46304</v>
      </c>
      <c r="B11" s="19" t="s">
        <v>234</v>
      </c>
      <c r="C11" s="19" t="s">
        <v>235</v>
      </c>
      <c r="D11" s="19" t="s">
        <v>236</v>
      </c>
      <c r="E11" s="19" t="s">
        <v>237</v>
      </c>
      <c r="F11" s="19" t="s">
        <v>238</v>
      </c>
      <c r="G11" s="19" t="s">
        <v>222</v>
      </c>
      <c r="H11" s="19" t="s">
        <v>223</v>
      </c>
      <c r="I11" s="19"/>
    </row>
    <row r="12" customFormat="false" ht="116.25" hidden="false" customHeight="true" outlineLevel="0" collapsed="false">
      <c r="A12" s="18" t="n">
        <f aca="false">TAKVİM!$B$14+(MATCH($G$5,{"Pazartesi","Salı","Çarşamba","Perşembe","Cuma"},0)-1)</f>
        <v>46311</v>
      </c>
      <c r="B12" s="19" t="s">
        <v>239</v>
      </c>
      <c r="C12" s="19" t="s">
        <v>240</v>
      </c>
      <c r="D12" s="19" t="s">
        <v>241</v>
      </c>
      <c r="E12" s="19" t="s">
        <v>242</v>
      </c>
      <c r="F12" s="19" t="s">
        <v>243</v>
      </c>
      <c r="G12" s="19" t="s">
        <v>222</v>
      </c>
      <c r="H12" s="19" t="s">
        <v>223</v>
      </c>
      <c r="I12" s="19"/>
    </row>
    <row r="13" customFormat="false" ht="105.75" hidden="false" customHeight="true" outlineLevel="0" collapsed="false">
      <c r="A13" s="18" t="n">
        <f aca="false">TAKVİM!$B$15+(MATCH($G$5,{"Pazartesi","Salı","Çarşamba","Perşembe","Cuma"},0)-1)</f>
        <v>46318</v>
      </c>
      <c r="B13" s="19" t="s">
        <v>244</v>
      </c>
      <c r="C13" s="19" t="s">
        <v>245</v>
      </c>
      <c r="D13" s="19" t="s">
        <v>246</v>
      </c>
      <c r="E13" s="19" t="s">
        <v>247</v>
      </c>
      <c r="F13" s="19" t="s">
        <v>248</v>
      </c>
      <c r="G13" s="19" t="s">
        <v>222</v>
      </c>
      <c r="H13" s="19" t="s">
        <v>223</v>
      </c>
      <c r="I13" s="19"/>
    </row>
    <row r="14" customFormat="false" ht="84.75" hidden="false" customHeight="true" outlineLevel="0" collapsed="false">
      <c r="A14" s="18" t="n">
        <f aca="false">TAKVİM!$B$16+(MATCH($G$5,{"Pazartesi","Salı","Çarşamba","Perşembe","Cuma"},0)-1)</f>
        <v>46325</v>
      </c>
      <c r="B14" s="19" t="s">
        <v>249</v>
      </c>
      <c r="C14" s="19" t="s">
        <v>250</v>
      </c>
      <c r="D14" s="19" t="s">
        <v>251</v>
      </c>
      <c r="E14" s="19" t="s">
        <v>252</v>
      </c>
      <c r="F14" s="19" t="s">
        <v>253</v>
      </c>
      <c r="G14" s="19" t="s">
        <v>222</v>
      </c>
      <c r="H14" s="19" t="s">
        <v>223</v>
      </c>
      <c r="I14" s="19"/>
    </row>
    <row r="15" customFormat="false" ht="84.75" hidden="false" customHeight="true" outlineLevel="0" collapsed="false">
      <c r="A15" s="18" t="n">
        <f aca="false">TAKVİM!$B$17+(MATCH($G$5,{"Pazartesi","Salı","Çarşamba","Perşembe","Cuma"},0)-1)</f>
        <v>46332</v>
      </c>
      <c r="B15" s="19" t="s">
        <v>254</v>
      </c>
      <c r="C15" s="19" t="s">
        <v>255</v>
      </c>
      <c r="D15" s="19" t="s">
        <v>256</v>
      </c>
      <c r="E15" s="19" t="s">
        <v>257</v>
      </c>
      <c r="F15" s="19" t="s">
        <v>258</v>
      </c>
      <c r="G15" s="19" t="s">
        <v>222</v>
      </c>
      <c r="H15" s="19" t="s">
        <v>223</v>
      </c>
      <c r="I15" s="19"/>
    </row>
    <row r="16" customFormat="false" ht="126.75" hidden="false" customHeight="true" outlineLevel="0" collapsed="false">
      <c r="A16" s="18" t="n">
        <f aca="false">TAKVİM!$B$18+(MATCH($G$5,{"Pazartesi","Salı","Çarşamba","Perşembe","Cuma"},0)-1)</f>
        <v>46339</v>
      </c>
      <c r="B16" s="19" t="s">
        <v>259</v>
      </c>
      <c r="C16" s="19" t="s">
        <v>260</v>
      </c>
      <c r="D16" s="19" t="s">
        <v>261</v>
      </c>
      <c r="E16" s="19" t="s">
        <v>262</v>
      </c>
      <c r="F16" s="19" t="s">
        <v>263</v>
      </c>
      <c r="G16" s="19" t="s">
        <v>222</v>
      </c>
      <c r="H16" s="19" t="s">
        <v>223</v>
      </c>
      <c r="I16" s="19"/>
    </row>
    <row r="17" customFormat="false" ht="15" hidden="false" customHeight="true" outlineLevel="0" collapsed="false">
      <c r="A17" s="20" t="str">
        <f aca="false">TAKVİM!$C$19</f>
        <v>16-20 Kasım</v>
      </c>
      <c r="B17" s="20" t="s">
        <v>15</v>
      </c>
      <c r="C17" s="20"/>
      <c r="D17" s="20"/>
      <c r="E17" s="20"/>
      <c r="F17" s="20"/>
      <c r="G17" s="20"/>
      <c r="H17" s="20"/>
      <c r="I17" s="20"/>
    </row>
    <row r="18" customFormat="false" ht="147.75" hidden="false" customHeight="true" outlineLevel="0" collapsed="false">
      <c r="A18" s="18" t="n">
        <f aca="false">TAKVİM!$B$20+(MATCH($G$5,{"Pazartesi","Salı","Çarşamba","Perşembe","Cuma"},0)-1)</f>
        <v>46353</v>
      </c>
      <c r="B18" s="19" t="s">
        <v>264</v>
      </c>
      <c r="C18" s="19" t="s">
        <v>265</v>
      </c>
      <c r="D18" s="19" t="s">
        <v>266</v>
      </c>
      <c r="E18" s="19" t="s">
        <v>267</v>
      </c>
      <c r="F18" s="19" t="s">
        <v>268</v>
      </c>
      <c r="G18" s="19" t="s">
        <v>222</v>
      </c>
      <c r="H18" s="19" t="s">
        <v>223</v>
      </c>
      <c r="I18" s="19"/>
    </row>
    <row r="19" customFormat="false" ht="105.75" hidden="false" customHeight="true" outlineLevel="0" collapsed="false">
      <c r="A19" s="18" t="n">
        <f aca="false">TAKVİM!$B$21+(MATCH($G$5,{"Pazartesi","Salı","Çarşamba","Perşembe","Cuma"},0)-1)</f>
        <v>46360</v>
      </c>
      <c r="B19" s="19" t="s">
        <v>269</v>
      </c>
      <c r="C19" s="19" t="s">
        <v>270</v>
      </c>
      <c r="D19" s="19" t="s">
        <v>271</v>
      </c>
      <c r="E19" s="19" t="s">
        <v>272</v>
      </c>
      <c r="F19" s="19" t="s">
        <v>273</v>
      </c>
      <c r="G19" s="19" t="s">
        <v>222</v>
      </c>
      <c r="H19" s="19" t="s">
        <v>223</v>
      </c>
      <c r="I19" s="19"/>
    </row>
    <row r="20" customFormat="false" ht="126.75" hidden="false" customHeight="true" outlineLevel="0" collapsed="false">
      <c r="A20" s="18" t="n">
        <f aca="false">TAKVİM!$B$22+(MATCH($G$5,{"Pazartesi","Salı","Çarşamba","Perşembe","Cuma"},0)-1)</f>
        <v>46367</v>
      </c>
      <c r="B20" s="19" t="s">
        <v>274</v>
      </c>
      <c r="C20" s="19" t="s">
        <v>275</v>
      </c>
      <c r="D20" s="19" t="s">
        <v>276</v>
      </c>
      <c r="E20" s="19" t="s">
        <v>277</v>
      </c>
      <c r="F20" s="19" t="s">
        <v>278</v>
      </c>
      <c r="G20" s="19" t="s">
        <v>222</v>
      </c>
      <c r="H20" s="19" t="s">
        <v>223</v>
      </c>
      <c r="I20" s="19"/>
    </row>
    <row r="21" customFormat="false" ht="116.25" hidden="false" customHeight="true" outlineLevel="0" collapsed="false">
      <c r="A21" s="18" t="n">
        <f aca="false">TAKVİM!$B$23+(MATCH($G$5,{"Pazartesi","Salı","Çarşamba","Perşembe","Cuma"},0)-1)</f>
        <v>46374</v>
      </c>
      <c r="B21" s="19" t="s">
        <v>279</v>
      </c>
      <c r="C21" s="19" t="s">
        <v>280</v>
      </c>
      <c r="D21" s="19" t="s">
        <v>281</v>
      </c>
      <c r="E21" s="19" t="s">
        <v>282</v>
      </c>
      <c r="F21" s="19" t="s">
        <v>283</v>
      </c>
      <c r="G21" s="19" t="s">
        <v>222</v>
      </c>
      <c r="H21" s="19" t="s">
        <v>223</v>
      </c>
      <c r="I21" s="19"/>
    </row>
    <row r="22" customFormat="false" ht="137.25" hidden="false" customHeight="true" outlineLevel="0" collapsed="false">
      <c r="A22" s="18" t="n">
        <f aca="false">TAKVİM!$B$24+(MATCH($G$5,{"Pazartesi","Salı","Çarşamba","Perşembe","Cuma"},0)-1)</f>
        <v>46381</v>
      </c>
      <c r="B22" s="19" t="s">
        <v>284</v>
      </c>
      <c r="C22" s="19" t="s">
        <v>285</v>
      </c>
      <c r="D22" s="19" t="s">
        <v>286</v>
      </c>
      <c r="E22" s="19" t="s">
        <v>287</v>
      </c>
      <c r="F22" s="19" t="s">
        <v>288</v>
      </c>
      <c r="G22" s="19" t="s">
        <v>222</v>
      </c>
      <c r="H22" s="19" t="s">
        <v>223</v>
      </c>
      <c r="I22" s="19"/>
    </row>
    <row r="23" customFormat="false" ht="116.25" hidden="false" customHeight="true" outlineLevel="0" collapsed="false">
      <c r="A23" s="18" t="n">
        <f aca="false">TAKVİM!$B$25+(MATCH($G$5,{"Pazartesi","Salı","Çarşamba","Perşembe","Cuma"},0)-1)</f>
        <v>46388</v>
      </c>
      <c r="B23" s="19" t="s">
        <v>289</v>
      </c>
      <c r="C23" s="19" t="s">
        <v>290</v>
      </c>
      <c r="D23" s="19" t="s">
        <v>291</v>
      </c>
      <c r="E23" s="19" t="s">
        <v>292</v>
      </c>
      <c r="F23" s="19" t="s">
        <v>293</v>
      </c>
      <c r="G23" s="19" t="s">
        <v>222</v>
      </c>
      <c r="H23" s="19" t="s">
        <v>223</v>
      </c>
      <c r="I23" s="19"/>
    </row>
    <row r="24" customFormat="false" ht="95.25" hidden="false" customHeight="true" outlineLevel="0" collapsed="false">
      <c r="A24" s="18" t="n">
        <f aca="false">TAKVİM!$B$26+(MATCH($G$5,{"Pazartesi","Salı","Çarşamba","Perşembe","Cuma"},0)-1)</f>
        <v>46395</v>
      </c>
      <c r="B24" s="19" t="s">
        <v>294</v>
      </c>
      <c r="C24" s="19" t="s">
        <v>295</v>
      </c>
      <c r="D24" s="19" t="s">
        <v>296</v>
      </c>
      <c r="E24" s="19" t="s">
        <v>297</v>
      </c>
      <c r="F24" s="19" t="s">
        <v>298</v>
      </c>
      <c r="G24" s="19" t="s">
        <v>222</v>
      </c>
      <c r="H24" s="19" t="s">
        <v>223</v>
      </c>
      <c r="I24" s="19"/>
    </row>
    <row r="25" customFormat="false" ht="105.75" hidden="false" customHeight="true" outlineLevel="0" collapsed="false">
      <c r="A25" s="18" t="n">
        <f aca="false">TAKVİM!$B$27+(MATCH($G$5,{"Pazartesi","Salı","Çarşamba","Perşembe","Cuma"},0)-1)</f>
        <v>46402</v>
      </c>
      <c r="B25" s="19" t="s">
        <v>299</v>
      </c>
      <c r="C25" s="19" t="s">
        <v>300</v>
      </c>
      <c r="D25" s="19" t="s">
        <v>301</v>
      </c>
      <c r="E25" s="19" t="s">
        <v>302</v>
      </c>
      <c r="F25" s="19" t="s">
        <v>303</v>
      </c>
      <c r="G25" s="19" t="s">
        <v>222</v>
      </c>
      <c r="H25" s="19" t="s">
        <v>223</v>
      </c>
      <c r="I25" s="19"/>
    </row>
    <row r="26" customFormat="false" ht="105.75" hidden="false" customHeight="true" outlineLevel="0" collapsed="false">
      <c r="A26" s="18" t="n">
        <f aca="false">TAKVİM!$B$28+(MATCH($G$5,{"Pazartesi","Salı","Çarşamba","Perşembe","Cuma"},0)-1)</f>
        <v>46409</v>
      </c>
      <c r="B26" s="19" t="s">
        <v>304</v>
      </c>
      <c r="C26" s="19" t="s">
        <v>305</v>
      </c>
      <c r="D26" s="19" t="s">
        <v>306</v>
      </c>
      <c r="E26" s="19" t="s">
        <v>307</v>
      </c>
      <c r="F26" s="19" t="s">
        <v>308</v>
      </c>
      <c r="G26" s="19" t="s">
        <v>222</v>
      </c>
      <c r="H26" s="19" t="s">
        <v>223</v>
      </c>
      <c r="I26" s="19"/>
    </row>
    <row r="27" customFormat="false" ht="15" hidden="false" customHeight="true" outlineLevel="0" collapsed="false">
      <c r="A27" s="20" t="str">
        <f aca="false">TAKVİM!$C$29</f>
        <v>25-29 Ocak</v>
      </c>
      <c r="B27" s="20" t="s">
        <v>16</v>
      </c>
      <c r="C27" s="20"/>
      <c r="D27" s="20"/>
      <c r="E27" s="20"/>
      <c r="F27" s="20"/>
      <c r="G27" s="20"/>
      <c r="H27" s="20"/>
      <c r="I27" s="20"/>
    </row>
    <row r="28" customFormat="false" ht="105.75" hidden="false" customHeight="true" outlineLevel="0" collapsed="false">
      <c r="A28" s="18" t="n">
        <f aca="false">TAKVİM!$B$30+(MATCH($G$5,{"Pazartesi","Salı","Çarşamba","Perşembe","Cuma"},0)-1)</f>
        <v>46430</v>
      </c>
      <c r="B28" s="19" t="s">
        <v>309</v>
      </c>
      <c r="C28" s="19" t="s">
        <v>310</v>
      </c>
      <c r="D28" s="19" t="s">
        <v>311</v>
      </c>
      <c r="E28" s="19" t="s">
        <v>312</v>
      </c>
      <c r="F28" s="19" t="s">
        <v>313</v>
      </c>
      <c r="G28" s="19" t="s">
        <v>222</v>
      </c>
      <c r="H28" s="19" t="s">
        <v>223</v>
      </c>
      <c r="I28" s="19"/>
    </row>
    <row r="29" customFormat="false" ht="231" hidden="false" customHeight="true" outlineLevel="0" collapsed="false">
      <c r="A29" s="18" t="n">
        <f aca="false">TAKVİM!$B$31+(MATCH($G$5,{"Pazartesi","Salı","Çarşamba","Perşembe","Cuma"},0)-1)</f>
        <v>46437</v>
      </c>
      <c r="B29" s="19" t="s">
        <v>314</v>
      </c>
      <c r="C29" s="19" t="s">
        <v>315</v>
      </c>
      <c r="D29" s="19" t="s">
        <v>316</v>
      </c>
      <c r="E29" s="19" t="s">
        <v>317</v>
      </c>
      <c r="F29" s="19" t="s">
        <v>318</v>
      </c>
      <c r="G29" s="19" t="s">
        <v>222</v>
      </c>
      <c r="H29" s="19" t="s">
        <v>223</v>
      </c>
      <c r="I29" s="19"/>
    </row>
    <row r="30" customFormat="false" ht="105.75" hidden="false" customHeight="true" outlineLevel="0" collapsed="false">
      <c r="A30" s="18" t="n">
        <f aca="false">TAKVİM!$B$32+(MATCH($G$5,{"Pazartesi","Salı","Çarşamba","Perşembe","Cuma"},0)-1)</f>
        <v>46444</v>
      </c>
      <c r="B30" s="19" t="s">
        <v>319</v>
      </c>
      <c r="C30" s="19" t="s">
        <v>320</v>
      </c>
      <c r="D30" s="19" t="s">
        <v>321</v>
      </c>
      <c r="E30" s="19" t="s">
        <v>322</v>
      </c>
      <c r="F30" s="19" t="s">
        <v>323</v>
      </c>
      <c r="G30" s="19" t="s">
        <v>222</v>
      </c>
      <c r="H30" s="19" t="s">
        <v>223</v>
      </c>
      <c r="I30" s="19"/>
    </row>
    <row r="31" customFormat="false" ht="95.25" hidden="false" customHeight="true" outlineLevel="0" collapsed="false">
      <c r="A31" s="18" t="n">
        <f aca="false">TAKVİM!$B$33+(MATCH($G$5,{"Pazartesi","Salı","Çarşamba","Perşembe","Cuma"},0)-1)</f>
        <v>46451</v>
      </c>
      <c r="B31" s="19" t="s">
        <v>324</v>
      </c>
      <c r="C31" s="19" t="s">
        <v>325</v>
      </c>
      <c r="D31" s="19" t="s">
        <v>326</v>
      </c>
      <c r="E31" s="19" t="s">
        <v>327</v>
      </c>
      <c r="F31" s="19" t="s">
        <v>328</v>
      </c>
      <c r="G31" s="19" t="s">
        <v>222</v>
      </c>
      <c r="H31" s="19" t="s">
        <v>223</v>
      </c>
      <c r="I31" s="19"/>
    </row>
    <row r="32" customFormat="false" ht="15" hidden="false" customHeight="true" outlineLevel="0" collapsed="false">
      <c r="A32" s="20" t="str">
        <f aca="false">TAKVİM!$C$34</f>
        <v>08-12 Mart</v>
      </c>
      <c r="B32" s="20" t="s">
        <v>17</v>
      </c>
      <c r="C32" s="20"/>
      <c r="D32" s="20"/>
      <c r="E32" s="20"/>
      <c r="F32" s="20"/>
      <c r="G32" s="20"/>
      <c r="H32" s="20"/>
      <c r="I32" s="20"/>
    </row>
    <row r="33" customFormat="false" ht="95.25" hidden="false" customHeight="true" outlineLevel="0" collapsed="false">
      <c r="A33" s="18" t="n">
        <f aca="false">TAKVİM!$B$35+(MATCH($G$5,{"Pazartesi","Salı","Çarşamba","Perşembe","Cuma"},0)-1)</f>
        <v>46465</v>
      </c>
      <c r="B33" s="19" t="s">
        <v>329</v>
      </c>
      <c r="C33" s="19" t="s">
        <v>330</v>
      </c>
      <c r="D33" s="19" t="s">
        <v>331</v>
      </c>
      <c r="E33" s="19" t="s">
        <v>332</v>
      </c>
      <c r="F33" s="19" t="s">
        <v>333</v>
      </c>
      <c r="G33" s="19" t="s">
        <v>222</v>
      </c>
      <c r="H33" s="19" t="s">
        <v>223</v>
      </c>
      <c r="I33" s="19"/>
    </row>
    <row r="34" customFormat="false" ht="116.25" hidden="false" customHeight="true" outlineLevel="0" collapsed="false">
      <c r="A34" s="18" t="n">
        <f aca="false">TAKVİM!$B$36+(MATCH($G$5,{"Pazartesi","Salı","Çarşamba","Perşembe","Cuma"},0)-1)</f>
        <v>46472</v>
      </c>
      <c r="B34" s="19" t="s">
        <v>334</v>
      </c>
      <c r="C34" s="19" t="s">
        <v>335</v>
      </c>
      <c r="D34" s="19" t="s">
        <v>336</v>
      </c>
      <c r="E34" s="19" t="s">
        <v>337</v>
      </c>
      <c r="F34" s="19" t="s">
        <v>338</v>
      </c>
      <c r="G34" s="19" t="s">
        <v>222</v>
      </c>
      <c r="H34" s="19" t="s">
        <v>223</v>
      </c>
      <c r="I34" s="19"/>
    </row>
    <row r="35" customFormat="false" ht="95.25" hidden="false" customHeight="true" outlineLevel="0" collapsed="false">
      <c r="A35" s="18" t="n">
        <f aca="false">TAKVİM!$B$37+(MATCH($G$5,{"Pazartesi","Salı","Çarşamba","Perşembe","Cuma"},0)-1)</f>
        <v>46479</v>
      </c>
      <c r="B35" s="19" t="s">
        <v>339</v>
      </c>
      <c r="C35" s="19" t="s">
        <v>340</v>
      </c>
      <c r="D35" s="19" t="s">
        <v>341</v>
      </c>
      <c r="E35" s="19" t="s">
        <v>342</v>
      </c>
      <c r="F35" s="19" t="s">
        <v>343</v>
      </c>
      <c r="G35" s="19" t="s">
        <v>222</v>
      </c>
      <c r="H35" s="19" t="s">
        <v>223</v>
      </c>
      <c r="I35" s="19"/>
    </row>
    <row r="36" customFormat="false" ht="74.25" hidden="false" customHeight="true" outlineLevel="0" collapsed="false">
      <c r="A36" s="18" t="n">
        <f aca="false">TAKVİM!$B$38+(MATCH($G$5,{"Pazartesi","Salı","Çarşamba","Perşembe","Cuma"},0)-1)</f>
        <v>46486</v>
      </c>
      <c r="B36" s="19" t="s">
        <v>344</v>
      </c>
      <c r="C36" s="19" t="s">
        <v>345</v>
      </c>
      <c r="D36" s="19" t="s">
        <v>346</v>
      </c>
      <c r="E36" s="19" t="s">
        <v>347</v>
      </c>
      <c r="F36" s="19" t="s">
        <v>348</v>
      </c>
      <c r="G36" s="19" t="s">
        <v>222</v>
      </c>
      <c r="H36" s="19" t="s">
        <v>223</v>
      </c>
      <c r="I36" s="19"/>
    </row>
    <row r="37" customFormat="false" ht="74.25" hidden="false" customHeight="true" outlineLevel="0" collapsed="false">
      <c r="A37" s="18" t="n">
        <f aca="false">TAKVİM!$B$39+(MATCH($G$5,{"Pazartesi","Salı","Çarşamba","Perşembe","Cuma"},0)-1)</f>
        <v>46493</v>
      </c>
      <c r="B37" s="19" t="s">
        <v>349</v>
      </c>
      <c r="C37" s="19" t="s">
        <v>350</v>
      </c>
      <c r="D37" s="19" t="s">
        <v>351</v>
      </c>
      <c r="E37" s="19" t="s">
        <v>352</v>
      </c>
      <c r="F37" s="19" t="s">
        <v>353</v>
      </c>
      <c r="G37" s="19" t="s">
        <v>222</v>
      </c>
      <c r="H37" s="19" t="s">
        <v>223</v>
      </c>
      <c r="I37" s="19"/>
    </row>
    <row r="38" customFormat="false" ht="84.75" hidden="false" customHeight="true" outlineLevel="0" collapsed="false">
      <c r="A38" s="18" t="n">
        <f aca="false">TAKVİM!$B$40+(MATCH($G$5,{"Pazartesi","Salı","Çarşamba","Perşembe","Cuma"},0)-1)</f>
        <v>46500</v>
      </c>
      <c r="B38" s="19" t="s">
        <v>354</v>
      </c>
      <c r="C38" s="19" t="s">
        <v>355</v>
      </c>
      <c r="D38" s="19" t="s">
        <v>356</v>
      </c>
      <c r="E38" s="19" t="s">
        <v>357</v>
      </c>
      <c r="F38" s="19" t="s">
        <v>358</v>
      </c>
      <c r="G38" s="19" t="s">
        <v>222</v>
      </c>
      <c r="H38" s="19" t="s">
        <v>223</v>
      </c>
      <c r="I38" s="19"/>
    </row>
    <row r="39" customFormat="false" ht="147.75" hidden="false" customHeight="true" outlineLevel="0" collapsed="false">
      <c r="A39" s="18" t="n">
        <f aca="false">TAKVİM!$B$41+(MATCH($G$5,{"Pazartesi","Salı","Çarşamba","Perşembe","Cuma"},0)-1)</f>
        <v>46507</v>
      </c>
      <c r="B39" s="19" t="s">
        <v>359</v>
      </c>
      <c r="C39" s="19" t="s">
        <v>360</v>
      </c>
      <c r="D39" s="19" t="s">
        <v>361</v>
      </c>
      <c r="E39" s="19" t="s">
        <v>362</v>
      </c>
      <c r="F39" s="19" t="s">
        <v>363</v>
      </c>
      <c r="G39" s="19" t="s">
        <v>222</v>
      </c>
      <c r="H39" s="19" t="s">
        <v>223</v>
      </c>
      <c r="I39" s="19"/>
    </row>
    <row r="40" customFormat="false" ht="157.5" hidden="false" customHeight="true" outlineLevel="0" collapsed="false">
      <c r="A40" s="18" t="n">
        <f aca="false">TAKVİM!$B$42+(MATCH($G$5,{"Pazartesi","Salı","Çarşamba","Perşembe","Cuma"},0)-1)</f>
        <v>46514</v>
      </c>
      <c r="B40" s="19" t="s">
        <v>364</v>
      </c>
      <c r="C40" s="19" t="s">
        <v>365</v>
      </c>
      <c r="D40" s="19" t="s">
        <v>366</v>
      </c>
      <c r="E40" s="19" t="s">
        <v>367</v>
      </c>
      <c r="F40" s="19" t="s">
        <v>368</v>
      </c>
      <c r="G40" s="19" t="s">
        <v>222</v>
      </c>
      <c r="H40" s="19" t="s">
        <v>223</v>
      </c>
      <c r="I40" s="19"/>
    </row>
    <row r="41" customFormat="false" ht="126.75" hidden="false" customHeight="true" outlineLevel="0" collapsed="false">
      <c r="A41" s="18" t="n">
        <f aca="false">TAKVİM!$B$43+(MATCH($G$5,{"Pazartesi","Salı","Çarşamba","Perşembe","Cuma"},0)-1)</f>
        <v>46521</v>
      </c>
      <c r="B41" s="19" t="s">
        <v>369</v>
      </c>
      <c r="C41" s="19" t="s">
        <v>370</v>
      </c>
      <c r="D41" s="19" t="s">
        <v>371</v>
      </c>
      <c r="E41" s="19" t="s">
        <v>372</v>
      </c>
      <c r="F41" s="19" t="s">
        <v>373</v>
      </c>
      <c r="G41" s="19" t="s">
        <v>222</v>
      </c>
      <c r="H41" s="19" t="s">
        <v>223</v>
      </c>
      <c r="I41" s="19"/>
    </row>
    <row r="42" customFormat="false" ht="95.25" hidden="false" customHeight="true" outlineLevel="0" collapsed="false">
      <c r="A42" s="18" t="n">
        <f aca="false">TAKVİM!$B$44+(MATCH($G$5,{"Pazartesi","Salı","Çarşamba","Perşembe","Cuma"},0)-1)</f>
        <v>46528</v>
      </c>
      <c r="B42" s="19" t="s">
        <v>374</v>
      </c>
      <c r="C42" s="19" t="s">
        <v>375</v>
      </c>
      <c r="D42" s="19" t="s">
        <v>376</v>
      </c>
      <c r="E42" s="19" t="s">
        <v>377</v>
      </c>
      <c r="F42" s="19" t="s">
        <v>378</v>
      </c>
      <c r="G42" s="19" t="s">
        <v>222</v>
      </c>
      <c r="H42" s="19" t="s">
        <v>223</v>
      </c>
      <c r="I42" s="19"/>
    </row>
    <row r="43" customFormat="false" ht="116.25" hidden="false" customHeight="true" outlineLevel="0" collapsed="false">
      <c r="A43" s="18" t="n">
        <f aca="false">TAKVİM!$B$45+(MATCH($G$5,{"Pazartesi","Salı","Çarşamba","Perşembe","Cuma"},0)-1)</f>
        <v>46535</v>
      </c>
      <c r="B43" s="19" t="s">
        <v>379</v>
      </c>
      <c r="C43" s="19" t="s">
        <v>380</v>
      </c>
      <c r="D43" s="19" t="s">
        <v>381</v>
      </c>
      <c r="E43" s="19" t="s">
        <v>382</v>
      </c>
      <c r="F43" s="19" t="s">
        <v>383</v>
      </c>
      <c r="G43" s="19" t="s">
        <v>222</v>
      </c>
      <c r="H43" s="19" t="s">
        <v>223</v>
      </c>
      <c r="I43" s="19"/>
    </row>
    <row r="44" customFormat="false" ht="95.25" hidden="false" customHeight="true" outlineLevel="0" collapsed="false">
      <c r="A44" s="18" t="n">
        <f aca="false">TAKVİM!$B$46+(MATCH($G$5,{"Pazartesi","Salı","Çarşamba","Perşembe","Cuma"},0)-1)</f>
        <v>46542</v>
      </c>
      <c r="B44" s="19" t="s">
        <v>384</v>
      </c>
      <c r="C44" s="19" t="s">
        <v>385</v>
      </c>
      <c r="D44" s="19" t="s">
        <v>386</v>
      </c>
      <c r="E44" s="19" t="s">
        <v>387</v>
      </c>
      <c r="F44" s="19" t="s">
        <v>388</v>
      </c>
      <c r="G44" s="19" t="s">
        <v>222</v>
      </c>
      <c r="H44" s="19" t="s">
        <v>223</v>
      </c>
      <c r="I44" s="19"/>
    </row>
    <row r="45" customFormat="false" ht="84.75" hidden="false" customHeight="true" outlineLevel="0" collapsed="false">
      <c r="A45" s="18" t="n">
        <f aca="false">TAKVİM!$B$47+(MATCH($G$5,{"Pazartesi","Salı","Çarşamba","Perşembe","Cuma"},0)-1)</f>
        <v>46549</v>
      </c>
      <c r="B45" s="19" t="s">
        <v>389</v>
      </c>
      <c r="C45" s="19" t="s">
        <v>390</v>
      </c>
      <c r="D45" s="19" t="s">
        <v>391</v>
      </c>
      <c r="E45" s="19" t="s">
        <v>392</v>
      </c>
      <c r="F45" s="19" t="s">
        <v>393</v>
      </c>
      <c r="G45" s="19" t="s">
        <v>222</v>
      </c>
      <c r="H45" s="19" t="s">
        <v>223</v>
      </c>
      <c r="I45" s="19"/>
    </row>
    <row r="46" customFormat="false" ht="157.5" hidden="false" customHeight="true" outlineLevel="0" collapsed="false">
      <c r="A46" s="18" t="n">
        <f aca="false">TAKVİM!$B$48+(MATCH($G$5,{"Pazartesi","Salı","Çarşamba","Perşembe","Cuma"},0)-1)</f>
        <v>46556</v>
      </c>
      <c r="B46" s="19" t="s">
        <v>394</v>
      </c>
      <c r="C46" s="19" t="s">
        <v>395</v>
      </c>
      <c r="D46" s="19" t="s">
        <v>396</v>
      </c>
      <c r="E46" s="19" t="s">
        <v>397</v>
      </c>
      <c r="F46" s="19" t="s">
        <v>398</v>
      </c>
      <c r="G46" s="19" t="s">
        <v>222</v>
      </c>
      <c r="H46" s="19" t="s">
        <v>223</v>
      </c>
      <c r="I46" s="19"/>
    </row>
    <row r="47" customFormat="false" ht="126.75" hidden="false" customHeight="true" outlineLevel="0" collapsed="false">
      <c r="A47" s="18" t="n">
        <f aca="false">TAKVİM!$B$49+(MATCH($G$5,{"Pazartesi","Salı","Çarşamba","Perşembe","Cuma"},0)-1)</f>
        <v>46563</v>
      </c>
      <c r="B47" s="19" t="s">
        <v>399</v>
      </c>
      <c r="C47" s="19" t="s">
        <v>400</v>
      </c>
      <c r="D47" s="19" t="s">
        <v>401</v>
      </c>
      <c r="E47" s="19" t="s">
        <v>402</v>
      </c>
      <c r="F47" s="19" t="s">
        <v>403</v>
      </c>
      <c r="G47" s="19" t="s">
        <v>222</v>
      </c>
      <c r="H47" s="19" t="s">
        <v>223</v>
      </c>
      <c r="I47" s="19"/>
    </row>
    <row r="51" customFormat="false" ht="15" hidden="false" customHeight="true" outlineLevel="0" collapsed="false">
      <c r="A51" s="21" t="s">
        <v>28</v>
      </c>
      <c r="B51" s="21"/>
      <c r="C51" s="21"/>
      <c r="D51" s="21"/>
      <c r="F51" s="21" t="s">
        <v>210</v>
      </c>
      <c r="G51" s="21"/>
      <c r="H51" s="21"/>
      <c r="I51" s="21"/>
    </row>
    <row r="52" customFormat="false" ht="15" hidden="false" customHeight="true" outlineLevel="0" collapsed="false">
      <c r="A52" s="22" t="s">
        <v>211</v>
      </c>
      <c r="B52" s="22"/>
      <c r="C52" s="22"/>
      <c r="D52" s="22"/>
      <c r="F52" s="22" t="s">
        <v>212</v>
      </c>
      <c r="G52" s="22"/>
      <c r="H52" s="22"/>
      <c r="I52" s="22"/>
    </row>
    <row r="54" customFormat="false" ht="15" hidden="false" customHeight="true" outlineLevel="0" collapsed="false">
      <c r="A54" s="22" t="s">
        <v>213</v>
      </c>
      <c r="B54" s="22"/>
      <c r="C54" s="22"/>
      <c r="D54" s="22"/>
      <c r="F54" s="21" t="s">
        <v>214</v>
      </c>
      <c r="G54" s="21"/>
      <c r="H54" s="21"/>
      <c r="I54" s="21"/>
    </row>
  </sheetData>
  <mergeCells count="15">
    <mergeCell ref="C1:G1"/>
    <mergeCell ref="B3:D3"/>
    <mergeCell ref="G3:I3"/>
    <mergeCell ref="B4:D4"/>
    <mergeCell ref="G4:I4"/>
    <mergeCell ref="B5:D5"/>
    <mergeCell ref="B17:I17"/>
    <mergeCell ref="B27:I27"/>
    <mergeCell ref="B32:I32"/>
    <mergeCell ref="A51:D51"/>
    <mergeCell ref="F51:I51"/>
    <mergeCell ref="A52:D52"/>
    <mergeCell ref="F52:I52"/>
    <mergeCell ref="A54:D54"/>
    <mergeCell ref="F54:I54"/>
  </mergeCells>
  <dataValidations count="1">
    <dataValidation allowBlank="false" errorStyle="stop" operator="between" showDropDown="false" showErrorMessage="false" showInputMessage="false" sqref="G5" type="list">
      <formula1>"Pazartesi,Salı,Çarşamba,Perşembe,Cuma"</formula1>
      <formula2>0</formula2>
    </dataValidation>
  </dataValidation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4" min="3" style="1" width="26"/>
    <col collapsed="false" customWidth="true" hidden="false" outlineLevel="0" max="5" min="5" style="1" width="34"/>
    <col collapsed="false" customWidth="true" hidden="false" outlineLevel="0" max="6" min="6" style="1" width="22"/>
    <col collapsed="false" customWidth="true" hidden="false" outlineLevel="0" max="7" min="7" style="1" width="18"/>
    <col collapsed="false" customWidth="true" hidden="false" outlineLevel="0" max="8" min="8" style="1" width="22"/>
    <col collapsed="false" customWidth="true" hidden="false" outlineLevel="0" max="9" min="9" style="1" width="18"/>
  </cols>
  <sheetData>
    <row r="1" customFormat="false" ht="75" hidden="false" customHeight="true" outlineLevel="0" collapsed="false">
      <c r="C1" s="15" t="s">
        <v>18</v>
      </c>
      <c r="D1" s="15"/>
      <c r="E1" s="15"/>
      <c r="F1" s="15"/>
      <c r="G1" s="15"/>
    </row>
    <row r="3" customFormat="false" ht="15" hidden="false" customHeight="true" outlineLevel="0" collapsed="false">
      <c r="A3" s="3" t="s">
        <v>19</v>
      </c>
      <c r="B3" s="16" t="s">
        <v>404</v>
      </c>
      <c r="C3" s="16"/>
      <c r="D3" s="16"/>
      <c r="F3" s="3" t="s">
        <v>21</v>
      </c>
      <c r="G3" s="16" t="s">
        <v>22</v>
      </c>
      <c r="H3" s="16"/>
      <c r="I3" s="16"/>
    </row>
    <row r="4" customFormat="false" ht="15" hidden="false" customHeight="true" outlineLevel="0" collapsed="false">
      <c r="A4" s="3" t="s">
        <v>23</v>
      </c>
      <c r="B4" s="16" t="s">
        <v>24</v>
      </c>
      <c r="C4" s="16"/>
      <c r="D4" s="16"/>
      <c r="F4" s="3" t="s">
        <v>25</v>
      </c>
      <c r="G4" s="16" t="s">
        <v>405</v>
      </c>
      <c r="H4" s="16"/>
      <c r="I4" s="16"/>
    </row>
    <row r="5" customFormat="false" ht="15" hidden="false" customHeight="true" outlineLevel="0" collapsed="false">
      <c r="A5" s="3" t="s">
        <v>27</v>
      </c>
      <c r="B5" s="16" t="s">
        <v>28</v>
      </c>
      <c r="C5" s="16"/>
      <c r="D5" s="16"/>
      <c r="F5" s="3" t="s">
        <v>29</v>
      </c>
      <c r="G5" s="4" t="s">
        <v>30</v>
      </c>
    </row>
    <row r="7" customFormat="false" ht="23.25" hidden="false" customHeight="true" outlineLevel="0" collapsed="false">
      <c r="A7" s="17" t="s">
        <v>31</v>
      </c>
      <c r="B7" s="17" t="s">
        <v>32</v>
      </c>
      <c r="C7" s="17" t="s">
        <v>33</v>
      </c>
      <c r="D7" s="17" t="s">
        <v>34</v>
      </c>
      <c r="E7" s="17" t="s">
        <v>35</v>
      </c>
      <c r="F7" s="17" t="s">
        <v>36</v>
      </c>
      <c r="G7" s="17" t="s">
        <v>37</v>
      </c>
      <c r="H7" s="17" t="s">
        <v>38</v>
      </c>
      <c r="I7" s="17" t="s">
        <v>39</v>
      </c>
    </row>
    <row r="8" customFormat="false" ht="84.75" hidden="false" customHeight="true" outlineLevel="0" collapsed="false">
      <c r="A8" s="18" t="n">
        <f aca="false">TAKVİM!$B$10+(MATCH($G$5,{"Pazartesi","Salı","Çarşamba","Perşembe","Cuma"},0)-1)</f>
        <v>46283</v>
      </c>
      <c r="B8" s="19" t="s">
        <v>406</v>
      </c>
      <c r="C8" s="19" t="s">
        <v>407</v>
      </c>
      <c r="D8" s="19" t="s">
        <v>408</v>
      </c>
      <c r="E8" s="19" t="s">
        <v>409</v>
      </c>
      <c r="F8" s="19" t="s">
        <v>410</v>
      </c>
      <c r="G8" s="19" t="s">
        <v>411</v>
      </c>
      <c r="H8" s="19" t="s">
        <v>412</v>
      </c>
      <c r="I8" s="19"/>
    </row>
    <row r="9" customFormat="false" ht="84.75" hidden="false" customHeight="true" outlineLevel="0" collapsed="false">
      <c r="A9" s="18" t="n">
        <f aca="false">TAKVİM!$B$11+(MATCH($G$5,{"Pazartesi","Salı","Çarşamba","Perşembe","Cuma"},0)-1)</f>
        <v>46290</v>
      </c>
      <c r="B9" s="19" t="s">
        <v>413</v>
      </c>
      <c r="C9" s="19" t="s">
        <v>414</v>
      </c>
      <c r="D9" s="19" t="s">
        <v>415</v>
      </c>
      <c r="E9" s="19" t="s">
        <v>416</v>
      </c>
      <c r="F9" s="19" t="s">
        <v>417</v>
      </c>
      <c r="G9" s="19" t="s">
        <v>411</v>
      </c>
      <c r="H9" s="19" t="s">
        <v>412</v>
      </c>
      <c r="I9" s="19"/>
    </row>
    <row r="10" customFormat="false" ht="84.75" hidden="false" customHeight="true" outlineLevel="0" collapsed="false">
      <c r="A10" s="18" t="n">
        <f aca="false">TAKVİM!$B$12+(MATCH($G$5,{"Pazartesi","Salı","Çarşamba","Perşembe","Cuma"},0)-1)</f>
        <v>46297</v>
      </c>
      <c r="B10" s="19" t="s">
        <v>413</v>
      </c>
      <c r="C10" s="19" t="s">
        <v>414</v>
      </c>
      <c r="D10" s="19" t="s">
        <v>418</v>
      </c>
      <c r="E10" s="19" t="s">
        <v>419</v>
      </c>
      <c r="F10" s="19" t="s">
        <v>420</v>
      </c>
      <c r="G10" s="19" t="s">
        <v>411</v>
      </c>
      <c r="H10" s="19" t="s">
        <v>412</v>
      </c>
      <c r="I10" s="19"/>
    </row>
    <row r="11" customFormat="false" ht="84.75" hidden="false" customHeight="true" outlineLevel="0" collapsed="false">
      <c r="A11" s="18" t="n">
        <f aca="false">TAKVİM!$B$13+(MATCH($G$5,{"Pazartesi","Salı","Çarşamba","Perşembe","Cuma"},0)-1)</f>
        <v>46304</v>
      </c>
      <c r="B11" s="19" t="s">
        <v>421</v>
      </c>
      <c r="C11" s="19" t="s">
        <v>422</v>
      </c>
      <c r="D11" s="19" t="s">
        <v>423</v>
      </c>
      <c r="E11" s="19" t="s">
        <v>424</v>
      </c>
      <c r="F11" s="19" t="s">
        <v>425</v>
      </c>
      <c r="G11" s="19" t="s">
        <v>411</v>
      </c>
      <c r="H11" s="19" t="s">
        <v>412</v>
      </c>
      <c r="I11" s="19"/>
    </row>
    <row r="12" customFormat="false" ht="84.75" hidden="false" customHeight="true" outlineLevel="0" collapsed="false">
      <c r="A12" s="18" t="n">
        <f aca="false">TAKVİM!$B$14+(MATCH($G$5,{"Pazartesi","Salı","Çarşamba","Perşembe","Cuma"},0)-1)</f>
        <v>46311</v>
      </c>
      <c r="B12" s="19" t="s">
        <v>421</v>
      </c>
      <c r="C12" s="19" t="s">
        <v>422</v>
      </c>
      <c r="D12" s="19" t="s">
        <v>426</v>
      </c>
      <c r="E12" s="19" t="s">
        <v>427</v>
      </c>
      <c r="F12" s="19" t="s">
        <v>428</v>
      </c>
      <c r="G12" s="19" t="s">
        <v>411</v>
      </c>
      <c r="H12" s="19" t="s">
        <v>412</v>
      </c>
      <c r="I12" s="19"/>
    </row>
    <row r="13" customFormat="false" ht="74.25" hidden="false" customHeight="true" outlineLevel="0" collapsed="false">
      <c r="A13" s="18" t="n">
        <f aca="false">TAKVİM!$B$15+(MATCH($G$5,{"Pazartesi","Salı","Çarşamba","Perşembe","Cuma"},0)-1)</f>
        <v>46318</v>
      </c>
      <c r="B13" s="19" t="s">
        <v>429</v>
      </c>
      <c r="C13" s="19" t="s">
        <v>430</v>
      </c>
      <c r="D13" s="19" t="s">
        <v>431</v>
      </c>
      <c r="E13" s="19" t="s">
        <v>432</v>
      </c>
      <c r="F13" s="19" t="s">
        <v>433</v>
      </c>
      <c r="G13" s="19" t="s">
        <v>411</v>
      </c>
      <c r="H13" s="19" t="s">
        <v>412</v>
      </c>
      <c r="I13" s="19"/>
    </row>
    <row r="14" customFormat="false" ht="84.75" hidden="false" customHeight="true" outlineLevel="0" collapsed="false">
      <c r="A14" s="18" t="n">
        <f aca="false">TAKVİM!$B$16+(MATCH($G$5,{"Pazartesi","Salı","Çarşamba","Perşembe","Cuma"},0)-1)</f>
        <v>46325</v>
      </c>
      <c r="B14" s="19" t="s">
        <v>429</v>
      </c>
      <c r="C14" s="19" t="s">
        <v>434</v>
      </c>
      <c r="D14" s="19" t="s">
        <v>435</v>
      </c>
      <c r="E14" s="19" t="s">
        <v>436</v>
      </c>
      <c r="F14" s="19" t="s">
        <v>437</v>
      </c>
      <c r="G14" s="19" t="s">
        <v>411</v>
      </c>
      <c r="H14" s="19" t="s">
        <v>412</v>
      </c>
      <c r="I14" s="19"/>
    </row>
    <row r="15" customFormat="false" ht="74.25" hidden="false" customHeight="true" outlineLevel="0" collapsed="false">
      <c r="A15" s="18" t="n">
        <f aca="false">TAKVİM!$B$17+(MATCH($G$5,{"Pazartesi","Salı","Çarşamba","Perşembe","Cuma"},0)-1)</f>
        <v>46332</v>
      </c>
      <c r="B15" s="19" t="s">
        <v>429</v>
      </c>
      <c r="C15" s="19" t="s">
        <v>438</v>
      </c>
      <c r="D15" s="19" t="s">
        <v>439</v>
      </c>
      <c r="E15" s="19" t="s">
        <v>440</v>
      </c>
      <c r="F15" s="19" t="s">
        <v>441</v>
      </c>
      <c r="G15" s="19" t="s">
        <v>411</v>
      </c>
      <c r="H15" s="19" t="s">
        <v>412</v>
      </c>
      <c r="I15" s="19"/>
    </row>
    <row r="16" customFormat="false" ht="84.75" hidden="false" customHeight="true" outlineLevel="0" collapsed="false">
      <c r="A16" s="18" t="n">
        <f aca="false">TAKVİM!$B$18+(MATCH($G$5,{"Pazartesi","Salı","Çarşamba","Perşembe","Cuma"},0)-1)</f>
        <v>46339</v>
      </c>
      <c r="B16" s="19" t="s">
        <v>429</v>
      </c>
      <c r="C16" s="19" t="s">
        <v>442</v>
      </c>
      <c r="D16" s="19" t="s">
        <v>443</v>
      </c>
      <c r="E16" s="19" t="s">
        <v>444</v>
      </c>
      <c r="F16" s="19" t="s">
        <v>445</v>
      </c>
      <c r="G16" s="19" t="s">
        <v>411</v>
      </c>
      <c r="H16" s="19" t="s">
        <v>412</v>
      </c>
      <c r="I16" s="19"/>
    </row>
    <row r="17" customFormat="false" ht="15" hidden="false" customHeight="true" outlineLevel="0" collapsed="false">
      <c r="A17" s="20" t="str">
        <f aca="false">TAKVİM!$C$19</f>
        <v>16-20 Kasım</v>
      </c>
      <c r="B17" s="20" t="s">
        <v>15</v>
      </c>
      <c r="C17" s="20"/>
      <c r="D17" s="20"/>
      <c r="E17" s="20"/>
      <c r="F17" s="20"/>
      <c r="G17" s="20"/>
      <c r="H17" s="20"/>
      <c r="I17" s="20"/>
    </row>
    <row r="18" customFormat="false" ht="95.25" hidden="false" customHeight="true" outlineLevel="0" collapsed="false">
      <c r="A18" s="18" t="n">
        <f aca="false">TAKVİM!$B$20+(MATCH($G$5,{"Pazartesi","Salı","Çarşamba","Perşembe","Cuma"},0)-1)</f>
        <v>46353</v>
      </c>
      <c r="B18" s="19" t="s">
        <v>446</v>
      </c>
      <c r="C18" s="19" t="s">
        <v>447</v>
      </c>
      <c r="D18" s="19" t="s">
        <v>448</v>
      </c>
      <c r="E18" s="19" t="s">
        <v>449</v>
      </c>
      <c r="F18" s="19" t="s">
        <v>450</v>
      </c>
      <c r="G18" s="19" t="s">
        <v>411</v>
      </c>
      <c r="H18" s="19" t="s">
        <v>412</v>
      </c>
      <c r="I18" s="19"/>
    </row>
    <row r="19" customFormat="false" ht="84.75" hidden="false" customHeight="true" outlineLevel="0" collapsed="false">
      <c r="A19" s="18" t="n">
        <f aca="false">TAKVİM!$B$21+(MATCH($G$5,{"Pazartesi","Salı","Çarşamba","Perşembe","Cuma"},0)-1)</f>
        <v>46360</v>
      </c>
      <c r="B19" s="19" t="s">
        <v>451</v>
      </c>
      <c r="C19" s="19" t="s">
        <v>452</v>
      </c>
      <c r="D19" s="19" t="s">
        <v>453</v>
      </c>
      <c r="E19" s="19" t="s">
        <v>454</v>
      </c>
      <c r="F19" s="19" t="s">
        <v>455</v>
      </c>
      <c r="G19" s="19" t="s">
        <v>411</v>
      </c>
      <c r="H19" s="19" t="s">
        <v>412</v>
      </c>
      <c r="I19" s="19"/>
    </row>
    <row r="20" customFormat="false" ht="84.75" hidden="false" customHeight="true" outlineLevel="0" collapsed="false">
      <c r="A20" s="18" t="n">
        <f aca="false">TAKVİM!$B$22+(MATCH($G$5,{"Pazartesi","Salı","Çarşamba","Perşembe","Cuma"},0)-1)</f>
        <v>46367</v>
      </c>
      <c r="B20" s="19" t="s">
        <v>451</v>
      </c>
      <c r="C20" s="19" t="s">
        <v>456</v>
      </c>
      <c r="D20" s="19" t="s">
        <v>457</v>
      </c>
      <c r="E20" s="19" t="s">
        <v>458</v>
      </c>
      <c r="F20" s="19" t="s">
        <v>459</v>
      </c>
      <c r="G20" s="19" t="s">
        <v>411</v>
      </c>
      <c r="H20" s="19" t="s">
        <v>412</v>
      </c>
      <c r="I20" s="19"/>
    </row>
    <row r="21" customFormat="false" ht="84.75" hidden="false" customHeight="true" outlineLevel="0" collapsed="false">
      <c r="A21" s="18" t="n">
        <f aca="false">TAKVİM!$B$23+(MATCH($G$5,{"Pazartesi","Salı","Çarşamba","Perşembe","Cuma"},0)-1)</f>
        <v>46374</v>
      </c>
      <c r="B21" s="19" t="s">
        <v>451</v>
      </c>
      <c r="C21" s="19" t="s">
        <v>460</v>
      </c>
      <c r="D21" s="19" t="s">
        <v>461</v>
      </c>
      <c r="E21" s="19" t="s">
        <v>462</v>
      </c>
      <c r="F21" s="19" t="s">
        <v>463</v>
      </c>
      <c r="G21" s="19" t="s">
        <v>411</v>
      </c>
      <c r="H21" s="19" t="s">
        <v>412</v>
      </c>
      <c r="I21" s="19"/>
    </row>
    <row r="22" customFormat="false" ht="84.75" hidden="false" customHeight="true" outlineLevel="0" collapsed="false">
      <c r="A22" s="18" t="n">
        <f aca="false">TAKVİM!$B$24+(MATCH($G$5,{"Pazartesi","Salı","Çarşamba","Perşembe","Cuma"},0)-1)</f>
        <v>46381</v>
      </c>
      <c r="B22" s="19" t="s">
        <v>451</v>
      </c>
      <c r="C22" s="19" t="s">
        <v>460</v>
      </c>
      <c r="D22" s="19" t="s">
        <v>464</v>
      </c>
      <c r="E22" s="19" t="s">
        <v>465</v>
      </c>
      <c r="F22" s="19" t="s">
        <v>466</v>
      </c>
      <c r="G22" s="19" t="s">
        <v>411</v>
      </c>
      <c r="H22" s="19" t="s">
        <v>412</v>
      </c>
      <c r="I22" s="19"/>
    </row>
    <row r="23" customFormat="false" ht="95.25" hidden="false" customHeight="true" outlineLevel="0" collapsed="false">
      <c r="A23" s="18" t="n">
        <f aca="false">TAKVİM!$B$25+(MATCH($G$5,{"Pazartesi","Salı","Çarşamba","Perşembe","Cuma"},0)-1)</f>
        <v>46388</v>
      </c>
      <c r="B23" s="19" t="s">
        <v>467</v>
      </c>
      <c r="C23" s="19" t="s">
        <v>468</v>
      </c>
      <c r="D23" s="19" t="s">
        <v>469</v>
      </c>
      <c r="E23" s="19" t="s">
        <v>470</v>
      </c>
      <c r="F23" s="19" t="s">
        <v>471</v>
      </c>
      <c r="G23" s="19" t="s">
        <v>411</v>
      </c>
      <c r="H23" s="19" t="s">
        <v>412</v>
      </c>
      <c r="I23" s="19"/>
    </row>
    <row r="24" customFormat="false" ht="84.75" hidden="false" customHeight="true" outlineLevel="0" collapsed="false">
      <c r="A24" s="18" t="n">
        <f aca="false">TAKVİM!$B$26+(MATCH($G$5,{"Pazartesi","Salı","Çarşamba","Perşembe","Cuma"},0)-1)</f>
        <v>46395</v>
      </c>
      <c r="B24" s="19" t="s">
        <v>467</v>
      </c>
      <c r="C24" s="19" t="s">
        <v>472</v>
      </c>
      <c r="D24" s="19" t="s">
        <v>473</v>
      </c>
      <c r="E24" s="19" t="s">
        <v>474</v>
      </c>
      <c r="F24" s="19" t="s">
        <v>475</v>
      </c>
      <c r="G24" s="19" t="s">
        <v>411</v>
      </c>
      <c r="H24" s="19" t="s">
        <v>412</v>
      </c>
      <c r="I24" s="19"/>
    </row>
    <row r="25" customFormat="false" ht="84.75" hidden="false" customHeight="true" outlineLevel="0" collapsed="false">
      <c r="A25" s="18" t="n">
        <f aca="false">TAKVİM!$B$27+(MATCH($G$5,{"Pazartesi","Salı","Çarşamba","Perşembe","Cuma"},0)-1)</f>
        <v>46402</v>
      </c>
      <c r="B25" s="19" t="s">
        <v>467</v>
      </c>
      <c r="C25" s="19" t="s">
        <v>476</v>
      </c>
      <c r="D25" s="19" t="s">
        <v>477</v>
      </c>
      <c r="E25" s="19" t="s">
        <v>478</v>
      </c>
      <c r="F25" s="19" t="s">
        <v>479</v>
      </c>
      <c r="G25" s="19" t="s">
        <v>411</v>
      </c>
      <c r="H25" s="19" t="s">
        <v>412</v>
      </c>
      <c r="I25" s="19"/>
    </row>
    <row r="26" customFormat="false" ht="84.75" hidden="false" customHeight="true" outlineLevel="0" collapsed="false">
      <c r="A26" s="18" t="n">
        <f aca="false">TAKVİM!$B$28+(MATCH($G$5,{"Pazartesi","Salı","Çarşamba","Perşembe","Cuma"},0)-1)</f>
        <v>46409</v>
      </c>
      <c r="B26" s="19" t="s">
        <v>467</v>
      </c>
      <c r="C26" s="19" t="s">
        <v>476</v>
      </c>
      <c r="D26" s="19" t="s">
        <v>480</v>
      </c>
      <c r="E26" s="19" t="s">
        <v>481</v>
      </c>
      <c r="F26" s="19" t="s">
        <v>482</v>
      </c>
      <c r="G26" s="19" t="s">
        <v>411</v>
      </c>
      <c r="H26" s="19" t="s">
        <v>412</v>
      </c>
      <c r="I26" s="19"/>
    </row>
    <row r="27" customFormat="false" ht="15" hidden="false" customHeight="true" outlineLevel="0" collapsed="false">
      <c r="A27" s="20" t="str">
        <f aca="false">TAKVİM!$C$29</f>
        <v>25-29 Ocak</v>
      </c>
      <c r="B27" s="20" t="s">
        <v>16</v>
      </c>
      <c r="C27" s="20"/>
      <c r="D27" s="20"/>
      <c r="E27" s="20"/>
      <c r="F27" s="20"/>
      <c r="G27" s="20"/>
      <c r="H27" s="20"/>
      <c r="I27" s="20"/>
    </row>
    <row r="28" customFormat="false" ht="95.25" hidden="false" customHeight="true" outlineLevel="0" collapsed="false">
      <c r="A28" s="18" t="n">
        <f aca="false">TAKVİM!$B$30+(MATCH($G$5,{"Pazartesi","Salı","Çarşamba","Perşembe","Cuma"},0)-1)</f>
        <v>46430</v>
      </c>
      <c r="B28" s="19" t="s">
        <v>483</v>
      </c>
      <c r="C28" s="19" t="s">
        <v>484</v>
      </c>
      <c r="D28" s="19" t="s">
        <v>485</v>
      </c>
      <c r="E28" s="19" t="s">
        <v>486</v>
      </c>
      <c r="F28" s="19" t="s">
        <v>487</v>
      </c>
      <c r="G28" s="19" t="s">
        <v>411</v>
      </c>
      <c r="H28" s="19" t="s">
        <v>412</v>
      </c>
      <c r="I28" s="19"/>
    </row>
    <row r="29" customFormat="false" ht="84.75" hidden="false" customHeight="true" outlineLevel="0" collapsed="false">
      <c r="A29" s="18" t="n">
        <f aca="false">TAKVİM!$B$31+(MATCH($G$5,{"Pazartesi","Salı","Çarşamba","Perşembe","Cuma"},0)-1)</f>
        <v>46437</v>
      </c>
      <c r="B29" s="19" t="s">
        <v>488</v>
      </c>
      <c r="C29" s="19" t="s">
        <v>489</v>
      </c>
      <c r="D29" s="19" t="s">
        <v>490</v>
      </c>
      <c r="E29" s="19" t="s">
        <v>491</v>
      </c>
      <c r="F29" s="19" t="s">
        <v>492</v>
      </c>
      <c r="G29" s="19" t="s">
        <v>411</v>
      </c>
      <c r="H29" s="19" t="s">
        <v>412</v>
      </c>
      <c r="I29" s="19"/>
    </row>
    <row r="30" customFormat="false" ht="84.75" hidden="false" customHeight="true" outlineLevel="0" collapsed="false">
      <c r="A30" s="18" t="n">
        <f aca="false">TAKVİM!$B$32+(MATCH($G$5,{"Pazartesi","Salı","Çarşamba","Perşembe","Cuma"},0)-1)</f>
        <v>46444</v>
      </c>
      <c r="B30" s="19" t="s">
        <v>488</v>
      </c>
      <c r="C30" s="19" t="s">
        <v>493</v>
      </c>
      <c r="D30" s="19" t="s">
        <v>494</v>
      </c>
      <c r="E30" s="19" t="s">
        <v>495</v>
      </c>
      <c r="F30" s="19" t="s">
        <v>496</v>
      </c>
      <c r="G30" s="19" t="s">
        <v>411</v>
      </c>
      <c r="H30" s="19" t="s">
        <v>412</v>
      </c>
      <c r="I30" s="19"/>
    </row>
    <row r="31" customFormat="false" ht="84.75" hidden="false" customHeight="true" outlineLevel="0" collapsed="false">
      <c r="A31" s="18" t="n">
        <f aca="false">TAKVİM!$B$33+(MATCH($G$5,{"Pazartesi","Salı","Çarşamba","Perşembe","Cuma"},0)-1)</f>
        <v>46451</v>
      </c>
      <c r="B31" s="19" t="s">
        <v>488</v>
      </c>
      <c r="C31" s="19" t="s">
        <v>493</v>
      </c>
      <c r="D31" s="19" t="s">
        <v>497</v>
      </c>
      <c r="E31" s="19" t="s">
        <v>498</v>
      </c>
      <c r="F31" s="19" t="s">
        <v>499</v>
      </c>
      <c r="G31" s="19" t="s">
        <v>411</v>
      </c>
      <c r="H31" s="19" t="s">
        <v>412</v>
      </c>
      <c r="I31" s="19"/>
    </row>
    <row r="32" customFormat="false" ht="15" hidden="false" customHeight="true" outlineLevel="0" collapsed="false">
      <c r="A32" s="20" t="str">
        <f aca="false">TAKVİM!$C$34</f>
        <v>08-12 Mart</v>
      </c>
      <c r="B32" s="20" t="s">
        <v>17</v>
      </c>
      <c r="C32" s="20"/>
      <c r="D32" s="20"/>
      <c r="E32" s="20"/>
      <c r="F32" s="20"/>
      <c r="G32" s="20"/>
      <c r="H32" s="20"/>
      <c r="I32" s="20"/>
    </row>
    <row r="33" customFormat="false" ht="116.25" hidden="false" customHeight="true" outlineLevel="0" collapsed="false">
      <c r="A33" s="18" t="n">
        <f aca="false">TAKVİM!$B$35+(MATCH($G$5,{"Pazartesi","Salı","Çarşamba","Perşembe","Cuma"},0)-1)</f>
        <v>46465</v>
      </c>
      <c r="B33" s="19" t="s">
        <v>500</v>
      </c>
      <c r="C33" s="19" t="s">
        <v>501</v>
      </c>
      <c r="D33" s="19" t="s">
        <v>502</v>
      </c>
      <c r="E33" s="19" t="s">
        <v>503</v>
      </c>
      <c r="F33" s="19" t="s">
        <v>504</v>
      </c>
      <c r="G33" s="19" t="s">
        <v>411</v>
      </c>
      <c r="H33" s="19" t="s">
        <v>412</v>
      </c>
      <c r="I33" s="19"/>
    </row>
    <row r="34" customFormat="false" ht="95.25" hidden="false" customHeight="true" outlineLevel="0" collapsed="false">
      <c r="A34" s="18" t="n">
        <f aca="false">TAKVİM!$B$36+(MATCH($G$5,{"Pazartesi","Salı","Çarşamba","Perşembe","Cuma"},0)-1)</f>
        <v>46472</v>
      </c>
      <c r="B34" s="19" t="s">
        <v>500</v>
      </c>
      <c r="C34" s="19" t="s">
        <v>505</v>
      </c>
      <c r="D34" s="19" t="s">
        <v>506</v>
      </c>
      <c r="E34" s="19" t="s">
        <v>507</v>
      </c>
      <c r="F34" s="19" t="s">
        <v>508</v>
      </c>
      <c r="G34" s="19" t="s">
        <v>411</v>
      </c>
      <c r="H34" s="19" t="s">
        <v>412</v>
      </c>
      <c r="I34" s="19"/>
    </row>
    <row r="35" customFormat="false" ht="95.25" hidden="false" customHeight="true" outlineLevel="0" collapsed="false">
      <c r="A35" s="18" t="n">
        <f aca="false">TAKVİM!$B$37+(MATCH($G$5,{"Pazartesi","Salı","Çarşamba","Perşembe","Cuma"},0)-1)</f>
        <v>46479</v>
      </c>
      <c r="B35" s="19" t="s">
        <v>509</v>
      </c>
      <c r="C35" s="19" t="s">
        <v>510</v>
      </c>
      <c r="D35" s="19" t="s">
        <v>511</v>
      </c>
      <c r="E35" s="19" t="s">
        <v>512</v>
      </c>
      <c r="F35" s="19" t="s">
        <v>513</v>
      </c>
      <c r="G35" s="19" t="s">
        <v>411</v>
      </c>
      <c r="H35" s="19" t="s">
        <v>412</v>
      </c>
      <c r="I35" s="19"/>
    </row>
    <row r="36" customFormat="false" ht="105.75" hidden="false" customHeight="true" outlineLevel="0" collapsed="false">
      <c r="A36" s="18" t="n">
        <f aca="false">TAKVİM!$B$38+(MATCH($G$5,{"Pazartesi","Salı","Çarşamba","Perşembe","Cuma"},0)-1)</f>
        <v>46486</v>
      </c>
      <c r="B36" s="19" t="s">
        <v>509</v>
      </c>
      <c r="C36" s="19" t="s">
        <v>514</v>
      </c>
      <c r="D36" s="19" t="s">
        <v>515</v>
      </c>
      <c r="E36" s="19" t="s">
        <v>516</v>
      </c>
      <c r="F36" s="19" t="s">
        <v>517</v>
      </c>
      <c r="G36" s="19" t="s">
        <v>411</v>
      </c>
      <c r="H36" s="19" t="s">
        <v>412</v>
      </c>
      <c r="I36" s="19"/>
    </row>
    <row r="37" customFormat="false" ht="84.75" hidden="false" customHeight="true" outlineLevel="0" collapsed="false">
      <c r="A37" s="18" t="n">
        <f aca="false">TAKVİM!$B$39+(MATCH($G$5,{"Pazartesi","Salı","Çarşamba","Perşembe","Cuma"},0)-1)</f>
        <v>46493</v>
      </c>
      <c r="B37" s="19" t="s">
        <v>518</v>
      </c>
      <c r="C37" s="19" t="s">
        <v>519</v>
      </c>
      <c r="D37" s="19" t="s">
        <v>520</v>
      </c>
      <c r="E37" s="19" t="s">
        <v>521</v>
      </c>
      <c r="F37" s="19" t="s">
        <v>522</v>
      </c>
      <c r="G37" s="19" t="s">
        <v>411</v>
      </c>
      <c r="H37" s="19" t="s">
        <v>412</v>
      </c>
      <c r="I37" s="19"/>
    </row>
    <row r="38" customFormat="false" ht="84.75" hidden="false" customHeight="true" outlineLevel="0" collapsed="false">
      <c r="A38" s="18" t="n">
        <f aca="false">TAKVİM!$B$40+(MATCH($G$5,{"Pazartesi","Salı","Çarşamba","Perşembe","Cuma"},0)-1)</f>
        <v>46500</v>
      </c>
      <c r="B38" s="19" t="s">
        <v>523</v>
      </c>
      <c r="C38" s="19" t="s">
        <v>524</v>
      </c>
      <c r="D38" s="19" t="s">
        <v>525</v>
      </c>
      <c r="E38" s="19" t="s">
        <v>526</v>
      </c>
      <c r="F38" s="19" t="s">
        <v>527</v>
      </c>
      <c r="G38" s="19" t="s">
        <v>411</v>
      </c>
      <c r="H38" s="19" t="s">
        <v>412</v>
      </c>
      <c r="I38" s="19"/>
    </row>
    <row r="39" customFormat="false" ht="84.75" hidden="false" customHeight="true" outlineLevel="0" collapsed="false">
      <c r="A39" s="18" t="n">
        <f aca="false">TAKVİM!$B$41+(MATCH($G$5,{"Pazartesi","Salı","Çarşamba","Perşembe","Cuma"},0)-1)</f>
        <v>46507</v>
      </c>
      <c r="B39" s="19" t="s">
        <v>523</v>
      </c>
      <c r="C39" s="19" t="s">
        <v>528</v>
      </c>
      <c r="D39" s="19" t="s">
        <v>529</v>
      </c>
      <c r="E39" s="19" t="s">
        <v>530</v>
      </c>
      <c r="F39" s="19" t="s">
        <v>531</v>
      </c>
      <c r="G39" s="19" t="s">
        <v>411</v>
      </c>
      <c r="H39" s="19" t="s">
        <v>412</v>
      </c>
      <c r="I39" s="19"/>
    </row>
    <row r="40" customFormat="false" ht="84.75" hidden="false" customHeight="true" outlineLevel="0" collapsed="false">
      <c r="A40" s="18" t="n">
        <f aca="false">TAKVİM!$B$42+(MATCH($G$5,{"Pazartesi","Salı","Çarşamba","Perşembe","Cuma"},0)-1)</f>
        <v>46514</v>
      </c>
      <c r="B40" s="19" t="s">
        <v>532</v>
      </c>
      <c r="C40" s="19" t="s">
        <v>533</v>
      </c>
      <c r="D40" s="19" t="s">
        <v>534</v>
      </c>
      <c r="E40" s="19" t="s">
        <v>535</v>
      </c>
      <c r="F40" s="19" t="s">
        <v>536</v>
      </c>
      <c r="G40" s="19" t="s">
        <v>411</v>
      </c>
      <c r="H40" s="19" t="s">
        <v>412</v>
      </c>
      <c r="I40" s="19"/>
    </row>
    <row r="41" customFormat="false" ht="105.75" hidden="false" customHeight="true" outlineLevel="0" collapsed="false">
      <c r="A41" s="18" t="n">
        <f aca="false">TAKVİM!$B$43+(MATCH($G$5,{"Pazartesi","Salı","Çarşamba","Perşembe","Cuma"},0)-1)</f>
        <v>46521</v>
      </c>
      <c r="B41" s="19" t="s">
        <v>532</v>
      </c>
      <c r="C41" s="19" t="s">
        <v>537</v>
      </c>
      <c r="D41" s="19" t="s">
        <v>538</v>
      </c>
      <c r="E41" s="19" t="s">
        <v>539</v>
      </c>
      <c r="F41" s="19" t="s">
        <v>540</v>
      </c>
      <c r="G41" s="19" t="s">
        <v>411</v>
      </c>
      <c r="H41" s="19" t="s">
        <v>412</v>
      </c>
      <c r="I41" s="19"/>
    </row>
    <row r="42" customFormat="false" ht="84.75" hidden="false" customHeight="true" outlineLevel="0" collapsed="false">
      <c r="A42" s="18" t="n">
        <f aca="false">TAKVİM!$B$44+(MATCH($G$5,{"Pazartesi","Salı","Çarşamba","Perşembe","Cuma"},0)-1)</f>
        <v>46528</v>
      </c>
      <c r="B42" s="19" t="s">
        <v>532</v>
      </c>
      <c r="C42" s="19" t="s">
        <v>541</v>
      </c>
      <c r="D42" s="19" t="s">
        <v>542</v>
      </c>
      <c r="E42" s="19" t="s">
        <v>543</v>
      </c>
      <c r="F42" s="19" t="s">
        <v>544</v>
      </c>
      <c r="G42" s="19" t="s">
        <v>411</v>
      </c>
      <c r="H42" s="19" t="s">
        <v>412</v>
      </c>
      <c r="I42" s="19"/>
    </row>
    <row r="43" customFormat="false" ht="95.25" hidden="false" customHeight="true" outlineLevel="0" collapsed="false">
      <c r="A43" s="18" t="n">
        <f aca="false">TAKVİM!$B$45+(MATCH($G$5,{"Pazartesi","Salı","Çarşamba","Perşembe","Cuma"},0)-1)</f>
        <v>46535</v>
      </c>
      <c r="B43" s="19" t="s">
        <v>545</v>
      </c>
      <c r="C43" s="19" t="s">
        <v>546</v>
      </c>
      <c r="D43" s="19" t="s">
        <v>547</v>
      </c>
      <c r="E43" s="19" t="s">
        <v>548</v>
      </c>
      <c r="F43" s="19" t="s">
        <v>549</v>
      </c>
      <c r="G43" s="19" t="s">
        <v>411</v>
      </c>
      <c r="H43" s="19" t="s">
        <v>412</v>
      </c>
      <c r="I43" s="19"/>
    </row>
    <row r="44" customFormat="false" ht="84.75" hidden="false" customHeight="true" outlineLevel="0" collapsed="false">
      <c r="A44" s="18" t="n">
        <f aca="false">TAKVİM!$B$46+(MATCH($G$5,{"Pazartesi","Salı","Çarşamba","Perşembe","Cuma"},0)-1)</f>
        <v>46542</v>
      </c>
      <c r="B44" s="19" t="s">
        <v>545</v>
      </c>
      <c r="C44" s="19" t="s">
        <v>550</v>
      </c>
      <c r="D44" s="19" t="s">
        <v>551</v>
      </c>
      <c r="E44" s="19" t="s">
        <v>552</v>
      </c>
      <c r="F44" s="19" t="s">
        <v>553</v>
      </c>
      <c r="G44" s="19" t="s">
        <v>411</v>
      </c>
      <c r="H44" s="19" t="s">
        <v>412</v>
      </c>
      <c r="I44" s="19"/>
    </row>
    <row r="45" customFormat="false" ht="84.75" hidden="false" customHeight="true" outlineLevel="0" collapsed="false">
      <c r="A45" s="18" t="n">
        <f aca="false">TAKVİM!$B$47+(MATCH($G$5,{"Pazartesi","Salı","Çarşamba","Perşembe","Cuma"},0)-1)</f>
        <v>46549</v>
      </c>
      <c r="B45" s="19" t="s">
        <v>545</v>
      </c>
      <c r="C45" s="19" t="s">
        <v>550</v>
      </c>
      <c r="D45" s="19" t="s">
        <v>554</v>
      </c>
      <c r="E45" s="19" t="s">
        <v>555</v>
      </c>
      <c r="F45" s="19" t="s">
        <v>556</v>
      </c>
      <c r="G45" s="19" t="s">
        <v>411</v>
      </c>
      <c r="H45" s="19" t="s">
        <v>412</v>
      </c>
      <c r="I45" s="19"/>
    </row>
    <row r="46" customFormat="false" ht="84.75" hidden="false" customHeight="true" outlineLevel="0" collapsed="false">
      <c r="A46" s="18" t="n">
        <f aca="false">TAKVİM!$B$48+(MATCH($G$5,{"Pazartesi","Salı","Çarşamba","Perşembe","Cuma"},0)-1)</f>
        <v>46556</v>
      </c>
      <c r="B46" s="19" t="s">
        <v>545</v>
      </c>
      <c r="C46" s="19" t="s">
        <v>550</v>
      </c>
      <c r="D46" s="19" t="s">
        <v>557</v>
      </c>
      <c r="E46" s="19" t="s">
        <v>558</v>
      </c>
      <c r="F46" s="19" t="s">
        <v>559</v>
      </c>
      <c r="G46" s="19" t="s">
        <v>411</v>
      </c>
      <c r="H46" s="19" t="s">
        <v>412</v>
      </c>
      <c r="I46" s="19"/>
    </row>
    <row r="47" customFormat="false" ht="84.75" hidden="false" customHeight="true" outlineLevel="0" collapsed="false">
      <c r="A47" s="18" t="n">
        <f aca="false">TAKVİM!$B$49+(MATCH($G$5,{"Pazartesi","Salı","Çarşamba","Perşembe","Cuma"},0)-1)</f>
        <v>46563</v>
      </c>
      <c r="B47" s="19" t="s">
        <v>545</v>
      </c>
      <c r="C47" s="19" t="s">
        <v>550</v>
      </c>
      <c r="D47" s="19" t="s">
        <v>560</v>
      </c>
      <c r="E47" s="19" t="s">
        <v>561</v>
      </c>
      <c r="F47" s="19" t="s">
        <v>562</v>
      </c>
      <c r="G47" s="19" t="s">
        <v>411</v>
      </c>
      <c r="H47" s="19" t="s">
        <v>412</v>
      </c>
      <c r="I47" s="19"/>
    </row>
    <row r="51" customFormat="false" ht="15" hidden="false" customHeight="true" outlineLevel="0" collapsed="false">
      <c r="A51" s="21" t="s">
        <v>28</v>
      </c>
      <c r="B51" s="21"/>
      <c r="C51" s="21"/>
      <c r="D51" s="21"/>
      <c r="F51" s="21" t="s">
        <v>210</v>
      </c>
      <c r="G51" s="21"/>
      <c r="H51" s="21"/>
      <c r="I51" s="21"/>
    </row>
    <row r="52" customFormat="false" ht="15" hidden="false" customHeight="true" outlineLevel="0" collapsed="false">
      <c r="A52" s="22" t="s">
        <v>211</v>
      </c>
      <c r="B52" s="22"/>
      <c r="C52" s="22"/>
      <c r="D52" s="22"/>
      <c r="F52" s="22" t="s">
        <v>212</v>
      </c>
      <c r="G52" s="22"/>
      <c r="H52" s="22"/>
      <c r="I52" s="22"/>
    </row>
    <row r="54" customFormat="false" ht="15" hidden="false" customHeight="true" outlineLevel="0" collapsed="false">
      <c r="A54" s="22" t="s">
        <v>213</v>
      </c>
      <c r="B54" s="22"/>
      <c r="C54" s="22"/>
      <c r="D54" s="22"/>
      <c r="F54" s="21" t="s">
        <v>214</v>
      </c>
      <c r="G54" s="21"/>
      <c r="H54" s="21"/>
      <c r="I54" s="21"/>
    </row>
  </sheetData>
  <mergeCells count="15">
    <mergeCell ref="C1:G1"/>
    <mergeCell ref="B3:D3"/>
    <mergeCell ref="G3:I3"/>
    <mergeCell ref="B4:D4"/>
    <mergeCell ref="G4:I4"/>
    <mergeCell ref="B5:D5"/>
    <mergeCell ref="B17:I17"/>
    <mergeCell ref="B27:I27"/>
    <mergeCell ref="B32:I32"/>
    <mergeCell ref="A51:D51"/>
    <mergeCell ref="F51:I51"/>
    <mergeCell ref="A52:D52"/>
    <mergeCell ref="F52:I52"/>
    <mergeCell ref="A54:D54"/>
    <mergeCell ref="F54:I54"/>
  </mergeCells>
  <dataValidations count="1">
    <dataValidation allowBlank="false" errorStyle="stop" operator="between" showDropDown="false" showErrorMessage="false" showInputMessage="false" sqref="G5" type="list">
      <formula1>"Pazartesi,Salı,Çarşamba,Perşembe,Cuma"</formula1>
      <formula2>0</formula2>
    </dataValidation>
  </dataValidation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4" min="3" style="1" width="26"/>
    <col collapsed="false" customWidth="true" hidden="false" outlineLevel="0" max="5" min="5" style="1" width="34"/>
    <col collapsed="false" customWidth="true" hidden="false" outlineLevel="0" max="6" min="6" style="1" width="22"/>
    <col collapsed="false" customWidth="true" hidden="false" outlineLevel="0" max="7" min="7" style="1" width="18"/>
    <col collapsed="false" customWidth="true" hidden="false" outlineLevel="0" max="8" min="8" style="1" width="22"/>
    <col collapsed="false" customWidth="true" hidden="false" outlineLevel="0" max="9" min="9" style="1" width="18"/>
  </cols>
  <sheetData>
    <row r="1" customFormat="false" ht="75" hidden="false" customHeight="true" outlineLevel="0" collapsed="false">
      <c r="C1" s="15" t="s">
        <v>18</v>
      </c>
      <c r="D1" s="15"/>
      <c r="E1" s="15"/>
      <c r="F1" s="15"/>
      <c r="G1" s="15"/>
    </row>
    <row r="3" customFormat="false" ht="15" hidden="false" customHeight="true" outlineLevel="0" collapsed="false">
      <c r="A3" s="3" t="s">
        <v>19</v>
      </c>
      <c r="B3" s="16" t="s">
        <v>563</v>
      </c>
      <c r="C3" s="16"/>
      <c r="D3" s="16"/>
      <c r="F3" s="3" t="s">
        <v>21</v>
      </c>
      <c r="G3" s="16" t="s">
        <v>564</v>
      </c>
      <c r="H3" s="16"/>
      <c r="I3" s="16"/>
    </row>
    <row r="4" customFormat="false" ht="15" hidden="false" customHeight="true" outlineLevel="0" collapsed="false">
      <c r="A4" s="3" t="s">
        <v>23</v>
      </c>
      <c r="B4" s="16" t="s">
        <v>565</v>
      </c>
      <c r="C4" s="16"/>
      <c r="D4" s="16"/>
      <c r="F4" s="3" t="s">
        <v>25</v>
      </c>
      <c r="G4" s="16" t="s">
        <v>405</v>
      </c>
      <c r="H4" s="16"/>
      <c r="I4" s="16"/>
    </row>
    <row r="5" customFormat="false" ht="15" hidden="false" customHeight="true" outlineLevel="0" collapsed="false">
      <c r="A5" s="3" t="s">
        <v>27</v>
      </c>
      <c r="B5" s="16" t="s">
        <v>28</v>
      </c>
      <c r="C5" s="16"/>
      <c r="D5" s="16"/>
      <c r="F5" s="3" t="s">
        <v>29</v>
      </c>
      <c r="G5" s="4" t="s">
        <v>30</v>
      </c>
    </row>
    <row r="7" customFormat="false" ht="23.25" hidden="false" customHeight="true" outlineLevel="0" collapsed="false">
      <c r="A7" s="17" t="s">
        <v>31</v>
      </c>
      <c r="B7" s="17" t="s">
        <v>32</v>
      </c>
      <c r="C7" s="17" t="s">
        <v>33</v>
      </c>
      <c r="D7" s="17" t="s">
        <v>34</v>
      </c>
      <c r="E7" s="17" t="s">
        <v>35</v>
      </c>
      <c r="F7" s="17" t="s">
        <v>36</v>
      </c>
      <c r="G7" s="17" t="s">
        <v>37</v>
      </c>
      <c r="H7" s="17" t="s">
        <v>38</v>
      </c>
      <c r="I7" s="17" t="s">
        <v>39</v>
      </c>
    </row>
    <row r="8" customFormat="false" ht="116.25" hidden="false" customHeight="true" outlineLevel="0" collapsed="false">
      <c r="A8" s="18" t="n">
        <f aca="false">TAKVİM!$B$10+(MATCH($G$5,{"Pazartesi","Salı","Çarşamba","Perşembe","Cuma"},0)-1)</f>
        <v>46283</v>
      </c>
      <c r="B8" s="19" t="s">
        <v>566</v>
      </c>
      <c r="C8" s="19" t="s">
        <v>567</v>
      </c>
      <c r="D8" s="19" t="s">
        <v>568</v>
      </c>
      <c r="E8" s="19" t="s">
        <v>569</v>
      </c>
      <c r="F8" s="19" t="s">
        <v>570</v>
      </c>
      <c r="G8" s="19" t="s">
        <v>411</v>
      </c>
      <c r="H8" s="19" t="s">
        <v>571</v>
      </c>
      <c r="I8" s="19"/>
    </row>
    <row r="9" customFormat="false" ht="84.75" hidden="false" customHeight="true" outlineLevel="0" collapsed="false">
      <c r="A9" s="18" t="n">
        <f aca="false">TAKVİM!$B$11+(MATCH($G$5,{"Pazartesi","Salı","Çarşamba","Perşembe","Cuma"},0)-1)</f>
        <v>46290</v>
      </c>
      <c r="B9" s="19" t="s">
        <v>572</v>
      </c>
      <c r="C9" s="19" t="s">
        <v>573</v>
      </c>
      <c r="D9" s="19" t="s">
        <v>574</v>
      </c>
      <c r="E9" s="19" t="s">
        <v>575</v>
      </c>
      <c r="F9" s="19" t="s">
        <v>576</v>
      </c>
      <c r="G9" s="19" t="s">
        <v>411</v>
      </c>
      <c r="H9" s="19" t="s">
        <v>571</v>
      </c>
      <c r="I9" s="19"/>
    </row>
    <row r="10" customFormat="false" ht="84.75" hidden="false" customHeight="true" outlineLevel="0" collapsed="false">
      <c r="A10" s="18" t="n">
        <f aca="false">TAKVİM!$B$12+(MATCH($G$5,{"Pazartesi","Salı","Çarşamba","Perşembe","Cuma"},0)-1)</f>
        <v>46297</v>
      </c>
      <c r="B10" s="19" t="s">
        <v>577</v>
      </c>
      <c r="C10" s="19" t="s">
        <v>578</v>
      </c>
      <c r="D10" s="19" t="s">
        <v>579</v>
      </c>
      <c r="E10" s="19" t="s">
        <v>580</v>
      </c>
      <c r="F10" s="19" t="s">
        <v>581</v>
      </c>
      <c r="G10" s="19" t="s">
        <v>411</v>
      </c>
      <c r="H10" s="19" t="s">
        <v>571</v>
      </c>
      <c r="I10" s="19"/>
    </row>
    <row r="11" customFormat="false" ht="95.25" hidden="false" customHeight="true" outlineLevel="0" collapsed="false">
      <c r="A11" s="18" t="n">
        <f aca="false">TAKVİM!$B$13+(MATCH($G$5,{"Pazartesi","Salı","Çarşamba","Perşembe","Cuma"},0)-1)</f>
        <v>46304</v>
      </c>
      <c r="B11" s="19" t="s">
        <v>582</v>
      </c>
      <c r="C11" s="19" t="s">
        <v>583</v>
      </c>
      <c r="D11" s="19" t="s">
        <v>584</v>
      </c>
      <c r="E11" s="19" t="s">
        <v>585</v>
      </c>
      <c r="F11" s="19" t="s">
        <v>586</v>
      </c>
      <c r="G11" s="19" t="s">
        <v>411</v>
      </c>
      <c r="H11" s="19" t="s">
        <v>571</v>
      </c>
      <c r="I11" s="19"/>
    </row>
    <row r="12" customFormat="false" ht="95.25" hidden="false" customHeight="true" outlineLevel="0" collapsed="false">
      <c r="A12" s="18" t="n">
        <f aca="false">TAKVİM!$B$14+(MATCH($G$5,{"Pazartesi","Salı","Çarşamba","Perşembe","Cuma"},0)-1)</f>
        <v>46311</v>
      </c>
      <c r="B12" s="19" t="s">
        <v>587</v>
      </c>
      <c r="C12" s="19" t="s">
        <v>588</v>
      </c>
      <c r="D12" s="19" t="s">
        <v>589</v>
      </c>
      <c r="E12" s="19" t="s">
        <v>590</v>
      </c>
      <c r="F12" s="19" t="s">
        <v>591</v>
      </c>
      <c r="G12" s="19" t="s">
        <v>411</v>
      </c>
      <c r="H12" s="19" t="s">
        <v>571</v>
      </c>
      <c r="I12" s="19"/>
    </row>
    <row r="13" customFormat="false" ht="84.75" hidden="false" customHeight="true" outlineLevel="0" collapsed="false">
      <c r="A13" s="18" t="n">
        <f aca="false">TAKVİM!$B$15+(MATCH($G$5,{"Pazartesi","Salı","Çarşamba","Perşembe","Cuma"},0)-1)</f>
        <v>46318</v>
      </c>
      <c r="B13" s="19" t="s">
        <v>587</v>
      </c>
      <c r="C13" s="19" t="s">
        <v>592</v>
      </c>
      <c r="D13" s="19" t="s">
        <v>593</v>
      </c>
      <c r="E13" s="19" t="s">
        <v>594</v>
      </c>
      <c r="F13" s="19" t="s">
        <v>595</v>
      </c>
      <c r="G13" s="19" t="s">
        <v>411</v>
      </c>
      <c r="H13" s="19" t="s">
        <v>571</v>
      </c>
      <c r="I13" s="19"/>
    </row>
    <row r="14" customFormat="false" ht="84.75" hidden="false" customHeight="true" outlineLevel="0" collapsed="false">
      <c r="A14" s="18" t="n">
        <f aca="false">TAKVİM!$B$16+(MATCH($G$5,{"Pazartesi","Salı","Çarşamba","Perşembe","Cuma"},0)-1)</f>
        <v>46325</v>
      </c>
      <c r="B14" s="19" t="s">
        <v>587</v>
      </c>
      <c r="C14" s="19" t="s">
        <v>596</v>
      </c>
      <c r="D14" s="19" t="s">
        <v>597</v>
      </c>
      <c r="E14" s="19" t="s">
        <v>598</v>
      </c>
      <c r="F14" s="19" t="s">
        <v>599</v>
      </c>
      <c r="G14" s="19" t="s">
        <v>411</v>
      </c>
      <c r="H14" s="19" t="s">
        <v>571</v>
      </c>
      <c r="I14" s="19"/>
    </row>
    <row r="15" customFormat="false" ht="95.25" hidden="false" customHeight="true" outlineLevel="0" collapsed="false">
      <c r="A15" s="18" t="n">
        <f aca="false">TAKVİM!$B$17+(MATCH($G$5,{"Pazartesi","Salı","Çarşamba","Perşembe","Cuma"},0)-1)</f>
        <v>46332</v>
      </c>
      <c r="B15" s="19" t="s">
        <v>600</v>
      </c>
      <c r="C15" s="19" t="s">
        <v>601</v>
      </c>
      <c r="D15" s="19" t="s">
        <v>602</v>
      </c>
      <c r="E15" s="19" t="s">
        <v>603</v>
      </c>
      <c r="F15" s="19" t="s">
        <v>604</v>
      </c>
      <c r="G15" s="19" t="s">
        <v>411</v>
      </c>
      <c r="H15" s="19" t="s">
        <v>571</v>
      </c>
      <c r="I15" s="19"/>
    </row>
    <row r="16" customFormat="false" ht="74.25" hidden="false" customHeight="true" outlineLevel="0" collapsed="false">
      <c r="A16" s="18" t="n">
        <f aca="false">TAKVİM!$B$18+(MATCH($G$5,{"Pazartesi","Salı","Çarşamba","Perşembe","Cuma"},0)-1)</f>
        <v>46339</v>
      </c>
      <c r="B16" s="19" t="s">
        <v>605</v>
      </c>
      <c r="C16" s="19" t="s">
        <v>606</v>
      </c>
      <c r="D16" s="19" t="s">
        <v>607</v>
      </c>
      <c r="E16" s="19" t="s">
        <v>608</v>
      </c>
      <c r="F16" s="19" t="s">
        <v>609</v>
      </c>
      <c r="G16" s="19" t="s">
        <v>411</v>
      </c>
      <c r="H16" s="19" t="s">
        <v>571</v>
      </c>
      <c r="I16" s="19"/>
    </row>
    <row r="17" customFormat="false" ht="15" hidden="false" customHeight="true" outlineLevel="0" collapsed="false">
      <c r="A17" s="20" t="str">
        <f aca="false">TAKVİM!$C$19</f>
        <v>16-20 Kasım</v>
      </c>
      <c r="B17" s="20" t="s">
        <v>15</v>
      </c>
      <c r="C17" s="20"/>
      <c r="D17" s="20"/>
      <c r="E17" s="20"/>
      <c r="F17" s="20"/>
      <c r="G17" s="20"/>
      <c r="H17" s="20"/>
      <c r="I17" s="20"/>
    </row>
    <row r="18" customFormat="false" ht="84.75" hidden="false" customHeight="true" outlineLevel="0" collapsed="false">
      <c r="A18" s="18" t="n">
        <f aca="false">TAKVİM!$B$20+(MATCH($G$5,{"Pazartesi","Salı","Çarşamba","Perşembe","Cuma"},0)-1)</f>
        <v>46353</v>
      </c>
      <c r="B18" s="19" t="s">
        <v>610</v>
      </c>
      <c r="C18" s="19" t="s">
        <v>611</v>
      </c>
      <c r="D18" s="19" t="s">
        <v>612</v>
      </c>
      <c r="E18" s="19" t="s">
        <v>613</v>
      </c>
      <c r="F18" s="19" t="s">
        <v>614</v>
      </c>
      <c r="G18" s="19" t="s">
        <v>411</v>
      </c>
      <c r="H18" s="19" t="s">
        <v>571</v>
      </c>
      <c r="I18" s="19"/>
    </row>
    <row r="19" customFormat="false" ht="84.75" hidden="false" customHeight="true" outlineLevel="0" collapsed="false">
      <c r="A19" s="18" t="n">
        <f aca="false">TAKVİM!$B$21+(MATCH($G$5,{"Pazartesi","Salı","Çarşamba","Perşembe","Cuma"},0)-1)</f>
        <v>46360</v>
      </c>
      <c r="B19" s="19" t="s">
        <v>615</v>
      </c>
      <c r="C19" s="19" t="s">
        <v>616</v>
      </c>
      <c r="D19" s="19" t="s">
        <v>617</v>
      </c>
      <c r="E19" s="19" t="s">
        <v>618</v>
      </c>
      <c r="F19" s="19" t="s">
        <v>619</v>
      </c>
      <c r="G19" s="19" t="s">
        <v>411</v>
      </c>
      <c r="H19" s="19" t="s">
        <v>571</v>
      </c>
      <c r="I19" s="19"/>
    </row>
    <row r="20" customFormat="false" ht="84.75" hidden="false" customHeight="true" outlineLevel="0" collapsed="false">
      <c r="A20" s="18" t="n">
        <f aca="false">TAKVİM!$B$22+(MATCH($G$5,{"Pazartesi","Salı","Çarşamba","Perşembe","Cuma"},0)-1)</f>
        <v>46367</v>
      </c>
      <c r="B20" s="19" t="s">
        <v>620</v>
      </c>
      <c r="C20" s="19" t="s">
        <v>621</v>
      </c>
      <c r="D20" s="19" t="s">
        <v>622</v>
      </c>
      <c r="E20" s="19" t="s">
        <v>623</v>
      </c>
      <c r="F20" s="19" t="s">
        <v>624</v>
      </c>
      <c r="G20" s="19" t="s">
        <v>411</v>
      </c>
      <c r="H20" s="19" t="s">
        <v>571</v>
      </c>
      <c r="I20" s="19"/>
    </row>
    <row r="21" customFormat="false" ht="84.75" hidden="false" customHeight="true" outlineLevel="0" collapsed="false">
      <c r="A21" s="18" t="n">
        <f aca="false">TAKVİM!$B$23+(MATCH($G$5,{"Pazartesi","Salı","Çarşamba","Perşembe","Cuma"},0)-1)</f>
        <v>46374</v>
      </c>
      <c r="B21" s="19" t="s">
        <v>625</v>
      </c>
      <c r="C21" s="19" t="s">
        <v>626</v>
      </c>
      <c r="D21" s="19" t="s">
        <v>627</v>
      </c>
      <c r="E21" s="19" t="s">
        <v>628</v>
      </c>
      <c r="F21" s="19" t="s">
        <v>629</v>
      </c>
      <c r="G21" s="19" t="s">
        <v>411</v>
      </c>
      <c r="H21" s="19" t="s">
        <v>571</v>
      </c>
      <c r="I21" s="19"/>
    </row>
    <row r="22" customFormat="false" ht="95.25" hidden="false" customHeight="true" outlineLevel="0" collapsed="false">
      <c r="A22" s="18" t="n">
        <f aca="false">TAKVİM!$B$24+(MATCH($G$5,{"Pazartesi","Salı","Çarşamba","Perşembe","Cuma"},0)-1)</f>
        <v>46381</v>
      </c>
      <c r="B22" s="19" t="s">
        <v>630</v>
      </c>
      <c r="C22" s="19" t="s">
        <v>631</v>
      </c>
      <c r="D22" s="19" t="s">
        <v>632</v>
      </c>
      <c r="E22" s="19" t="s">
        <v>633</v>
      </c>
      <c r="F22" s="19" t="s">
        <v>634</v>
      </c>
      <c r="G22" s="19" t="s">
        <v>411</v>
      </c>
      <c r="H22" s="19" t="s">
        <v>571</v>
      </c>
      <c r="I22" s="19"/>
    </row>
    <row r="23" customFormat="false" ht="84.75" hidden="false" customHeight="true" outlineLevel="0" collapsed="false">
      <c r="A23" s="18" t="n">
        <f aca="false">TAKVİM!$B$25+(MATCH($G$5,{"Pazartesi","Salı","Çarşamba","Perşembe","Cuma"},0)-1)</f>
        <v>46388</v>
      </c>
      <c r="B23" s="19" t="s">
        <v>635</v>
      </c>
      <c r="C23" s="19" t="s">
        <v>636</v>
      </c>
      <c r="D23" s="19" t="s">
        <v>637</v>
      </c>
      <c r="E23" s="19" t="s">
        <v>638</v>
      </c>
      <c r="F23" s="19" t="s">
        <v>639</v>
      </c>
      <c r="G23" s="19" t="s">
        <v>411</v>
      </c>
      <c r="H23" s="19" t="s">
        <v>571</v>
      </c>
      <c r="I23" s="19"/>
    </row>
    <row r="24" customFormat="false" ht="95.25" hidden="false" customHeight="true" outlineLevel="0" collapsed="false">
      <c r="A24" s="18" t="n">
        <f aca="false">TAKVİM!$B$26+(MATCH($G$5,{"Pazartesi","Salı","Çarşamba","Perşembe","Cuma"},0)-1)</f>
        <v>46395</v>
      </c>
      <c r="B24" s="19" t="s">
        <v>640</v>
      </c>
      <c r="C24" s="19" t="s">
        <v>641</v>
      </c>
      <c r="D24" s="19" t="s">
        <v>642</v>
      </c>
      <c r="E24" s="19" t="s">
        <v>643</v>
      </c>
      <c r="F24" s="19" t="s">
        <v>644</v>
      </c>
      <c r="G24" s="19" t="s">
        <v>411</v>
      </c>
      <c r="H24" s="19" t="s">
        <v>571</v>
      </c>
      <c r="I24" s="19"/>
    </row>
    <row r="25" customFormat="false" ht="84.75" hidden="false" customHeight="true" outlineLevel="0" collapsed="false">
      <c r="A25" s="18" t="n">
        <f aca="false">TAKVİM!$B$27+(MATCH($G$5,{"Pazartesi","Salı","Çarşamba","Perşembe","Cuma"},0)-1)</f>
        <v>46402</v>
      </c>
      <c r="B25" s="19" t="s">
        <v>645</v>
      </c>
      <c r="C25" s="19" t="s">
        <v>646</v>
      </c>
      <c r="D25" s="19" t="s">
        <v>647</v>
      </c>
      <c r="E25" s="19" t="s">
        <v>648</v>
      </c>
      <c r="F25" s="19" t="s">
        <v>649</v>
      </c>
      <c r="G25" s="19" t="s">
        <v>411</v>
      </c>
      <c r="H25" s="19" t="s">
        <v>571</v>
      </c>
      <c r="I25" s="19"/>
    </row>
    <row r="26" customFormat="false" ht="74.25" hidden="false" customHeight="true" outlineLevel="0" collapsed="false">
      <c r="A26" s="18" t="n">
        <f aca="false">TAKVİM!$B$28+(MATCH($G$5,{"Pazartesi","Salı","Çarşamba","Perşembe","Cuma"},0)-1)</f>
        <v>46409</v>
      </c>
      <c r="B26" s="19" t="s">
        <v>650</v>
      </c>
      <c r="C26" s="19" t="s">
        <v>651</v>
      </c>
      <c r="D26" s="19" t="s">
        <v>652</v>
      </c>
      <c r="E26" s="19" t="s">
        <v>653</v>
      </c>
      <c r="F26" s="19" t="s">
        <v>654</v>
      </c>
      <c r="G26" s="19" t="s">
        <v>411</v>
      </c>
      <c r="H26" s="19" t="s">
        <v>571</v>
      </c>
      <c r="I26" s="19"/>
    </row>
    <row r="27" customFormat="false" ht="15" hidden="false" customHeight="true" outlineLevel="0" collapsed="false">
      <c r="A27" s="20" t="str">
        <f aca="false">TAKVİM!$C$29</f>
        <v>25-29 Ocak</v>
      </c>
      <c r="B27" s="20" t="s">
        <v>16</v>
      </c>
      <c r="C27" s="20"/>
      <c r="D27" s="20"/>
      <c r="E27" s="20"/>
      <c r="F27" s="20"/>
      <c r="G27" s="20"/>
      <c r="H27" s="20"/>
      <c r="I27" s="20"/>
    </row>
    <row r="28" customFormat="false" ht="84.75" hidden="false" customHeight="true" outlineLevel="0" collapsed="false">
      <c r="A28" s="18" t="n">
        <f aca="false">TAKVİM!$B$30+(MATCH($G$5,{"Pazartesi","Salı","Çarşamba","Perşembe","Cuma"},0)-1)</f>
        <v>46430</v>
      </c>
      <c r="B28" s="19" t="s">
        <v>655</v>
      </c>
      <c r="C28" s="19" t="s">
        <v>656</v>
      </c>
      <c r="D28" s="19" t="s">
        <v>657</v>
      </c>
      <c r="E28" s="19" t="s">
        <v>658</v>
      </c>
      <c r="F28" s="19" t="s">
        <v>659</v>
      </c>
      <c r="G28" s="19" t="s">
        <v>411</v>
      </c>
      <c r="H28" s="19" t="s">
        <v>571</v>
      </c>
      <c r="I28" s="19"/>
    </row>
    <row r="29" customFormat="false" ht="74.25" hidden="false" customHeight="true" outlineLevel="0" collapsed="false">
      <c r="A29" s="18" t="n">
        <f aca="false">TAKVİM!$B$31+(MATCH($G$5,{"Pazartesi","Salı","Çarşamba","Perşembe","Cuma"},0)-1)</f>
        <v>46437</v>
      </c>
      <c r="B29" s="19" t="s">
        <v>655</v>
      </c>
      <c r="C29" s="19" t="s">
        <v>660</v>
      </c>
      <c r="D29" s="19" t="s">
        <v>661</v>
      </c>
      <c r="E29" s="19" t="s">
        <v>662</v>
      </c>
      <c r="F29" s="19" t="s">
        <v>663</v>
      </c>
      <c r="G29" s="19" t="s">
        <v>411</v>
      </c>
      <c r="H29" s="19" t="s">
        <v>571</v>
      </c>
      <c r="I29" s="19"/>
    </row>
    <row r="30" customFormat="false" ht="74.25" hidden="false" customHeight="true" outlineLevel="0" collapsed="false">
      <c r="A30" s="18" t="n">
        <f aca="false">TAKVİM!$B$32+(MATCH($G$5,{"Pazartesi","Salı","Çarşamba","Perşembe","Cuma"},0)-1)</f>
        <v>46444</v>
      </c>
      <c r="B30" s="19" t="s">
        <v>655</v>
      </c>
      <c r="C30" s="19" t="s">
        <v>664</v>
      </c>
      <c r="D30" s="19" t="s">
        <v>665</v>
      </c>
      <c r="E30" s="19" t="s">
        <v>666</v>
      </c>
      <c r="F30" s="19" t="s">
        <v>667</v>
      </c>
      <c r="G30" s="19" t="s">
        <v>411</v>
      </c>
      <c r="H30" s="19" t="s">
        <v>571</v>
      </c>
      <c r="I30" s="19"/>
    </row>
    <row r="31" customFormat="false" ht="74.25" hidden="false" customHeight="true" outlineLevel="0" collapsed="false">
      <c r="A31" s="18" t="n">
        <f aca="false">TAKVİM!$B$33+(MATCH($G$5,{"Pazartesi","Salı","Çarşamba","Perşembe","Cuma"},0)-1)</f>
        <v>46451</v>
      </c>
      <c r="B31" s="19" t="s">
        <v>668</v>
      </c>
      <c r="C31" s="19" t="s">
        <v>669</v>
      </c>
      <c r="D31" s="19" t="s">
        <v>670</v>
      </c>
      <c r="E31" s="19" t="s">
        <v>671</v>
      </c>
      <c r="F31" s="19" t="s">
        <v>672</v>
      </c>
      <c r="G31" s="19" t="s">
        <v>411</v>
      </c>
      <c r="H31" s="19" t="s">
        <v>571</v>
      </c>
      <c r="I31" s="19"/>
    </row>
    <row r="32" customFormat="false" ht="15" hidden="false" customHeight="true" outlineLevel="0" collapsed="false">
      <c r="A32" s="20" t="str">
        <f aca="false">TAKVİM!$C$34</f>
        <v>08-12 Mart</v>
      </c>
      <c r="B32" s="20" t="s">
        <v>17</v>
      </c>
      <c r="C32" s="20"/>
      <c r="D32" s="20"/>
      <c r="E32" s="20"/>
      <c r="F32" s="20"/>
      <c r="G32" s="20"/>
      <c r="H32" s="20"/>
      <c r="I32" s="20"/>
    </row>
    <row r="33" customFormat="false" ht="74.25" hidden="false" customHeight="true" outlineLevel="0" collapsed="false">
      <c r="A33" s="18" t="n">
        <f aca="false">TAKVİM!$B$35+(MATCH($G$5,{"Pazartesi","Salı","Çarşamba","Perşembe","Cuma"},0)-1)</f>
        <v>46465</v>
      </c>
      <c r="B33" s="19" t="s">
        <v>673</v>
      </c>
      <c r="C33" s="19" t="s">
        <v>674</v>
      </c>
      <c r="D33" s="19" t="s">
        <v>675</v>
      </c>
      <c r="E33" s="19" t="s">
        <v>676</v>
      </c>
      <c r="F33" s="19" t="s">
        <v>677</v>
      </c>
      <c r="G33" s="19" t="s">
        <v>411</v>
      </c>
      <c r="H33" s="19" t="s">
        <v>571</v>
      </c>
      <c r="I33" s="19"/>
    </row>
    <row r="34" customFormat="false" ht="95.25" hidden="false" customHeight="true" outlineLevel="0" collapsed="false">
      <c r="A34" s="18" t="n">
        <f aca="false">TAKVİM!$B$36+(MATCH($G$5,{"Pazartesi","Salı","Çarşamba","Perşembe","Cuma"},0)-1)</f>
        <v>46472</v>
      </c>
      <c r="B34" s="19" t="s">
        <v>678</v>
      </c>
      <c r="C34" s="19" t="s">
        <v>679</v>
      </c>
      <c r="D34" s="19" t="s">
        <v>680</v>
      </c>
      <c r="E34" s="19" t="s">
        <v>681</v>
      </c>
      <c r="F34" s="19" t="s">
        <v>682</v>
      </c>
      <c r="G34" s="19" t="s">
        <v>411</v>
      </c>
      <c r="H34" s="19" t="s">
        <v>571</v>
      </c>
      <c r="I34" s="19"/>
    </row>
    <row r="35" customFormat="false" ht="84.75" hidden="false" customHeight="true" outlineLevel="0" collapsed="false">
      <c r="A35" s="18" t="n">
        <f aca="false">TAKVİM!$B$37+(MATCH($G$5,{"Pazartesi","Salı","Çarşamba","Perşembe","Cuma"},0)-1)</f>
        <v>46479</v>
      </c>
      <c r="B35" s="19" t="s">
        <v>683</v>
      </c>
      <c r="C35" s="19" t="s">
        <v>684</v>
      </c>
      <c r="D35" s="19" t="s">
        <v>685</v>
      </c>
      <c r="E35" s="19" t="s">
        <v>686</v>
      </c>
      <c r="F35" s="19" t="s">
        <v>687</v>
      </c>
      <c r="G35" s="19" t="s">
        <v>411</v>
      </c>
      <c r="H35" s="19" t="s">
        <v>571</v>
      </c>
      <c r="I35" s="19"/>
    </row>
    <row r="36" customFormat="false" ht="95.25" hidden="false" customHeight="true" outlineLevel="0" collapsed="false">
      <c r="A36" s="18" t="n">
        <f aca="false">TAKVİM!$B$38+(MATCH($G$5,{"Pazartesi","Salı","Çarşamba","Perşembe","Cuma"},0)-1)</f>
        <v>46486</v>
      </c>
      <c r="B36" s="19" t="s">
        <v>688</v>
      </c>
      <c r="C36" s="19" t="s">
        <v>689</v>
      </c>
      <c r="D36" s="19" t="s">
        <v>690</v>
      </c>
      <c r="E36" s="19" t="s">
        <v>691</v>
      </c>
      <c r="F36" s="19" t="s">
        <v>692</v>
      </c>
      <c r="G36" s="19" t="s">
        <v>411</v>
      </c>
      <c r="H36" s="19" t="s">
        <v>571</v>
      </c>
      <c r="I36" s="19"/>
    </row>
    <row r="37" customFormat="false" ht="84.75" hidden="false" customHeight="true" outlineLevel="0" collapsed="false">
      <c r="A37" s="18" t="n">
        <f aca="false">TAKVİM!$B$39+(MATCH($G$5,{"Pazartesi","Salı","Çarşamba","Perşembe","Cuma"},0)-1)</f>
        <v>46493</v>
      </c>
      <c r="B37" s="19" t="s">
        <v>693</v>
      </c>
      <c r="C37" s="19" t="s">
        <v>694</v>
      </c>
      <c r="D37" s="19" t="s">
        <v>695</v>
      </c>
      <c r="E37" s="19" t="s">
        <v>696</v>
      </c>
      <c r="F37" s="19" t="s">
        <v>697</v>
      </c>
      <c r="G37" s="19" t="s">
        <v>411</v>
      </c>
      <c r="H37" s="19" t="s">
        <v>571</v>
      </c>
      <c r="I37" s="19"/>
    </row>
    <row r="38" customFormat="false" ht="74.25" hidden="false" customHeight="true" outlineLevel="0" collapsed="false">
      <c r="A38" s="18" t="n">
        <f aca="false">TAKVİM!$B$40+(MATCH($G$5,{"Pazartesi","Salı","Çarşamba","Perşembe","Cuma"},0)-1)</f>
        <v>46500</v>
      </c>
      <c r="B38" s="19" t="s">
        <v>693</v>
      </c>
      <c r="C38" s="19" t="s">
        <v>698</v>
      </c>
      <c r="D38" s="19" t="s">
        <v>699</v>
      </c>
      <c r="E38" s="19" t="s">
        <v>700</v>
      </c>
      <c r="F38" s="19" t="s">
        <v>701</v>
      </c>
      <c r="G38" s="19" t="s">
        <v>411</v>
      </c>
      <c r="H38" s="19" t="s">
        <v>571</v>
      </c>
      <c r="I38" s="19"/>
    </row>
    <row r="39" customFormat="false" ht="84.75" hidden="false" customHeight="true" outlineLevel="0" collapsed="false">
      <c r="A39" s="18" t="n">
        <f aca="false">TAKVİM!$B$41+(MATCH($G$5,{"Pazartesi","Salı","Çarşamba","Perşembe","Cuma"},0)-1)</f>
        <v>46507</v>
      </c>
      <c r="B39" s="19" t="s">
        <v>702</v>
      </c>
      <c r="C39" s="19" t="s">
        <v>703</v>
      </c>
      <c r="D39" s="19" t="s">
        <v>704</v>
      </c>
      <c r="E39" s="19" t="s">
        <v>705</v>
      </c>
      <c r="F39" s="19" t="s">
        <v>706</v>
      </c>
      <c r="G39" s="19" t="s">
        <v>411</v>
      </c>
      <c r="H39" s="19" t="s">
        <v>571</v>
      </c>
      <c r="I39" s="19"/>
    </row>
    <row r="40" customFormat="false" ht="95.25" hidden="false" customHeight="true" outlineLevel="0" collapsed="false">
      <c r="A40" s="18" t="n">
        <f aca="false">TAKVİM!$B$42+(MATCH($G$5,{"Pazartesi","Salı","Çarşamba","Perşembe","Cuma"},0)-1)</f>
        <v>46514</v>
      </c>
      <c r="B40" s="19" t="s">
        <v>707</v>
      </c>
      <c r="C40" s="19" t="s">
        <v>708</v>
      </c>
      <c r="D40" s="19" t="s">
        <v>709</v>
      </c>
      <c r="E40" s="19" t="s">
        <v>710</v>
      </c>
      <c r="F40" s="19" t="s">
        <v>711</v>
      </c>
      <c r="G40" s="19" t="s">
        <v>411</v>
      </c>
      <c r="H40" s="19" t="s">
        <v>571</v>
      </c>
      <c r="I40" s="19"/>
    </row>
    <row r="41" customFormat="false" ht="105.75" hidden="false" customHeight="true" outlineLevel="0" collapsed="false">
      <c r="A41" s="18" t="n">
        <f aca="false">TAKVİM!$B$43+(MATCH($G$5,{"Pazartesi","Salı","Çarşamba","Perşembe","Cuma"},0)-1)</f>
        <v>46521</v>
      </c>
      <c r="B41" s="19" t="s">
        <v>712</v>
      </c>
      <c r="C41" s="19" t="s">
        <v>713</v>
      </c>
      <c r="D41" s="19" t="s">
        <v>714</v>
      </c>
      <c r="E41" s="19" t="s">
        <v>715</v>
      </c>
      <c r="F41" s="19" t="s">
        <v>716</v>
      </c>
      <c r="G41" s="19" t="s">
        <v>411</v>
      </c>
      <c r="H41" s="19" t="s">
        <v>571</v>
      </c>
      <c r="I41" s="19"/>
    </row>
    <row r="42" customFormat="false" ht="84.75" hidden="false" customHeight="true" outlineLevel="0" collapsed="false">
      <c r="A42" s="18" t="n">
        <f aca="false">TAKVİM!$B$44+(MATCH($G$5,{"Pazartesi","Salı","Çarşamba","Perşembe","Cuma"},0)-1)</f>
        <v>46528</v>
      </c>
      <c r="B42" s="19" t="s">
        <v>717</v>
      </c>
      <c r="C42" s="19" t="s">
        <v>718</v>
      </c>
      <c r="D42" s="19" t="s">
        <v>719</v>
      </c>
      <c r="E42" s="19" t="s">
        <v>720</v>
      </c>
      <c r="F42" s="19" t="s">
        <v>721</v>
      </c>
      <c r="G42" s="19" t="s">
        <v>411</v>
      </c>
      <c r="H42" s="19" t="s">
        <v>571</v>
      </c>
      <c r="I42" s="19"/>
    </row>
    <row r="43" customFormat="false" ht="84.75" hidden="false" customHeight="true" outlineLevel="0" collapsed="false">
      <c r="A43" s="18" t="n">
        <f aca="false">TAKVİM!$B$45+(MATCH($G$5,{"Pazartesi","Salı","Çarşamba","Perşembe","Cuma"},0)-1)</f>
        <v>46535</v>
      </c>
      <c r="B43" s="19" t="s">
        <v>722</v>
      </c>
      <c r="C43" s="19" t="s">
        <v>723</v>
      </c>
      <c r="D43" s="19" t="s">
        <v>724</v>
      </c>
      <c r="E43" s="19" t="s">
        <v>725</v>
      </c>
      <c r="F43" s="19" t="s">
        <v>726</v>
      </c>
      <c r="G43" s="19" t="s">
        <v>411</v>
      </c>
      <c r="H43" s="19" t="s">
        <v>571</v>
      </c>
      <c r="I43" s="19"/>
    </row>
    <row r="44" customFormat="false" ht="84.75" hidden="false" customHeight="true" outlineLevel="0" collapsed="false">
      <c r="A44" s="18" t="n">
        <f aca="false">TAKVİM!$B$46+(MATCH($G$5,{"Pazartesi","Salı","Çarşamba","Perşembe","Cuma"},0)-1)</f>
        <v>46542</v>
      </c>
      <c r="B44" s="19" t="s">
        <v>722</v>
      </c>
      <c r="C44" s="19" t="s">
        <v>727</v>
      </c>
      <c r="D44" s="19" t="s">
        <v>728</v>
      </c>
      <c r="E44" s="19" t="s">
        <v>729</v>
      </c>
      <c r="F44" s="19" t="s">
        <v>730</v>
      </c>
      <c r="G44" s="19" t="s">
        <v>411</v>
      </c>
      <c r="H44" s="19" t="s">
        <v>571</v>
      </c>
      <c r="I44" s="19"/>
    </row>
    <row r="45" customFormat="false" ht="105.75" hidden="false" customHeight="true" outlineLevel="0" collapsed="false">
      <c r="A45" s="18" t="n">
        <f aca="false">TAKVİM!$B$47+(MATCH($G$5,{"Pazartesi","Salı","Çarşamba","Perşembe","Cuma"},0)-1)</f>
        <v>46549</v>
      </c>
      <c r="B45" s="19" t="s">
        <v>731</v>
      </c>
      <c r="C45" s="19" t="s">
        <v>732</v>
      </c>
      <c r="D45" s="19" t="s">
        <v>733</v>
      </c>
      <c r="E45" s="19" t="s">
        <v>734</v>
      </c>
      <c r="F45" s="19" t="s">
        <v>735</v>
      </c>
      <c r="G45" s="19" t="s">
        <v>411</v>
      </c>
      <c r="H45" s="19" t="s">
        <v>571</v>
      </c>
      <c r="I45" s="19"/>
    </row>
    <row r="46" customFormat="false" ht="74.25" hidden="false" customHeight="true" outlineLevel="0" collapsed="false">
      <c r="A46" s="18" t="n">
        <f aca="false">TAKVİM!$B$48+(MATCH($G$5,{"Pazartesi","Salı","Çarşamba","Perşembe","Cuma"},0)-1)</f>
        <v>46556</v>
      </c>
      <c r="B46" s="19" t="s">
        <v>731</v>
      </c>
      <c r="C46" s="19" t="s">
        <v>736</v>
      </c>
      <c r="D46" s="19" t="s">
        <v>737</v>
      </c>
      <c r="E46" s="19" t="s">
        <v>738</v>
      </c>
      <c r="F46" s="19" t="s">
        <v>739</v>
      </c>
      <c r="G46" s="19" t="s">
        <v>411</v>
      </c>
      <c r="H46" s="19" t="s">
        <v>571</v>
      </c>
      <c r="I46" s="19"/>
    </row>
    <row r="47" customFormat="false" ht="74.25" hidden="false" customHeight="true" outlineLevel="0" collapsed="false">
      <c r="A47" s="18" t="n">
        <f aca="false">TAKVİM!$B$49+(MATCH($G$5,{"Pazartesi","Salı","Çarşamba","Perşembe","Cuma"},0)-1)</f>
        <v>46563</v>
      </c>
      <c r="B47" s="19" t="s">
        <v>731</v>
      </c>
      <c r="C47" s="19" t="s">
        <v>736</v>
      </c>
      <c r="D47" s="19" t="s">
        <v>740</v>
      </c>
      <c r="E47" s="19" t="s">
        <v>741</v>
      </c>
      <c r="F47" s="19" t="s">
        <v>742</v>
      </c>
      <c r="G47" s="19" t="s">
        <v>411</v>
      </c>
      <c r="H47" s="19" t="s">
        <v>571</v>
      </c>
      <c r="I47" s="19"/>
    </row>
    <row r="51" customFormat="false" ht="15" hidden="false" customHeight="true" outlineLevel="0" collapsed="false">
      <c r="A51" s="21" t="s">
        <v>28</v>
      </c>
      <c r="B51" s="21"/>
      <c r="C51" s="21"/>
      <c r="D51" s="21"/>
      <c r="F51" s="21" t="s">
        <v>210</v>
      </c>
      <c r="G51" s="21"/>
      <c r="H51" s="21"/>
      <c r="I51" s="21"/>
    </row>
    <row r="52" customFormat="false" ht="15" hidden="false" customHeight="true" outlineLevel="0" collapsed="false">
      <c r="A52" s="22" t="s">
        <v>211</v>
      </c>
      <c r="B52" s="22"/>
      <c r="C52" s="22"/>
      <c r="D52" s="22"/>
      <c r="F52" s="22" t="s">
        <v>212</v>
      </c>
      <c r="G52" s="22"/>
      <c r="H52" s="22"/>
      <c r="I52" s="22"/>
    </row>
    <row r="54" customFormat="false" ht="15" hidden="false" customHeight="true" outlineLevel="0" collapsed="false">
      <c r="A54" s="22" t="s">
        <v>213</v>
      </c>
      <c r="B54" s="22"/>
      <c r="C54" s="22"/>
      <c r="D54" s="22"/>
      <c r="F54" s="21" t="s">
        <v>214</v>
      </c>
      <c r="G54" s="21"/>
      <c r="H54" s="21"/>
      <c r="I54" s="21"/>
    </row>
  </sheetData>
  <mergeCells count="15">
    <mergeCell ref="C1:G1"/>
    <mergeCell ref="B3:D3"/>
    <mergeCell ref="G3:I3"/>
    <mergeCell ref="B4:D4"/>
    <mergeCell ref="G4:I4"/>
    <mergeCell ref="B5:D5"/>
    <mergeCell ref="B17:I17"/>
    <mergeCell ref="B27:I27"/>
    <mergeCell ref="B32:I32"/>
    <mergeCell ref="A51:D51"/>
    <mergeCell ref="F51:I51"/>
    <mergeCell ref="A52:D52"/>
    <mergeCell ref="F52:I52"/>
    <mergeCell ref="A54:D54"/>
    <mergeCell ref="F54:I54"/>
  </mergeCells>
  <dataValidations count="1">
    <dataValidation allowBlank="false" errorStyle="stop" operator="between" showDropDown="false" showErrorMessage="false" showInputMessage="false" sqref="G5" type="list">
      <formula1>"Pazartesi,Salı,Çarşamba,Perşembe,Cuma"</formula1>
      <formula2>0</formula2>
    </dataValidation>
  </dataValidation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4" min="3" style="1" width="26"/>
    <col collapsed="false" customWidth="true" hidden="false" outlineLevel="0" max="5" min="5" style="1" width="34"/>
    <col collapsed="false" customWidth="true" hidden="false" outlineLevel="0" max="6" min="6" style="1" width="22"/>
    <col collapsed="false" customWidth="true" hidden="false" outlineLevel="0" max="7" min="7" style="1" width="18"/>
    <col collapsed="false" customWidth="true" hidden="false" outlineLevel="0" max="8" min="8" style="1" width="22"/>
    <col collapsed="false" customWidth="true" hidden="false" outlineLevel="0" max="9" min="9" style="1" width="18"/>
  </cols>
  <sheetData>
    <row r="1" customFormat="false" ht="75" hidden="false" customHeight="true" outlineLevel="0" collapsed="false">
      <c r="C1" s="15" t="s">
        <v>18</v>
      </c>
      <c r="D1" s="15"/>
      <c r="E1" s="15"/>
      <c r="F1" s="15"/>
      <c r="G1" s="15"/>
    </row>
    <row r="3" customFormat="false" ht="15" hidden="false" customHeight="true" outlineLevel="0" collapsed="false">
      <c r="A3" s="3" t="s">
        <v>19</v>
      </c>
      <c r="B3" s="16" t="s">
        <v>743</v>
      </c>
      <c r="C3" s="16"/>
      <c r="D3" s="16"/>
      <c r="F3" s="3" t="s">
        <v>21</v>
      </c>
      <c r="G3" s="16" t="s">
        <v>564</v>
      </c>
      <c r="H3" s="16"/>
      <c r="I3" s="16"/>
    </row>
    <row r="4" customFormat="false" ht="15" hidden="false" customHeight="true" outlineLevel="0" collapsed="false">
      <c r="A4" s="3" t="s">
        <v>23</v>
      </c>
      <c r="B4" s="16" t="s">
        <v>565</v>
      </c>
      <c r="C4" s="16"/>
      <c r="D4" s="16"/>
      <c r="F4" s="3" t="s">
        <v>25</v>
      </c>
      <c r="G4" s="16" t="s">
        <v>216</v>
      </c>
      <c r="H4" s="16"/>
      <c r="I4" s="16"/>
    </row>
    <row r="5" customFormat="false" ht="15" hidden="false" customHeight="true" outlineLevel="0" collapsed="false">
      <c r="A5" s="3" t="s">
        <v>27</v>
      </c>
      <c r="B5" s="16" t="s">
        <v>28</v>
      </c>
      <c r="C5" s="16"/>
      <c r="D5" s="16"/>
      <c r="F5" s="3" t="s">
        <v>29</v>
      </c>
      <c r="G5" s="4" t="s">
        <v>30</v>
      </c>
    </row>
    <row r="7" customFormat="false" ht="23.25" hidden="false" customHeight="true" outlineLevel="0" collapsed="false">
      <c r="A7" s="17" t="s">
        <v>31</v>
      </c>
      <c r="B7" s="17" t="s">
        <v>32</v>
      </c>
      <c r="C7" s="17" t="s">
        <v>33</v>
      </c>
      <c r="D7" s="17" t="s">
        <v>34</v>
      </c>
      <c r="E7" s="17" t="s">
        <v>35</v>
      </c>
      <c r="F7" s="17" t="s">
        <v>36</v>
      </c>
      <c r="G7" s="17" t="s">
        <v>37</v>
      </c>
      <c r="H7" s="17" t="s">
        <v>38</v>
      </c>
      <c r="I7" s="17" t="s">
        <v>39</v>
      </c>
    </row>
    <row r="8" customFormat="false" ht="95.25" hidden="false" customHeight="true" outlineLevel="0" collapsed="false">
      <c r="A8" s="18" t="n">
        <f aca="false">TAKVİM!$B$10+(MATCH($G$5,{"Pazartesi","Salı","Çarşamba","Perşembe","Cuma"},0)-1)</f>
        <v>46283</v>
      </c>
      <c r="B8" s="19" t="s">
        <v>744</v>
      </c>
      <c r="C8" s="19" t="s">
        <v>745</v>
      </c>
      <c r="D8" s="19" t="s">
        <v>746</v>
      </c>
      <c r="E8" s="19" t="s">
        <v>747</v>
      </c>
      <c r="F8" s="19" t="s">
        <v>748</v>
      </c>
      <c r="G8" s="19" t="s">
        <v>749</v>
      </c>
      <c r="H8" s="19" t="s">
        <v>750</v>
      </c>
      <c r="I8" s="19"/>
    </row>
    <row r="9" customFormat="false" ht="95.25" hidden="false" customHeight="true" outlineLevel="0" collapsed="false">
      <c r="A9" s="18" t="n">
        <f aca="false">TAKVİM!$B$11+(MATCH($G$5,{"Pazartesi","Salı","Çarşamba","Perşembe","Cuma"},0)-1)</f>
        <v>46290</v>
      </c>
      <c r="B9" s="19" t="s">
        <v>751</v>
      </c>
      <c r="C9" s="19" t="s">
        <v>752</v>
      </c>
      <c r="D9" s="19" t="s">
        <v>753</v>
      </c>
      <c r="E9" s="19" t="s">
        <v>754</v>
      </c>
      <c r="F9" s="19" t="s">
        <v>755</v>
      </c>
      <c r="G9" s="19" t="s">
        <v>749</v>
      </c>
      <c r="H9" s="19" t="s">
        <v>750</v>
      </c>
      <c r="I9" s="19"/>
    </row>
    <row r="10" customFormat="false" ht="84.75" hidden="false" customHeight="true" outlineLevel="0" collapsed="false">
      <c r="A10" s="18" t="n">
        <f aca="false">TAKVİM!$B$12+(MATCH($G$5,{"Pazartesi","Salı","Çarşamba","Perşembe","Cuma"},0)-1)</f>
        <v>46297</v>
      </c>
      <c r="B10" s="19" t="s">
        <v>756</v>
      </c>
      <c r="C10" s="19" t="s">
        <v>757</v>
      </c>
      <c r="D10" s="19" t="s">
        <v>758</v>
      </c>
      <c r="E10" s="19" t="s">
        <v>759</v>
      </c>
      <c r="F10" s="19" t="s">
        <v>760</v>
      </c>
      <c r="G10" s="19" t="s">
        <v>749</v>
      </c>
      <c r="H10" s="19" t="s">
        <v>750</v>
      </c>
      <c r="I10" s="19"/>
    </row>
    <row r="11" customFormat="false" ht="74.25" hidden="false" customHeight="true" outlineLevel="0" collapsed="false">
      <c r="A11" s="18" t="n">
        <f aca="false">TAKVİM!$B$13+(MATCH($G$5,{"Pazartesi","Salı","Çarşamba","Perşembe","Cuma"},0)-1)</f>
        <v>46304</v>
      </c>
      <c r="B11" s="19" t="s">
        <v>761</v>
      </c>
      <c r="C11" s="19" t="s">
        <v>762</v>
      </c>
      <c r="D11" s="19" t="s">
        <v>763</v>
      </c>
      <c r="E11" s="19" t="s">
        <v>764</v>
      </c>
      <c r="F11" s="19" t="s">
        <v>765</v>
      </c>
      <c r="G11" s="19" t="s">
        <v>749</v>
      </c>
      <c r="H11" s="19" t="s">
        <v>750</v>
      </c>
      <c r="I11" s="19"/>
    </row>
    <row r="12" customFormat="false" ht="74.25" hidden="false" customHeight="true" outlineLevel="0" collapsed="false">
      <c r="A12" s="18" t="n">
        <f aca="false">TAKVİM!$B$14+(MATCH($G$5,{"Pazartesi","Salı","Çarşamba","Perşembe","Cuma"},0)-1)</f>
        <v>46311</v>
      </c>
      <c r="B12" s="19" t="s">
        <v>766</v>
      </c>
      <c r="C12" s="19" t="s">
        <v>767</v>
      </c>
      <c r="D12" s="19" t="s">
        <v>768</v>
      </c>
      <c r="E12" s="19" t="s">
        <v>769</v>
      </c>
      <c r="F12" s="19" t="s">
        <v>770</v>
      </c>
      <c r="G12" s="19" t="s">
        <v>749</v>
      </c>
      <c r="H12" s="19" t="s">
        <v>750</v>
      </c>
      <c r="I12" s="19"/>
    </row>
    <row r="13" customFormat="false" ht="74.25" hidden="false" customHeight="true" outlineLevel="0" collapsed="false">
      <c r="A13" s="18" t="n">
        <f aca="false">TAKVİM!$B$15+(MATCH($G$5,{"Pazartesi","Salı","Çarşamba","Perşembe","Cuma"},0)-1)</f>
        <v>46318</v>
      </c>
      <c r="B13" s="19" t="s">
        <v>766</v>
      </c>
      <c r="C13" s="19" t="s">
        <v>771</v>
      </c>
      <c r="D13" s="19" t="s">
        <v>772</v>
      </c>
      <c r="E13" s="19" t="s">
        <v>773</v>
      </c>
      <c r="F13" s="19" t="s">
        <v>774</v>
      </c>
      <c r="G13" s="19" t="s">
        <v>749</v>
      </c>
      <c r="H13" s="19" t="s">
        <v>750</v>
      </c>
      <c r="I13" s="19"/>
    </row>
    <row r="14" customFormat="false" ht="84.75" hidden="false" customHeight="true" outlineLevel="0" collapsed="false">
      <c r="A14" s="18" t="n">
        <f aca="false">TAKVİM!$B$16+(MATCH($G$5,{"Pazartesi","Salı","Çarşamba","Perşembe","Cuma"},0)-1)</f>
        <v>46325</v>
      </c>
      <c r="B14" s="19" t="s">
        <v>775</v>
      </c>
      <c r="C14" s="19" t="s">
        <v>776</v>
      </c>
      <c r="D14" s="19" t="s">
        <v>777</v>
      </c>
      <c r="E14" s="19" t="s">
        <v>778</v>
      </c>
      <c r="F14" s="19" t="s">
        <v>779</v>
      </c>
      <c r="G14" s="19" t="s">
        <v>749</v>
      </c>
      <c r="H14" s="19" t="s">
        <v>750</v>
      </c>
      <c r="I14" s="19"/>
    </row>
    <row r="15" customFormat="false" ht="74.25" hidden="false" customHeight="true" outlineLevel="0" collapsed="false">
      <c r="A15" s="18" t="n">
        <f aca="false">TAKVİM!$B$17+(MATCH($G$5,{"Pazartesi","Salı","Çarşamba","Perşembe","Cuma"},0)-1)</f>
        <v>46332</v>
      </c>
      <c r="B15" s="19" t="s">
        <v>780</v>
      </c>
      <c r="C15" s="19" t="s">
        <v>781</v>
      </c>
      <c r="D15" s="19" t="s">
        <v>782</v>
      </c>
      <c r="E15" s="19" t="s">
        <v>783</v>
      </c>
      <c r="F15" s="19" t="s">
        <v>784</v>
      </c>
      <c r="G15" s="19" t="s">
        <v>749</v>
      </c>
      <c r="H15" s="19" t="s">
        <v>750</v>
      </c>
      <c r="I15" s="19"/>
    </row>
    <row r="16" customFormat="false" ht="74.25" hidden="false" customHeight="true" outlineLevel="0" collapsed="false">
      <c r="A16" s="18" t="n">
        <f aca="false">TAKVİM!$B$18+(MATCH($G$5,{"Pazartesi","Salı","Çarşamba","Perşembe","Cuma"},0)-1)</f>
        <v>46339</v>
      </c>
      <c r="B16" s="19" t="s">
        <v>780</v>
      </c>
      <c r="C16" s="19" t="s">
        <v>785</v>
      </c>
      <c r="D16" s="19" t="s">
        <v>786</v>
      </c>
      <c r="E16" s="19" t="s">
        <v>787</v>
      </c>
      <c r="F16" s="19" t="s">
        <v>788</v>
      </c>
      <c r="G16" s="19" t="s">
        <v>749</v>
      </c>
      <c r="H16" s="19" t="s">
        <v>750</v>
      </c>
      <c r="I16" s="19"/>
    </row>
    <row r="17" customFormat="false" ht="15" hidden="false" customHeight="true" outlineLevel="0" collapsed="false">
      <c r="A17" s="20" t="str">
        <f aca="false">TAKVİM!$C$19</f>
        <v>16-20 Kasım</v>
      </c>
      <c r="B17" s="20" t="s">
        <v>15</v>
      </c>
      <c r="C17" s="20"/>
      <c r="D17" s="20"/>
      <c r="E17" s="20"/>
      <c r="F17" s="20"/>
      <c r="G17" s="20"/>
      <c r="H17" s="20"/>
      <c r="I17" s="20"/>
    </row>
    <row r="18" customFormat="false" ht="84.75" hidden="false" customHeight="true" outlineLevel="0" collapsed="false">
      <c r="A18" s="18" t="n">
        <f aca="false">TAKVİM!$B$20+(MATCH($G$5,{"Pazartesi","Salı","Çarşamba","Perşembe","Cuma"},0)-1)</f>
        <v>46353</v>
      </c>
      <c r="B18" s="19" t="s">
        <v>789</v>
      </c>
      <c r="C18" s="19" t="s">
        <v>790</v>
      </c>
      <c r="D18" s="19" t="s">
        <v>791</v>
      </c>
      <c r="E18" s="19" t="s">
        <v>792</v>
      </c>
      <c r="F18" s="19" t="s">
        <v>793</v>
      </c>
      <c r="G18" s="19" t="s">
        <v>749</v>
      </c>
      <c r="H18" s="19" t="s">
        <v>750</v>
      </c>
      <c r="I18" s="19"/>
    </row>
    <row r="19" customFormat="false" ht="95.25" hidden="false" customHeight="true" outlineLevel="0" collapsed="false">
      <c r="A19" s="18" t="n">
        <f aca="false">TAKVİM!$B$21+(MATCH($G$5,{"Pazartesi","Salı","Çarşamba","Perşembe","Cuma"},0)-1)</f>
        <v>46360</v>
      </c>
      <c r="B19" s="19" t="s">
        <v>794</v>
      </c>
      <c r="C19" s="19" t="s">
        <v>795</v>
      </c>
      <c r="D19" s="19" t="s">
        <v>796</v>
      </c>
      <c r="E19" s="19" t="s">
        <v>797</v>
      </c>
      <c r="F19" s="19" t="s">
        <v>798</v>
      </c>
      <c r="G19" s="19" t="s">
        <v>749</v>
      </c>
      <c r="H19" s="19" t="s">
        <v>750</v>
      </c>
      <c r="I19" s="19"/>
    </row>
    <row r="20" customFormat="false" ht="84.75" hidden="false" customHeight="true" outlineLevel="0" collapsed="false">
      <c r="A20" s="18" t="n">
        <f aca="false">TAKVİM!$B$22+(MATCH($G$5,{"Pazartesi","Salı","Çarşamba","Perşembe","Cuma"},0)-1)</f>
        <v>46367</v>
      </c>
      <c r="B20" s="19" t="s">
        <v>799</v>
      </c>
      <c r="C20" s="19" t="s">
        <v>800</v>
      </c>
      <c r="D20" s="19" t="s">
        <v>801</v>
      </c>
      <c r="E20" s="19" t="s">
        <v>802</v>
      </c>
      <c r="F20" s="19" t="s">
        <v>803</v>
      </c>
      <c r="G20" s="19" t="s">
        <v>749</v>
      </c>
      <c r="H20" s="19" t="s">
        <v>750</v>
      </c>
      <c r="I20" s="19"/>
    </row>
    <row r="21" customFormat="false" ht="84.75" hidden="false" customHeight="true" outlineLevel="0" collapsed="false">
      <c r="A21" s="18" t="n">
        <f aca="false">TAKVİM!$B$23+(MATCH($G$5,{"Pazartesi","Salı","Çarşamba","Perşembe","Cuma"},0)-1)</f>
        <v>46374</v>
      </c>
      <c r="B21" s="19" t="s">
        <v>799</v>
      </c>
      <c r="C21" s="19" t="s">
        <v>804</v>
      </c>
      <c r="D21" s="19" t="s">
        <v>805</v>
      </c>
      <c r="E21" s="19" t="s">
        <v>806</v>
      </c>
      <c r="F21" s="19" t="s">
        <v>807</v>
      </c>
      <c r="G21" s="19" t="s">
        <v>749</v>
      </c>
      <c r="H21" s="19" t="s">
        <v>750</v>
      </c>
      <c r="I21" s="19"/>
    </row>
    <row r="22" customFormat="false" ht="84.75" hidden="false" customHeight="true" outlineLevel="0" collapsed="false">
      <c r="A22" s="18" t="n">
        <f aca="false">TAKVİM!$B$24+(MATCH($G$5,{"Pazartesi","Salı","Çarşamba","Perşembe","Cuma"},0)-1)</f>
        <v>46381</v>
      </c>
      <c r="B22" s="19" t="s">
        <v>808</v>
      </c>
      <c r="C22" s="19" t="s">
        <v>809</v>
      </c>
      <c r="D22" s="19" t="s">
        <v>810</v>
      </c>
      <c r="E22" s="19" t="s">
        <v>811</v>
      </c>
      <c r="F22" s="19" t="s">
        <v>812</v>
      </c>
      <c r="G22" s="19" t="s">
        <v>749</v>
      </c>
      <c r="H22" s="19" t="s">
        <v>750</v>
      </c>
      <c r="I22" s="19"/>
    </row>
    <row r="23" customFormat="false" ht="74.25" hidden="false" customHeight="true" outlineLevel="0" collapsed="false">
      <c r="A23" s="18" t="n">
        <f aca="false">TAKVİM!$B$25+(MATCH($G$5,{"Pazartesi","Salı","Çarşamba","Perşembe","Cuma"},0)-1)</f>
        <v>46388</v>
      </c>
      <c r="B23" s="19" t="s">
        <v>813</v>
      </c>
      <c r="C23" s="19" t="s">
        <v>814</v>
      </c>
      <c r="D23" s="19" t="s">
        <v>815</v>
      </c>
      <c r="E23" s="19" t="s">
        <v>816</v>
      </c>
      <c r="F23" s="19" t="s">
        <v>817</v>
      </c>
      <c r="G23" s="19" t="s">
        <v>749</v>
      </c>
      <c r="H23" s="19" t="s">
        <v>750</v>
      </c>
      <c r="I23" s="19"/>
    </row>
    <row r="24" customFormat="false" ht="95.25" hidden="false" customHeight="true" outlineLevel="0" collapsed="false">
      <c r="A24" s="18" t="n">
        <f aca="false">TAKVİM!$B$26+(MATCH($G$5,{"Pazartesi","Salı","Çarşamba","Perşembe","Cuma"},0)-1)</f>
        <v>46395</v>
      </c>
      <c r="B24" s="19" t="s">
        <v>818</v>
      </c>
      <c r="C24" s="19" t="s">
        <v>819</v>
      </c>
      <c r="D24" s="19" t="s">
        <v>820</v>
      </c>
      <c r="E24" s="19" t="s">
        <v>821</v>
      </c>
      <c r="F24" s="19" t="s">
        <v>822</v>
      </c>
      <c r="G24" s="19" t="s">
        <v>749</v>
      </c>
      <c r="H24" s="19" t="s">
        <v>750</v>
      </c>
      <c r="I24" s="19"/>
    </row>
    <row r="25" customFormat="false" ht="74.25" hidden="false" customHeight="true" outlineLevel="0" collapsed="false">
      <c r="A25" s="18" t="n">
        <f aca="false">TAKVİM!$B$27+(MATCH($G$5,{"Pazartesi","Salı","Çarşamba","Perşembe","Cuma"},0)-1)</f>
        <v>46402</v>
      </c>
      <c r="B25" s="19" t="s">
        <v>818</v>
      </c>
      <c r="C25" s="19" t="s">
        <v>823</v>
      </c>
      <c r="D25" s="19" t="s">
        <v>824</v>
      </c>
      <c r="E25" s="19" t="s">
        <v>825</v>
      </c>
      <c r="F25" s="19" t="s">
        <v>826</v>
      </c>
      <c r="G25" s="19" t="s">
        <v>749</v>
      </c>
      <c r="H25" s="19" t="s">
        <v>750</v>
      </c>
      <c r="I25" s="19"/>
    </row>
    <row r="26" customFormat="false" ht="74.25" hidden="false" customHeight="true" outlineLevel="0" collapsed="false">
      <c r="A26" s="18" t="n">
        <f aca="false">TAKVİM!$B$28+(MATCH($G$5,{"Pazartesi","Salı","Çarşamba","Perşembe","Cuma"},0)-1)</f>
        <v>46409</v>
      </c>
      <c r="B26" s="19" t="s">
        <v>827</v>
      </c>
      <c r="C26" s="19" t="s">
        <v>828</v>
      </c>
      <c r="D26" s="19" t="s">
        <v>829</v>
      </c>
      <c r="E26" s="19" t="s">
        <v>830</v>
      </c>
      <c r="F26" s="19" t="s">
        <v>831</v>
      </c>
      <c r="G26" s="19" t="s">
        <v>749</v>
      </c>
      <c r="H26" s="19" t="s">
        <v>750</v>
      </c>
      <c r="I26" s="19"/>
    </row>
    <row r="27" customFormat="false" ht="15" hidden="false" customHeight="true" outlineLevel="0" collapsed="false">
      <c r="A27" s="20" t="str">
        <f aca="false">TAKVİM!$C$29</f>
        <v>25-29 Ocak</v>
      </c>
      <c r="B27" s="20" t="s">
        <v>16</v>
      </c>
      <c r="C27" s="20"/>
      <c r="D27" s="20"/>
      <c r="E27" s="20"/>
      <c r="F27" s="20"/>
      <c r="G27" s="20"/>
      <c r="H27" s="20"/>
      <c r="I27" s="20"/>
    </row>
    <row r="28" customFormat="false" ht="74.25" hidden="false" customHeight="true" outlineLevel="0" collapsed="false">
      <c r="A28" s="18" t="n">
        <f aca="false">TAKVİM!$B$30+(MATCH($G$5,{"Pazartesi","Salı","Çarşamba","Perşembe","Cuma"},0)-1)</f>
        <v>46430</v>
      </c>
      <c r="B28" s="19" t="s">
        <v>827</v>
      </c>
      <c r="C28" s="19" t="s">
        <v>832</v>
      </c>
      <c r="D28" s="19" t="s">
        <v>833</v>
      </c>
      <c r="E28" s="19" t="s">
        <v>834</v>
      </c>
      <c r="F28" s="19" t="s">
        <v>835</v>
      </c>
      <c r="G28" s="19" t="s">
        <v>749</v>
      </c>
      <c r="H28" s="19" t="s">
        <v>750</v>
      </c>
      <c r="I28" s="19"/>
    </row>
    <row r="29" customFormat="false" ht="84.75" hidden="false" customHeight="true" outlineLevel="0" collapsed="false">
      <c r="A29" s="18" t="n">
        <f aca="false">TAKVİM!$B$31+(MATCH($G$5,{"Pazartesi","Salı","Çarşamba","Perşembe","Cuma"},0)-1)</f>
        <v>46437</v>
      </c>
      <c r="B29" s="19" t="s">
        <v>836</v>
      </c>
      <c r="C29" s="19" t="s">
        <v>837</v>
      </c>
      <c r="D29" s="19" t="s">
        <v>838</v>
      </c>
      <c r="E29" s="19" t="s">
        <v>839</v>
      </c>
      <c r="F29" s="19" t="s">
        <v>840</v>
      </c>
      <c r="G29" s="19" t="s">
        <v>749</v>
      </c>
      <c r="H29" s="19" t="s">
        <v>750</v>
      </c>
      <c r="I29" s="19"/>
    </row>
    <row r="30" customFormat="false" ht="74.25" hidden="false" customHeight="true" outlineLevel="0" collapsed="false">
      <c r="A30" s="18" t="n">
        <f aca="false">TAKVİM!$B$32+(MATCH($G$5,{"Pazartesi","Salı","Çarşamba","Perşembe","Cuma"},0)-1)</f>
        <v>46444</v>
      </c>
      <c r="B30" s="19" t="s">
        <v>841</v>
      </c>
      <c r="C30" s="19" t="s">
        <v>842</v>
      </c>
      <c r="D30" s="19" t="s">
        <v>843</v>
      </c>
      <c r="E30" s="19" t="s">
        <v>844</v>
      </c>
      <c r="F30" s="19" t="s">
        <v>845</v>
      </c>
      <c r="G30" s="19" t="s">
        <v>749</v>
      </c>
      <c r="H30" s="19" t="s">
        <v>750</v>
      </c>
      <c r="I30" s="19"/>
    </row>
    <row r="31" customFormat="false" ht="74.25" hidden="false" customHeight="true" outlineLevel="0" collapsed="false">
      <c r="A31" s="18" t="n">
        <f aca="false">TAKVİM!$B$33+(MATCH($G$5,{"Pazartesi","Salı","Çarşamba","Perşembe","Cuma"},0)-1)</f>
        <v>46451</v>
      </c>
      <c r="B31" s="19" t="s">
        <v>841</v>
      </c>
      <c r="C31" s="19" t="s">
        <v>846</v>
      </c>
      <c r="D31" s="19" t="s">
        <v>847</v>
      </c>
      <c r="E31" s="19" t="s">
        <v>848</v>
      </c>
      <c r="F31" s="19" t="s">
        <v>849</v>
      </c>
      <c r="G31" s="19" t="s">
        <v>749</v>
      </c>
      <c r="H31" s="19" t="s">
        <v>750</v>
      </c>
      <c r="I31" s="19"/>
    </row>
    <row r="32" customFormat="false" ht="15" hidden="false" customHeight="true" outlineLevel="0" collapsed="false">
      <c r="A32" s="20" t="str">
        <f aca="false">TAKVİM!$C$34</f>
        <v>08-12 Mart</v>
      </c>
      <c r="B32" s="20" t="s">
        <v>17</v>
      </c>
      <c r="C32" s="20"/>
      <c r="D32" s="20"/>
      <c r="E32" s="20"/>
      <c r="F32" s="20"/>
      <c r="G32" s="20"/>
      <c r="H32" s="20"/>
      <c r="I32" s="20"/>
    </row>
    <row r="33" customFormat="false" ht="84.75" hidden="false" customHeight="true" outlineLevel="0" collapsed="false">
      <c r="A33" s="18" t="n">
        <f aca="false">TAKVİM!$B$35+(MATCH($G$5,{"Pazartesi","Salı","Çarşamba","Perşembe","Cuma"},0)-1)</f>
        <v>46465</v>
      </c>
      <c r="B33" s="19" t="s">
        <v>850</v>
      </c>
      <c r="C33" s="19" t="s">
        <v>851</v>
      </c>
      <c r="D33" s="19" t="s">
        <v>852</v>
      </c>
      <c r="E33" s="19" t="s">
        <v>853</v>
      </c>
      <c r="F33" s="19" t="s">
        <v>854</v>
      </c>
      <c r="G33" s="19" t="s">
        <v>749</v>
      </c>
      <c r="H33" s="19" t="s">
        <v>750</v>
      </c>
      <c r="I33" s="19"/>
    </row>
    <row r="34" customFormat="false" ht="74.25" hidden="false" customHeight="true" outlineLevel="0" collapsed="false">
      <c r="A34" s="18" t="n">
        <f aca="false">TAKVİM!$B$36+(MATCH($G$5,{"Pazartesi","Salı","Çarşamba","Perşembe","Cuma"},0)-1)</f>
        <v>46472</v>
      </c>
      <c r="B34" s="19" t="s">
        <v>855</v>
      </c>
      <c r="C34" s="19" t="s">
        <v>856</v>
      </c>
      <c r="D34" s="19" t="s">
        <v>857</v>
      </c>
      <c r="E34" s="19" t="s">
        <v>858</v>
      </c>
      <c r="F34" s="19" t="s">
        <v>859</v>
      </c>
      <c r="G34" s="19" t="s">
        <v>749</v>
      </c>
      <c r="H34" s="19" t="s">
        <v>750</v>
      </c>
      <c r="I34" s="19"/>
    </row>
    <row r="35" customFormat="false" ht="74.25" hidden="false" customHeight="true" outlineLevel="0" collapsed="false">
      <c r="A35" s="18" t="n">
        <f aca="false">TAKVİM!$B$37+(MATCH($G$5,{"Pazartesi","Salı","Çarşamba","Perşembe","Cuma"},0)-1)</f>
        <v>46479</v>
      </c>
      <c r="B35" s="19" t="s">
        <v>860</v>
      </c>
      <c r="C35" s="19" t="s">
        <v>861</v>
      </c>
      <c r="D35" s="19" t="s">
        <v>862</v>
      </c>
      <c r="E35" s="19" t="s">
        <v>863</v>
      </c>
      <c r="F35" s="19" t="s">
        <v>864</v>
      </c>
      <c r="G35" s="19" t="s">
        <v>749</v>
      </c>
      <c r="H35" s="19" t="s">
        <v>750</v>
      </c>
      <c r="I35" s="19"/>
    </row>
    <row r="36" customFormat="false" ht="74.25" hidden="false" customHeight="true" outlineLevel="0" collapsed="false">
      <c r="A36" s="18" t="n">
        <f aca="false">TAKVİM!$B$38+(MATCH($G$5,{"Pazartesi","Salı","Çarşamba","Perşembe","Cuma"},0)-1)</f>
        <v>46486</v>
      </c>
      <c r="B36" s="19" t="s">
        <v>860</v>
      </c>
      <c r="C36" s="19" t="s">
        <v>865</v>
      </c>
      <c r="D36" s="19" t="s">
        <v>866</v>
      </c>
      <c r="E36" s="19" t="s">
        <v>867</v>
      </c>
      <c r="F36" s="19" t="s">
        <v>868</v>
      </c>
      <c r="G36" s="19" t="s">
        <v>749</v>
      </c>
      <c r="H36" s="19" t="s">
        <v>750</v>
      </c>
      <c r="I36" s="19"/>
    </row>
    <row r="37" customFormat="false" ht="105.75" hidden="false" customHeight="true" outlineLevel="0" collapsed="false">
      <c r="A37" s="18" t="n">
        <f aca="false">TAKVİM!$B$39+(MATCH($G$5,{"Pazartesi","Salı","Çarşamba","Perşembe","Cuma"},0)-1)</f>
        <v>46493</v>
      </c>
      <c r="B37" s="19" t="s">
        <v>869</v>
      </c>
      <c r="C37" s="19" t="s">
        <v>870</v>
      </c>
      <c r="D37" s="19" t="s">
        <v>871</v>
      </c>
      <c r="E37" s="19" t="s">
        <v>872</v>
      </c>
      <c r="F37" s="19" t="s">
        <v>873</v>
      </c>
      <c r="G37" s="19" t="s">
        <v>749</v>
      </c>
      <c r="H37" s="19" t="s">
        <v>750</v>
      </c>
      <c r="I37" s="19"/>
    </row>
    <row r="38" customFormat="false" ht="105.75" hidden="false" customHeight="true" outlineLevel="0" collapsed="false">
      <c r="A38" s="18" t="n">
        <f aca="false">TAKVİM!$B$40+(MATCH($G$5,{"Pazartesi","Salı","Çarşamba","Perşembe","Cuma"},0)-1)</f>
        <v>46500</v>
      </c>
      <c r="B38" s="19" t="s">
        <v>874</v>
      </c>
      <c r="C38" s="19" t="s">
        <v>875</v>
      </c>
      <c r="D38" s="19" t="s">
        <v>876</v>
      </c>
      <c r="E38" s="19" t="s">
        <v>877</v>
      </c>
      <c r="F38" s="19" t="s">
        <v>878</v>
      </c>
      <c r="G38" s="19" t="s">
        <v>749</v>
      </c>
      <c r="H38" s="19" t="s">
        <v>750</v>
      </c>
      <c r="I38" s="19"/>
    </row>
    <row r="39" customFormat="false" ht="105.75" hidden="false" customHeight="true" outlineLevel="0" collapsed="false">
      <c r="A39" s="18" t="n">
        <f aca="false">TAKVİM!$B$41+(MATCH($G$5,{"Pazartesi","Salı","Çarşamba","Perşembe","Cuma"},0)-1)</f>
        <v>46507</v>
      </c>
      <c r="B39" s="19" t="s">
        <v>874</v>
      </c>
      <c r="C39" s="19" t="s">
        <v>879</v>
      </c>
      <c r="D39" s="19" t="s">
        <v>880</v>
      </c>
      <c r="E39" s="19" t="s">
        <v>881</v>
      </c>
      <c r="F39" s="19" t="s">
        <v>882</v>
      </c>
      <c r="G39" s="19" t="s">
        <v>749</v>
      </c>
      <c r="H39" s="19" t="s">
        <v>750</v>
      </c>
      <c r="I39" s="19"/>
    </row>
    <row r="40" customFormat="false" ht="84.75" hidden="false" customHeight="true" outlineLevel="0" collapsed="false">
      <c r="A40" s="18" t="n">
        <f aca="false">TAKVİM!$B$42+(MATCH($G$5,{"Pazartesi","Salı","Çarşamba","Perşembe","Cuma"},0)-1)</f>
        <v>46514</v>
      </c>
      <c r="B40" s="19" t="s">
        <v>883</v>
      </c>
      <c r="C40" s="19" t="s">
        <v>884</v>
      </c>
      <c r="D40" s="19" t="s">
        <v>885</v>
      </c>
      <c r="E40" s="19" t="s">
        <v>886</v>
      </c>
      <c r="F40" s="19" t="s">
        <v>887</v>
      </c>
      <c r="G40" s="19" t="s">
        <v>749</v>
      </c>
      <c r="H40" s="19" t="s">
        <v>750</v>
      </c>
      <c r="I40" s="19"/>
    </row>
    <row r="41" customFormat="false" ht="84.75" hidden="false" customHeight="true" outlineLevel="0" collapsed="false">
      <c r="A41" s="18" t="n">
        <f aca="false">TAKVİM!$B$43+(MATCH($G$5,{"Pazartesi","Salı","Çarşamba","Perşembe","Cuma"},0)-1)</f>
        <v>46521</v>
      </c>
      <c r="B41" s="19" t="s">
        <v>888</v>
      </c>
      <c r="C41" s="19" t="s">
        <v>889</v>
      </c>
      <c r="D41" s="19" t="s">
        <v>890</v>
      </c>
      <c r="E41" s="19" t="s">
        <v>891</v>
      </c>
      <c r="F41" s="19" t="s">
        <v>892</v>
      </c>
      <c r="G41" s="19" t="s">
        <v>749</v>
      </c>
      <c r="H41" s="19" t="s">
        <v>750</v>
      </c>
      <c r="I41" s="19"/>
    </row>
    <row r="42" customFormat="false" ht="84.75" hidden="false" customHeight="true" outlineLevel="0" collapsed="false">
      <c r="A42" s="18" t="n">
        <f aca="false">TAKVİM!$B$44+(MATCH($G$5,{"Pazartesi","Salı","Çarşamba","Perşembe","Cuma"},0)-1)</f>
        <v>46528</v>
      </c>
      <c r="B42" s="19" t="s">
        <v>888</v>
      </c>
      <c r="C42" s="19" t="s">
        <v>893</v>
      </c>
      <c r="D42" s="19" t="s">
        <v>894</v>
      </c>
      <c r="E42" s="19" t="s">
        <v>895</v>
      </c>
      <c r="F42" s="19" t="s">
        <v>896</v>
      </c>
      <c r="G42" s="19" t="s">
        <v>749</v>
      </c>
      <c r="H42" s="19" t="s">
        <v>750</v>
      </c>
      <c r="I42" s="19"/>
    </row>
    <row r="43" customFormat="false" ht="105.75" hidden="false" customHeight="true" outlineLevel="0" collapsed="false">
      <c r="A43" s="18" t="n">
        <f aca="false">TAKVİM!$B$45+(MATCH($G$5,{"Pazartesi","Salı","Çarşamba","Perşembe","Cuma"},0)-1)</f>
        <v>46535</v>
      </c>
      <c r="B43" s="19" t="s">
        <v>897</v>
      </c>
      <c r="C43" s="19" t="s">
        <v>898</v>
      </c>
      <c r="D43" s="19" t="s">
        <v>899</v>
      </c>
      <c r="E43" s="19" t="s">
        <v>900</v>
      </c>
      <c r="F43" s="19" t="s">
        <v>901</v>
      </c>
      <c r="G43" s="19" t="s">
        <v>749</v>
      </c>
      <c r="H43" s="19" t="s">
        <v>750</v>
      </c>
      <c r="I43" s="19"/>
    </row>
    <row r="44" customFormat="false" ht="116.25" hidden="false" customHeight="true" outlineLevel="0" collapsed="false">
      <c r="A44" s="18" t="n">
        <f aca="false">TAKVİM!$B$46+(MATCH($G$5,{"Pazartesi","Salı","Çarşamba","Perşembe","Cuma"},0)-1)</f>
        <v>46542</v>
      </c>
      <c r="B44" s="19" t="s">
        <v>902</v>
      </c>
      <c r="C44" s="19" t="s">
        <v>903</v>
      </c>
      <c r="D44" s="19" t="s">
        <v>904</v>
      </c>
      <c r="E44" s="19" t="s">
        <v>905</v>
      </c>
      <c r="F44" s="19" t="s">
        <v>906</v>
      </c>
      <c r="G44" s="19" t="s">
        <v>749</v>
      </c>
      <c r="H44" s="19" t="s">
        <v>750</v>
      </c>
      <c r="I44" s="19"/>
    </row>
    <row r="45" customFormat="false" ht="74.25" hidden="false" customHeight="true" outlineLevel="0" collapsed="false">
      <c r="A45" s="18" t="n">
        <f aca="false">TAKVİM!$B$47+(MATCH($G$5,{"Pazartesi","Salı","Çarşamba","Perşembe","Cuma"},0)-1)</f>
        <v>46549</v>
      </c>
      <c r="B45" s="19" t="s">
        <v>907</v>
      </c>
      <c r="C45" s="19" t="s">
        <v>908</v>
      </c>
      <c r="D45" s="19" t="s">
        <v>909</v>
      </c>
      <c r="E45" s="19" t="s">
        <v>910</v>
      </c>
      <c r="F45" s="19" t="s">
        <v>911</v>
      </c>
      <c r="G45" s="19" t="s">
        <v>749</v>
      </c>
      <c r="H45" s="19" t="s">
        <v>750</v>
      </c>
      <c r="I45" s="19"/>
    </row>
    <row r="46" customFormat="false" ht="74.25" hidden="false" customHeight="true" outlineLevel="0" collapsed="false">
      <c r="A46" s="18" t="n">
        <f aca="false">TAKVİM!$B$48+(MATCH($G$5,{"Pazartesi","Salı","Çarşamba","Perşembe","Cuma"},0)-1)</f>
        <v>46556</v>
      </c>
      <c r="B46" s="19" t="s">
        <v>907</v>
      </c>
      <c r="C46" s="19" t="s">
        <v>912</v>
      </c>
      <c r="D46" s="19" t="s">
        <v>913</v>
      </c>
      <c r="E46" s="19" t="s">
        <v>914</v>
      </c>
      <c r="F46" s="19" t="s">
        <v>915</v>
      </c>
      <c r="G46" s="19" t="s">
        <v>749</v>
      </c>
      <c r="H46" s="19" t="s">
        <v>750</v>
      </c>
      <c r="I46" s="19"/>
    </row>
    <row r="47" customFormat="false" ht="74.25" hidden="false" customHeight="true" outlineLevel="0" collapsed="false">
      <c r="A47" s="18" t="n">
        <f aca="false">TAKVİM!$B$49+(MATCH($G$5,{"Pazartesi","Salı","Çarşamba","Perşembe","Cuma"},0)-1)</f>
        <v>46563</v>
      </c>
      <c r="B47" s="19" t="s">
        <v>907</v>
      </c>
      <c r="C47" s="19" t="s">
        <v>912</v>
      </c>
      <c r="D47" s="19" t="s">
        <v>916</v>
      </c>
      <c r="E47" s="19" t="s">
        <v>917</v>
      </c>
      <c r="F47" s="19" t="s">
        <v>918</v>
      </c>
      <c r="G47" s="19" t="s">
        <v>749</v>
      </c>
      <c r="H47" s="19" t="s">
        <v>750</v>
      </c>
      <c r="I47" s="19"/>
    </row>
    <row r="51" customFormat="false" ht="15" hidden="false" customHeight="true" outlineLevel="0" collapsed="false">
      <c r="A51" s="21" t="s">
        <v>28</v>
      </c>
      <c r="B51" s="21"/>
      <c r="C51" s="21"/>
      <c r="D51" s="21"/>
      <c r="F51" s="21" t="s">
        <v>210</v>
      </c>
      <c r="G51" s="21"/>
      <c r="H51" s="21"/>
      <c r="I51" s="21"/>
    </row>
    <row r="52" customFormat="false" ht="15" hidden="false" customHeight="true" outlineLevel="0" collapsed="false">
      <c r="A52" s="22" t="s">
        <v>211</v>
      </c>
      <c r="B52" s="22"/>
      <c r="C52" s="22"/>
      <c r="D52" s="22"/>
      <c r="F52" s="22" t="s">
        <v>212</v>
      </c>
      <c r="G52" s="22"/>
      <c r="H52" s="22"/>
      <c r="I52" s="22"/>
    </row>
    <row r="54" customFormat="false" ht="15" hidden="false" customHeight="true" outlineLevel="0" collapsed="false">
      <c r="A54" s="22" t="s">
        <v>213</v>
      </c>
      <c r="B54" s="22"/>
      <c r="C54" s="22"/>
      <c r="D54" s="22"/>
      <c r="F54" s="21" t="s">
        <v>214</v>
      </c>
      <c r="G54" s="21"/>
      <c r="H54" s="21"/>
      <c r="I54" s="21"/>
    </row>
  </sheetData>
  <mergeCells count="15">
    <mergeCell ref="C1:G1"/>
    <mergeCell ref="B3:D3"/>
    <mergeCell ref="G3:I3"/>
    <mergeCell ref="B4:D4"/>
    <mergeCell ref="G4:I4"/>
    <mergeCell ref="B5:D5"/>
    <mergeCell ref="B17:I17"/>
    <mergeCell ref="B27:I27"/>
    <mergeCell ref="B32:I32"/>
    <mergeCell ref="A51:D51"/>
    <mergeCell ref="F51:I51"/>
    <mergeCell ref="A52:D52"/>
    <mergeCell ref="F52:I52"/>
    <mergeCell ref="A54:D54"/>
    <mergeCell ref="F54:I54"/>
  </mergeCells>
  <dataValidations count="1">
    <dataValidation allowBlank="false" errorStyle="stop" operator="between" showDropDown="false" showErrorMessage="false" showInputMessage="false" sqref="G5" type="list">
      <formula1>"Pazartesi,Salı,Çarşamba,Perşembe,Cuma"</formula1>
      <formula2>0</formula2>
    </dataValidation>
  </dataValidation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4" min="3" style="1" width="26"/>
    <col collapsed="false" customWidth="true" hidden="false" outlineLevel="0" max="5" min="5" style="1" width="34"/>
    <col collapsed="false" customWidth="true" hidden="false" outlineLevel="0" max="6" min="6" style="1" width="22"/>
    <col collapsed="false" customWidth="true" hidden="false" outlineLevel="0" max="7" min="7" style="1" width="18"/>
    <col collapsed="false" customWidth="true" hidden="false" outlineLevel="0" max="8" min="8" style="1" width="22"/>
    <col collapsed="false" customWidth="true" hidden="false" outlineLevel="0" max="9" min="9" style="1" width="18"/>
  </cols>
  <sheetData>
    <row r="1" customFormat="false" ht="75" hidden="false" customHeight="true" outlineLevel="0" collapsed="false">
      <c r="C1" s="15" t="s">
        <v>18</v>
      </c>
      <c r="D1" s="15"/>
      <c r="E1" s="15"/>
      <c r="F1" s="15"/>
      <c r="G1" s="15"/>
    </row>
    <row r="3" customFormat="false" ht="15" hidden="false" customHeight="true" outlineLevel="0" collapsed="false">
      <c r="A3" s="3" t="s">
        <v>19</v>
      </c>
      <c r="B3" s="16" t="s">
        <v>919</v>
      </c>
      <c r="C3" s="16"/>
      <c r="D3" s="16"/>
      <c r="F3" s="3" t="s">
        <v>21</v>
      </c>
      <c r="G3" s="16" t="s">
        <v>564</v>
      </c>
      <c r="H3" s="16"/>
      <c r="I3" s="16"/>
    </row>
    <row r="4" customFormat="false" ht="15" hidden="false" customHeight="true" outlineLevel="0" collapsed="false">
      <c r="A4" s="3" t="s">
        <v>23</v>
      </c>
      <c r="B4" s="16" t="s">
        <v>565</v>
      </c>
      <c r="C4" s="16"/>
      <c r="D4" s="16"/>
      <c r="F4" s="3" t="s">
        <v>25</v>
      </c>
      <c r="G4" s="16" t="s">
        <v>216</v>
      </c>
      <c r="H4" s="16"/>
      <c r="I4" s="16"/>
    </row>
    <row r="5" customFormat="false" ht="15" hidden="false" customHeight="true" outlineLevel="0" collapsed="false">
      <c r="A5" s="3" t="s">
        <v>27</v>
      </c>
      <c r="B5" s="16" t="s">
        <v>28</v>
      </c>
      <c r="C5" s="16"/>
      <c r="D5" s="16"/>
      <c r="F5" s="3" t="s">
        <v>29</v>
      </c>
      <c r="G5" s="4" t="s">
        <v>30</v>
      </c>
    </row>
    <row r="7" customFormat="false" ht="23.25" hidden="false" customHeight="true" outlineLevel="0" collapsed="false">
      <c r="A7" s="17" t="s">
        <v>31</v>
      </c>
      <c r="B7" s="17" t="s">
        <v>32</v>
      </c>
      <c r="C7" s="17" t="s">
        <v>33</v>
      </c>
      <c r="D7" s="17" t="s">
        <v>34</v>
      </c>
      <c r="E7" s="17" t="s">
        <v>35</v>
      </c>
      <c r="F7" s="17" t="s">
        <v>36</v>
      </c>
      <c r="G7" s="17" t="s">
        <v>37</v>
      </c>
      <c r="H7" s="17" t="s">
        <v>38</v>
      </c>
      <c r="I7" s="17" t="s">
        <v>39</v>
      </c>
    </row>
    <row r="8" customFormat="false" ht="84.75" hidden="false" customHeight="true" outlineLevel="0" collapsed="false">
      <c r="A8" s="18" t="n">
        <f aca="false">TAKVİM!$B$10+(MATCH($G$5,{"Pazartesi","Salı","Çarşamba","Perşembe","Cuma"},0)-1)</f>
        <v>46283</v>
      </c>
      <c r="B8" s="19" t="s">
        <v>920</v>
      </c>
      <c r="C8" s="19" t="s">
        <v>921</v>
      </c>
      <c r="D8" s="19" t="s">
        <v>922</v>
      </c>
      <c r="E8" s="19" t="s">
        <v>923</v>
      </c>
      <c r="F8" s="19" t="s">
        <v>924</v>
      </c>
      <c r="G8" s="19" t="s">
        <v>925</v>
      </c>
      <c r="H8" s="19" t="s">
        <v>926</v>
      </c>
      <c r="I8" s="19"/>
    </row>
    <row r="9" customFormat="false" ht="74.25" hidden="false" customHeight="true" outlineLevel="0" collapsed="false">
      <c r="A9" s="18" t="n">
        <f aca="false">TAKVİM!$B$11+(MATCH($G$5,{"Pazartesi","Salı","Çarşamba","Perşembe","Cuma"},0)-1)</f>
        <v>46290</v>
      </c>
      <c r="B9" s="19" t="s">
        <v>927</v>
      </c>
      <c r="C9" s="19" t="s">
        <v>921</v>
      </c>
      <c r="D9" s="19" t="s">
        <v>928</v>
      </c>
      <c r="E9" s="19" t="s">
        <v>929</v>
      </c>
      <c r="F9" s="19" t="s">
        <v>930</v>
      </c>
      <c r="G9" s="19" t="s">
        <v>925</v>
      </c>
      <c r="H9" s="19" t="s">
        <v>926</v>
      </c>
      <c r="I9" s="19"/>
    </row>
    <row r="10" customFormat="false" ht="74.25" hidden="false" customHeight="true" outlineLevel="0" collapsed="false">
      <c r="A10" s="18" t="n">
        <f aca="false">TAKVİM!$B$12+(MATCH($G$5,{"Pazartesi","Salı","Çarşamba","Perşembe","Cuma"},0)-1)</f>
        <v>46297</v>
      </c>
      <c r="B10" s="19" t="s">
        <v>931</v>
      </c>
      <c r="C10" s="19" t="s">
        <v>932</v>
      </c>
      <c r="D10" s="19" t="s">
        <v>933</v>
      </c>
      <c r="E10" s="19" t="s">
        <v>934</v>
      </c>
      <c r="F10" s="19" t="s">
        <v>935</v>
      </c>
      <c r="G10" s="19" t="s">
        <v>925</v>
      </c>
      <c r="H10" s="19" t="s">
        <v>926</v>
      </c>
      <c r="I10" s="19"/>
    </row>
    <row r="11" customFormat="false" ht="74.25" hidden="false" customHeight="true" outlineLevel="0" collapsed="false">
      <c r="A11" s="18" t="n">
        <f aca="false">TAKVİM!$B$13+(MATCH($G$5,{"Pazartesi","Salı","Çarşamba","Perşembe","Cuma"},0)-1)</f>
        <v>46304</v>
      </c>
      <c r="B11" s="19" t="s">
        <v>931</v>
      </c>
      <c r="C11" s="19" t="s">
        <v>936</v>
      </c>
      <c r="D11" s="19" t="s">
        <v>937</v>
      </c>
      <c r="E11" s="19" t="s">
        <v>938</v>
      </c>
      <c r="F11" s="19" t="s">
        <v>939</v>
      </c>
      <c r="G11" s="19" t="s">
        <v>925</v>
      </c>
      <c r="H11" s="19" t="s">
        <v>926</v>
      </c>
      <c r="I11" s="19"/>
    </row>
    <row r="12" customFormat="false" ht="74.25" hidden="false" customHeight="true" outlineLevel="0" collapsed="false">
      <c r="A12" s="18" t="n">
        <f aca="false">TAKVİM!$B$14+(MATCH($G$5,{"Pazartesi","Salı","Çarşamba","Perşembe","Cuma"},0)-1)</f>
        <v>46311</v>
      </c>
      <c r="B12" s="19" t="s">
        <v>931</v>
      </c>
      <c r="C12" s="19" t="s">
        <v>936</v>
      </c>
      <c r="D12" s="19" t="s">
        <v>940</v>
      </c>
      <c r="E12" s="19" t="s">
        <v>941</v>
      </c>
      <c r="F12" s="19" t="s">
        <v>942</v>
      </c>
      <c r="G12" s="19" t="s">
        <v>925</v>
      </c>
      <c r="H12" s="19" t="s">
        <v>926</v>
      </c>
      <c r="I12" s="19"/>
    </row>
    <row r="13" customFormat="false" ht="74.25" hidden="false" customHeight="true" outlineLevel="0" collapsed="false">
      <c r="A13" s="18" t="n">
        <f aca="false">TAKVİM!$B$15+(MATCH($G$5,{"Pazartesi","Salı","Çarşamba","Perşembe","Cuma"},0)-1)</f>
        <v>46318</v>
      </c>
      <c r="B13" s="19" t="s">
        <v>931</v>
      </c>
      <c r="C13" s="19" t="s">
        <v>936</v>
      </c>
      <c r="D13" s="19" t="s">
        <v>943</v>
      </c>
      <c r="E13" s="19" t="s">
        <v>944</v>
      </c>
      <c r="F13" s="19" t="s">
        <v>945</v>
      </c>
      <c r="G13" s="19" t="s">
        <v>925</v>
      </c>
      <c r="H13" s="19" t="s">
        <v>926</v>
      </c>
      <c r="I13" s="19"/>
    </row>
    <row r="14" customFormat="false" ht="74.25" hidden="false" customHeight="true" outlineLevel="0" collapsed="false">
      <c r="A14" s="18" t="n">
        <f aca="false">TAKVİM!$B$16+(MATCH($G$5,{"Pazartesi","Salı","Çarşamba","Perşembe","Cuma"},0)-1)</f>
        <v>46325</v>
      </c>
      <c r="B14" s="19" t="s">
        <v>931</v>
      </c>
      <c r="C14" s="19" t="s">
        <v>946</v>
      </c>
      <c r="D14" s="19" t="s">
        <v>947</v>
      </c>
      <c r="E14" s="19" t="s">
        <v>948</v>
      </c>
      <c r="F14" s="19" t="s">
        <v>949</v>
      </c>
      <c r="G14" s="19" t="s">
        <v>925</v>
      </c>
      <c r="H14" s="19" t="s">
        <v>926</v>
      </c>
      <c r="I14" s="19"/>
    </row>
    <row r="15" customFormat="false" ht="95.25" hidden="false" customHeight="true" outlineLevel="0" collapsed="false">
      <c r="A15" s="18" t="n">
        <f aca="false">TAKVİM!$B$17+(MATCH($G$5,{"Pazartesi","Salı","Çarşamba","Perşembe","Cuma"},0)-1)</f>
        <v>46332</v>
      </c>
      <c r="B15" s="19" t="s">
        <v>950</v>
      </c>
      <c r="C15" s="19" t="s">
        <v>951</v>
      </c>
      <c r="D15" s="19" t="s">
        <v>952</v>
      </c>
      <c r="E15" s="19" t="s">
        <v>953</v>
      </c>
      <c r="F15" s="19" t="s">
        <v>954</v>
      </c>
      <c r="G15" s="19" t="s">
        <v>925</v>
      </c>
      <c r="H15" s="19" t="s">
        <v>926</v>
      </c>
      <c r="I15" s="19"/>
    </row>
    <row r="16" customFormat="false" ht="74.25" hidden="false" customHeight="true" outlineLevel="0" collapsed="false">
      <c r="A16" s="18" t="n">
        <f aca="false">TAKVİM!$B$18+(MATCH($G$5,{"Pazartesi","Salı","Çarşamba","Perşembe","Cuma"},0)-1)</f>
        <v>46339</v>
      </c>
      <c r="B16" s="19" t="s">
        <v>955</v>
      </c>
      <c r="C16" s="19" t="s">
        <v>956</v>
      </c>
      <c r="D16" s="19" t="s">
        <v>957</v>
      </c>
      <c r="E16" s="19" t="s">
        <v>958</v>
      </c>
      <c r="F16" s="19" t="s">
        <v>959</v>
      </c>
      <c r="G16" s="19" t="s">
        <v>925</v>
      </c>
      <c r="H16" s="19" t="s">
        <v>926</v>
      </c>
      <c r="I16" s="19"/>
    </row>
    <row r="17" customFormat="false" ht="15" hidden="false" customHeight="true" outlineLevel="0" collapsed="false">
      <c r="A17" s="20" t="str">
        <f aca="false">TAKVİM!$C$19</f>
        <v>16-20 Kasım</v>
      </c>
      <c r="B17" s="20" t="s">
        <v>15</v>
      </c>
      <c r="C17" s="20"/>
      <c r="D17" s="20"/>
      <c r="E17" s="20"/>
      <c r="F17" s="20"/>
      <c r="G17" s="20"/>
      <c r="H17" s="20"/>
      <c r="I17" s="20"/>
    </row>
    <row r="18" customFormat="false" ht="84.75" hidden="false" customHeight="true" outlineLevel="0" collapsed="false">
      <c r="A18" s="18" t="n">
        <f aca="false">TAKVİM!$B$20+(MATCH($G$5,{"Pazartesi","Salı","Çarşamba","Perşembe","Cuma"},0)-1)</f>
        <v>46353</v>
      </c>
      <c r="B18" s="19" t="s">
        <v>960</v>
      </c>
      <c r="C18" s="19" t="s">
        <v>961</v>
      </c>
      <c r="D18" s="19" t="s">
        <v>962</v>
      </c>
      <c r="E18" s="19" t="s">
        <v>963</v>
      </c>
      <c r="F18" s="19" t="s">
        <v>964</v>
      </c>
      <c r="G18" s="19" t="s">
        <v>925</v>
      </c>
      <c r="H18" s="19" t="s">
        <v>926</v>
      </c>
      <c r="I18" s="19"/>
    </row>
    <row r="19" customFormat="false" ht="84.75" hidden="false" customHeight="true" outlineLevel="0" collapsed="false">
      <c r="A19" s="18" t="n">
        <f aca="false">TAKVİM!$B$21+(MATCH($G$5,{"Pazartesi","Salı","Çarşamba","Perşembe","Cuma"},0)-1)</f>
        <v>46360</v>
      </c>
      <c r="B19" s="19" t="s">
        <v>960</v>
      </c>
      <c r="C19" s="19" t="s">
        <v>961</v>
      </c>
      <c r="D19" s="19" t="s">
        <v>965</v>
      </c>
      <c r="E19" s="19" t="s">
        <v>966</v>
      </c>
      <c r="F19" s="19" t="s">
        <v>967</v>
      </c>
      <c r="G19" s="19" t="s">
        <v>925</v>
      </c>
      <c r="H19" s="19" t="s">
        <v>926</v>
      </c>
      <c r="I19" s="19"/>
    </row>
    <row r="20" customFormat="false" ht="84.75" hidden="false" customHeight="true" outlineLevel="0" collapsed="false">
      <c r="A20" s="18" t="n">
        <f aca="false">TAKVİM!$B$22+(MATCH($G$5,{"Pazartesi","Salı","Çarşamba","Perşembe","Cuma"},0)-1)</f>
        <v>46367</v>
      </c>
      <c r="B20" s="19" t="s">
        <v>960</v>
      </c>
      <c r="C20" s="19" t="s">
        <v>968</v>
      </c>
      <c r="D20" s="19" t="s">
        <v>969</v>
      </c>
      <c r="E20" s="19" t="s">
        <v>970</v>
      </c>
      <c r="F20" s="19" t="s">
        <v>971</v>
      </c>
      <c r="G20" s="19" t="s">
        <v>925</v>
      </c>
      <c r="H20" s="19" t="s">
        <v>926</v>
      </c>
      <c r="I20" s="19"/>
    </row>
    <row r="21" customFormat="false" ht="84.75" hidden="false" customHeight="true" outlineLevel="0" collapsed="false">
      <c r="A21" s="18" t="n">
        <f aca="false">TAKVİM!$B$23+(MATCH($G$5,{"Pazartesi","Salı","Çarşamba","Perşembe","Cuma"},0)-1)</f>
        <v>46374</v>
      </c>
      <c r="B21" s="19" t="s">
        <v>960</v>
      </c>
      <c r="C21" s="19" t="s">
        <v>968</v>
      </c>
      <c r="D21" s="19" t="s">
        <v>972</v>
      </c>
      <c r="E21" s="19" t="s">
        <v>973</v>
      </c>
      <c r="F21" s="19" t="s">
        <v>974</v>
      </c>
      <c r="G21" s="19" t="s">
        <v>925</v>
      </c>
      <c r="H21" s="19" t="s">
        <v>926</v>
      </c>
      <c r="I21" s="19"/>
    </row>
    <row r="22" customFormat="false" ht="84.75" hidden="false" customHeight="true" outlineLevel="0" collapsed="false">
      <c r="A22" s="18" t="n">
        <f aca="false">TAKVİM!$B$24+(MATCH($G$5,{"Pazartesi","Salı","Çarşamba","Perşembe","Cuma"},0)-1)</f>
        <v>46381</v>
      </c>
      <c r="B22" s="19" t="s">
        <v>960</v>
      </c>
      <c r="C22" s="19" t="s">
        <v>968</v>
      </c>
      <c r="D22" s="19" t="s">
        <v>975</v>
      </c>
      <c r="E22" s="19" t="s">
        <v>976</v>
      </c>
      <c r="F22" s="19" t="s">
        <v>977</v>
      </c>
      <c r="G22" s="19" t="s">
        <v>925</v>
      </c>
      <c r="H22" s="19" t="s">
        <v>926</v>
      </c>
      <c r="I22" s="19"/>
    </row>
    <row r="23" customFormat="false" ht="74.25" hidden="false" customHeight="true" outlineLevel="0" collapsed="false">
      <c r="A23" s="18" t="n">
        <f aca="false">TAKVİM!$B$25+(MATCH($G$5,{"Pazartesi","Salı","Çarşamba","Perşembe","Cuma"},0)-1)</f>
        <v>46388</v>
      </c>
      <c r="B23" s="19" t="s">
        <v>978</v>
      </c>
      <c r="C23" s="19" t="s">
        <v>979</v>
      </c>
      <c r="D23" s="19" t="s">
        <v>980</v>
      </c>
      <c r="E23" s="19" t="s">
        <v>981</v>
      </c>
      <c r="F23" s="19" t="s">
        <v>982</v>
      </c>
      <c r="G23" s="19" t="s">
        <v>925</v>
      </c>
      <c r="H23" s="19" t="s">
        <v>926</v>
      </c>
      <c r="I23" s="19"/>
    </row>
    <row r="24" customFormat="false" ht="74.25" hidden="false" customHeight="true" outlineLevel="0" collapsed="false">
      <c r="A24" s="18" t="n">
        <f aca="false">TAKVİM!$B$26+(MATCH($G$5,{"Pazartesi","Salı","Çarşamba","Perşembe","Cuma"},0)-1)</f>
        <v>46395</v>
      </c>
      <c r="B24" s="19" t="s">
        <v>983</v>
      </c>
      <c r="C24" s="19" t="s">
        <v>979</v>
      </c>
      <c r="D24" s="19" t="s">
        <v>984</v>
      </c>
      <c r="E24" s="19" t="s">
        <v>985</v>
      </c>
      <c r="F24" s="19" t="s">
        <v>986</v>
      </c>
      <c r="G24" s="19" t="s">
        <v>925</v>
      </c>
      <c r="H24" s="19" t="s">
        <v>926</v>
      </c>
      <c r="I24" s="19"/>
    </row>
    <row r="25" customFormat="false" ht="74.25" hidden="false" customHeight="true" outlineLevel="0" collapsed="false">
      <c r="A25" s="18" t="n">
        <f aca="false">TAKVİM!$B$27+(MATCH($G$5,{"Pazartesi","Salı","Çarşamba","Perşembe","Cuma"},0)-1)</f>
        <v>46402</v>
      </c>
      <c r="B25" s="19" t="s">
        <v>983</v>
      </c>
      <c r="C25" s="19" t="s">
        <v>987</v>
      </c>
      <c r="D25" s="19" t="s">
        <v>988</v>
      </c>
      <c r="E25" s="19" t="s">
        <v>989</v>
      </c>
      <c r="F25" s="19" t="s">
        <v>990</v>
      </c>
      <c r="G25" s="19" t="s">
        <v>925</v>
      </c>
      <c r="H25" s="19" t="s">
        <v>926</v>
      </c>
      <c r="I25" s="19"/>
    </row>
    <row r="26" customFormat="false" ht="74.25" hidden="false" customHeight="true" outlineLevel="0" collapsed="false">
      <c r="A26" s="18" t="n">
        <f aca="false">TAKVİM!$B$28+(MATCH($G$5,{"Pazartesi","Salı","Çarşamba","Perşembe","Cuma"},0)-1)</f>
        <v>46409</v>
      </c>
      <c r="B26" s="19" t="s">
        <v>983</v>
      </c>
      <c r="C26" s="19" t="s">
        <v>987</v>
      </c>
      <c r="D26" s="19" t="s">
        <v>991</v>
      </c>
      <c r="E26" s="19" t="s">
        <v>992</v>
      </c>
      <c r="F26" s="19" t="s">
        <v>993</v>
      </c>
      <c r="G26" s="19" t="s">
        <v>925</v>
      </c>
      <c r="H26" s="19" t="s">
        <v>926</v>
      </c>
      <c r="I26" s="19"/>
    </row>
    <row r="27" customFormat="false" ht="15" hidden="false" customHeight="true" outlineLevel="0" collapsed="false">
      <c r="A27" s="20" t="str">
        <f aca="false">TAKVİM!$C$29</f>
        <v>25-29 Ocak</v>
      </c>
      <c r="B27" s="20" t="s">
        <v>16</v>
      </c>
      <c r="C27" s="20"/>
      <c r="D27" s="20"/>
      <c r="E27" s="20"/>
      <c r="F27" s="20"/>
      <c r="G27" s="20"/>
      <c r="H27" s="20"/>
      <c r="I27" s="20"/>
    </row>
    <row r="28" customFormat="false" ht="84.75" hidden="false" customHeight="true" outlineLevel="0" collapsed="false">
      <c r="A28" s="18" t="n">
        <f aca="false">TAKVİM!$B$30+(MATCH($G$5,{"Pazartesi","Salı","Çarşamba","Perşembe","Cuma"},0)-1)</f>
        <v>46430</v>
      </c>
      <c r="B28" s="19" t="s">
        <v>994</v>
      </c>
      <c r="C28" s="19" t="s">
        <v>995</v>
      </c>
      <c r="D28" s="19" t="s">
        <v>996</v>
      </c>
      <c r="E28" s="19" t="s">
        <v>997</v>
      </c>
      <c r="F28" s="19" t="s">
        <v>998</v>
      </c>
      <c r="G28" s="19" t="s">
        <v>925</v>
      </c>
      <c r="H28" s="19" t="s">
        <v>926</v>
      </c>
      <c r="I28" s="19"/>
    </row>
    <row r="29" customFormat="false" ht="84.75" hidden="false" customHeight="true" outlineLevel="0" collapsed="false">
      <c r="A29" s="18" t="n">
        <f aca="false">TAKVİM!$B$31+(MATCH($G$5,{"Pazartesi","Salı","Çarşamba","Perşembe","Cuma"},0)-1)</f>
        <v>46437</v>
      </c>
      <c r="B29" s="19" t="s">
        <v>999</v>
      </c>
      <c r="C29" s="19" t="s">
        <v>1000</v>
      </c>
      <c r="D29" s="19" t="s">
        <v>1001</v>
      </c>
      <c r="E29" s="19" t="s">
        <v>1002</v>
      </c>
      <c r="F29" s="19" t="s">
        <v>1003</v>
      </c>
      <c r="G29" s="19" t="s">
        <v>925</v>
      </c>
      <c r="H29" s="19" t="s">
        <v>926</v>
      </c>
      <c r="I29" s="19"/>
    </row>
    <row r="30" customFormat="false" ht="84.75" hidden="false" customHeight="true" outlineLevel="0" collapsed="false">
      <c r="A30" s="18" t="n">
        <f aca="false">TAKVİM!$B$32+(MATCH($G$5,{"Pazartesi","Salı","Çarşamba","Perşembe","Cuma"},0)-1)</f>
        <v>46444</v>
      </c>
      <c r="B30" s="19" t="s">
        <v>1004</v>
      </c>
      <c r="C30" s="19" t="s">
        <v>1005</v>
      </c>
      <c r="D30" s="19" t="s">
        <v>1006</v>
      </c>
      <c r="E30" s="19" t="s">
        <v>1007</v>
      </c>
      <c r="F30" s="19" t="s">
        <v>1008</v>
      </c>
      <c r="G30" s="19" t="s">
        <v>925</v>
      </c>
      <c r="H30" s="19" t="s">
        <v>926</v>
      </c>
      <c r="I30" s="19"/>
    </row>
    <row r="31" customFormat="false" ht="84.75" hidden="false" customHeight="true" outlineLevel="0" collapsed="false">
      <c r="A31" s="18" t="n">
        <f aca="false">TAKVİM!$B$33+(MATCH($G$5,{"Pazartesi","Salı","Çarşamba","Perşembe","Cuma"},0)-1)</f>
        <v>46451</v>
      </c>
      <c r="B31" s="19" t="s">
        <v>1009</v>
      </c>
      <c r="C31" s="19" t="s">
        <v>1010</v>
      </c>
      <c r="D31" s="19" t="s">
        <v>1011</v>
      </c>
      <c r="E31" s="19" t="s">
        <v>1012</v>
      </c>
      <c r="F31" s="19" t="s">
        <v>1013</v>
      </c>
      <c r="G31" s="19" t="s">
        <v>925</v>
      </c>
      <c r="H31" s="19" t="s">
        <v>926</v>
      </c>
      <c r="I31" s="19"/>
    </row>
    <row r="32" customFormat="false" ht="15" hidden="false" customHeight="true" outlineLevel="0" collapsed="false">
      <c r="A32" s="20" t="str">
        <f aca="false">TAKVİM!$C$34</f>
        <v>08-12 Mart</v>
      </c>
      <c r="B32" s="20" t="s">
        <v>17</v>
      </c>
      <c r="C32" s="20"/>
      <c r="D32" s="20"/>
      <c r="E32" s="20"/>
      <c r="F32" s="20"/>
      <c r="G32" s="20"/>
      <c r="H32" s="20"/>
      <c r="I32" s="20"/>
    </row>
    <row r="33" customFormat="false" ht="84.75" hidden="false" customHeight="true" outlineLevel="0" collapsed="false">
      <c r="A33" s="18" t="n">
        <f aca="false">TAKVİM!$B$35+(MATCH($G$5,{"Pazartesi","Salı","Çarşamba","Perşembe","Cuma"},0)-1)</f>
        <v>46465</v>
      </c>
      <c r="B33" s="19" t="s">
        <v>1009</v>
      </c>
      <c r="C33" s="19" t="s">
        <v>1014</v>
      </c>
      <c r="D33" s="19" t="s">
        <v>1015</v>
      </c>
      <c r="E33" s="19" t="s">
        <v>1016</v>
      </c>
      <c r="F33" s="19" t="s">
        <v>1017</v>
      </c>
      <c r="G33" s="19" t="s">
        <v>925</v>
      </c>
      <c r="H33" s="19" t="s">
        <v>926</v>
      </c>
      <c r="I33" s="19"/>
    </row>
    <row r="34" customFormat="false" ht="84.75" hidden="false" customHeight="true" outlineLevel="0" collapsed="false">
      <c r="A34" s="18" t="n">
        <f aca="false">TAKVİM!$B$36+(MATCH($G$5,{"Pazartesi","Salı","Çarşamba","Perşembe","Cuma"},0)-1)</f>
        <v>46472</v>
      </c>
      <c r="B34" s="19" t="s">
        <v>1018</v>
      </c>
      <c r="C34" s="19" t="s">
        <v>1019</v>
      </c>
      <c r="D34" s="19" t="s">
        <v>1020</v>
      </c>
      <c r="E34" s="19" t="s">
        <v>1021</v>
      </c>
      <c r="F34" s="19" t="s">
        <v>1022</v>
      </c>
      <c r="G34" s="19" t="s">
        <v>925</v>
      </c>
      <c r="H34" s="19" t="s">
        <v>926</v>
      </c>
      <c r="I34" s="19"/>
    </row>
    <row r="35" customFormat="false" ht="74.25" hidden="false" customHeight="true" outlineLevel="0" collapsed="false">
      <c r="A35" s="18" t="n">
        <f aca="false">TAKVİM!$B$37+(MATCH($G$5,{"Pazartesi","Salı","Çarşamba","Perşembe","Cuma"},0)-1)</f>
        <v>46479</v>
      </c>
      <c r="B35" s="19" t="s">
        <v>1023</v>
      </c>
      <c r="C35" s="19" t="s">
        <v>1024</v>
      </c>
      <c r="D35" s="19" t="s">
        <v>1025</v>
      </c>
      <c r="E35" s="19" t="s">
        <v>1026</v>
      </c>
      <c r="F35" s="19" t="s">
        <v>1027</v>
      </c>
      <c r="G35" s="19" t="s">
        <v>925</v>
      </c>
      <c r="H35" s="19" t="s">
        <v>926</v>
      </c>
      <c r="I35" s="19"/>
    </row>
    <row r="36" customFormat="false" ht="74.25" hidden="false" customHeight="true" outlineLevel="0" collapsed="false">
      <c r="A36" s="18" t="n">
        <f aca="false">TAKVİM!$B$38+(MATCH($G$5,{"Pazartesi","Salı","Çarşamba","Perşembe","Cuma"},0)-1)</f>
        <v>46486</v>
      </c>
      <c r="B36" s="19" t="s">
        <v>1023</v>
      </c>
      <c r="C36" s="19" t="s">
        <v>1024</v>
      </c>
      <c r="D36" s="19" t="s">
        <v>1028</v>
      </c>
      <c r="E36" s="19" t="s">
        <v>1029</v>
      </c>
      <c r="F36" s="19" t="s">
        <v>1030</v>
      </c>
      <c r="G36" s="19" t="s">
        <v>925</v>
      </c>
      <c r="H36" s="19" t="s">
        <v>926</v>
      </c>
      <c r="I36" s="19"/>
    </row>
    <row r="37" customFormat="false" ht="105.75" hidden="false" customHeight="true" outlineLevel="0" collapsed="false">
      <c r="A37" s="18" t="n">
        <f aca="false">TAKVİM!$B$39+(MATCH($G$5,{"Pazartesi","Salı","Çarşamba","Perşembe","Cuma"},0)-1)</f>
        <v>46493</v>
      </c>
      <c r="B37" s="19" t="s">
        <v>1031</v>
      </c>
      <c r="C37" s="19" t="s">
        <v>1032</v>
      </c>
      <c r="D37" s="19" t="s">
        <v>1033</v>
      </c>
      <c r="E37" s="19" t="s">
        <v>1034</v>
      </c>
      <c r="F37" s="19" t="s">
        <v>1035</v>
      </c>
      <c r="G37" s="19" t="s">
        <v>925</v>
      </c>
      <c r="H37" s="19" t="s">
        <v>926</v>
      </c>
      <c r="I37" s="19"/>
    </row>
    <row r="38" customFormat="false" ht="84.75" hidden="false" customHeight="true" outlineLevel="0" collapsed="false">
      <c r="A38" s="18" t="n">
        <f aca="false">TAKVİM!$B$40+(MATCH($G$5,{"Pazartesi","Salı","Çarşamba","Perşembe","Cuma"},0)-1)</f>
        <v>46500</v>
      </c>
      <c r="B38" s="19" t="s">
        <v>1036</v>
      </c>
      <c r="C38" s="19" t="s">
        <v>1037</v>
      </c>
      <c r="D38" s="19" t="s">
        <v>1038</v>
      </c>
      <c r="E38" s="19" t="s">
        <v>1039</v>
      </c>
      <c r="F38" s="19" t="s">
        <v>1040</v>
      </c>
      <c r="G38" s="19" t="s">
        <v>925</v>
      </c>
      <c r="H38" s="19" t="s">
        <v>926</v>
      </c>
      <c r="I38" s="19"/>
    </row>
    <row r="39" customFormat="false" ht="74.25" hidden="false" customHeight="true" outlineLevel="0" collapsed="false">
      <c r="A39" s="18" t="n">
        <f aca="false">TAKVİM!$B$41+(MATCH($G$5,{"Pazartesi","Salı","Çarşamba","Perşembe","Cuma"},0)-1)</f>
        <v>46507</v>
      </c>
      <c r="B39" s="19" t="s">
        <v>1041</v>
      </c>
      <c r="C39" s="19" t="s">
        <v>1042</v>
      </c>
      <c r="D39" s="19" t="s">
        <v>1043</v>
      </c>
      <c r="E39" s="19" t="s">
        <v>1044</v>
      </c>
      <c r="F39" s="19" t="s">
        <v>1045</v>
      </c>
      <c r="G39" s="19" t="s">
        <v>925</v>
      </c>
      <c r="H39" s="19" t="s">
        <v>926</v>
      </c>
      <c r="I39" s="19"/>
    </row>
    <row r="40" customFormat="false" ht="74.25" hidden="false" customHeight="true" outlineLevel="0" collapsed="false">
      <c r="A40" s="18" t="n">
        <f aca="false">TAKVİM!$B$42+(MATCH($G$5,{"Pazartesi","Salı","Çarşamba","Perşembe","Cuma"},0)-1)</f>
        <v>46514</v>
      </c>
      <c r="B40" s="19" t="s">
        <v>1041</v>
      </c>
      <c r="C40" s="19" t="s">
        <v>1042</v>
      </c>
      <c r="D40" s="19" t="s">
        <v>1046</v>
      </c>
      <c r="E40" s="19" t="s">
        <v>1047</v>
      </c>
      <c r="F40" s="19" t="s">
        <v>1048</v>
      </c>
      <c r="G40" s="19" t="s">
        <v>925</v>
      </c>
      <c r="H40" s="19" t="s">
        <v>926</v>
      </c>
      <c r="I40" s="19"/>
    </row>
    <row r="41" customFormat="false" ht="95.25" hidden="false" customHeight="true" outlineLevel="0" collapsed="false">
      <c r="A41" s="18" t="n">
        <f aca="false">TAKVİM!$B$43+(MATCH($G$5,{"Pazartesi","Salı","Çarşamba","Perşembe","Cuma"},0)-1)</f>
        <v>46521</v>
      </c>
      <c r="B41" s="19" t="s">
        <v>1049</v>
      </c>
      <c r="C41" s="19" t="s">
        <v>1050</v>
      </c>
      <c r="D41" s="19" t="s">
        <v>1051</v>
      </c>
      <c r="E41" s="19" t="s">
        <v>1052</v>
      </c>
      <c r="F41" s="19" t="s">
        <v>1053</v>
      </c>
      <c r="G41" s="19" t="s">
        <v>925</v>
      </c>
      <c r="H41" s="19" t="s">
        <v>926</v>
      </c>
      <c r="I41" s="19"/>
    </row>
    <row r="42" customFormat="false" ht="74.25" hidden="false" customHeight="true" outlineLevel="0" collapsed="false">
      <c r="A42" s="18" t="n">
        <f aca="false">TAKVİM!$B$44+(MATCH($G$5,{"Pazartesi","Salı","Çarşamba","Perşembe","Cuma"},0)-1)</f>
        <v>46528</v>
      </c>
      <c r="B42" s="19" t="s">
        <v>1054</v>
      </c>
      <c r="C42" s="19" t="s">
        <v>1055</v>
      </c>
      <c r="D42" s="19" t="s">
        <v>1056</v>
      </c>
      <c r="E42" s="19" t="s">
        <v>1057</v>
      </c>
      <c r="F42" s="19" t="s">
        <v>1058</v>
      </c>
      <c r="G42" s="19" t="s">
        <v>925</v>
      </c>
      <c r="H42" s="19" t="s">
        <v>926</v>
      </c>
      <c r="I42" s="19"/>
    </row>
    <row r="43" customFormat="false" ht="74.25" hidden="false" customHeight="true" outlineLevel="0" collapsed="false">
      <c r="A43" s="18" t="n">
        <f aca="false">TAKVİM!$B$45+(MATCH($G$5,{"Pazartesi","Salı","Çarşamba","Perşembe","Cuma"},0)-1)</f>
        <v>46535</v>
      </c>
      <c r="B43" s="19" t="s">
        <v>1054</v>
      </c>
      <c r="C43" s="19" t="s">
        <v>1055</v>
      </c>
      <c r="D43" s="19" t="s">
        <v>1059</v>
      </c>
      <c r="E43" s="19" t="s">
        <v>1060</v>
      </c>
      <c r="F43" s="19" t="s">
        <v>1061</v>
      </c>
      <c r="G43" s="19" t="s">
        <v>925</v>
      </c>
      <c r="H43" s="19" t="s">
        <v>926</v>
      </c>
      <c r="I43" s="19"/>
    </row>
    <row r="44" customFormat="false" ht="95.25" hidden="false" customHeight="true" outlineLevel="0" collapsed="false">
      <c r="A44" s="18" t="n">
        <f aca="false">TAKVİM!$B$46+(MATCH($G$5,{"Pazartesi","Salı","Çarşamba","Perşembe","Cuma"},0)-1)</f>
        <v>46542</v>
      </c>
      <c r="B44" s="19" t="s">
        <v>1062</v>
      </c>
      <c r="C44" s="19" t="s">
        <v>1063</v>
      </c>
      <c r="D44" s="19" t="s">
        <v>1064</v>
      </c>
      <c r="E44" s="19" t="s">
        <v>1065</v>
      </c>
      <c r="F44" s="19" t="s">
        <v>1066</v>
      </c>
      <c r="G44" s="19" t="s">
        <v>925</v>
      </c>
      <c r="H44" s="19" t="s">
        <v>926</v>
      </c>
      <c r="I44" s="19"/>
    </row>
    <row r="45" customFormat="false" ht="74.25" hidden="false" customHeight="true" outlineLevel="0" collapsed="false">
      <c r="A45" s="18" t="n">
        <f aca="false">TAKVİM!$B$47+(MATCH($G$5,{"Pazartesi","Salı","Çarşamba","Perşembe","Cuma"},0)-1)</f>
        <v>46549</v>
      </c>
      <c r="B45" s="19" t="s">
        <v>1067</v>
      </c>
      <c r="C45" s="19" t="s">
        <v>1055</v>
      </c>
      <c r="D45" s="19" t="s">
        <v>1068</v>
      </c>
      <c r="E45" s="19" t="s">
        <v>1069</v>
      </c>
      <c r="F45" s="19" t="s">
        <v>1070</v>
      </c>
      <c r="G45" s="19" t="s">
        <v>925</v>
      </c>
      <c r="H45" s="19" t="s">
        <v>926</v>
      </c>
      <c r="I45" s="19"/>
    </row>
    <row r="46" customFormat="false" ht="74.25" hidden="false" customHeight="true" outlineLevel="0" collapsed="false">
      <c r="A46" s="18" t="n">
        <f aca="false">TAKVİM!$B$48+(MATCH($G$5,{"Pazartesi","Salı","Çarşamba","Perşembe","Cuma"},0)-1)</f>
        <v>46556</v>
      </c>
      <c r="B46" s="19" t="s">
        <v>1067</v>
      </c>
      <c r="C46" s="19" t="s">
        <v>1055</v>
      </c>
      <c r="D46" s="19" t="s">
        <v>1071</v>
      </c>
      <c r="E46" s="19" t="s">
        <v>1060</v>
      </c>
      <c r="F46" s="19" t="s">
        <v>1072</v>
      </c>
      <c r="G46" s="19" t="s">
        <v>925</v>
      </c>
      <c r="H46" s="19" t="s">
        <v>926</v>
      </c>
      <c r="I46" s="19"/>
    </row>
    <row r="47" customFormat="false" ht="74.25" hidden="false" customHeight="true" outlineLevel="0" collapsed="false">
      <c r="A47" s="18" t="n">
        <f aca="false">TAKVİM!$B$49+(MATCH($G$5,{"Pazartesi","Salı","Çarşamba","Perşembe","Cuma"},0)-1)</f>
        <v>46563</v>
      </c>
      <c r="B47" s="19" t="s">
        <v>1067</v>
      </c>
      <c r="C47" s="19" t="s">
        <v>1055</v>
      </c>
      <c r="D47" s="19" t="s">
        <v>1073</v>
      </c>
      <c r="E47" s="19" t="s">
        <v>1074</v>
      </c>
      <c r="F47" s="19" t="s">
        <v>1075</v>
      </c>
      <c r="G47" s="19" t="s">
        <v>925</v>
      </c>
      <c r="H47" s="19" t="s">
        <v>926</v>
      </c>
      <c r="I47" s="19"/>
    </row>
    <row r="51" customFormat="false" ht="15" hidden="false" customHeight="true" outlineLevel="0" collapsed="false">
      <c r="A51" s="21" t="s">
        <v>28</v>
      </c>
      <c r="B51" s="21"/>
      <c r="C51" s="21"/>
      <c r="D51" s="21"/>
      <c r="F51" s="21" t="s">
        <v>210</v>
      </c>
      <c r="G51" s="21"/>
      <c r="H51" s="21"/>
      <c r="I51" s="21"/>
    </row>
    <row r="52" customFormat="false" ht="15" hidden="false" customHeight="true" outlineLevel="0" collapsed="false">
      <c r="A52" s="22" t="s">
        <v>211</v>
      </c>
      <c r="B52" s="22"/>
      <c r="C52" s="22"/>
      <c r="D52" s="22"/>
      <c r="F52" s="22" t="s">
        <v>212</v>
      </c>
      <c r="G52" s="22"/>
      <c r="H52" s="22"/>
      <c r="I52" s="22"/>
    </row>
    <row r="54" customFormat="false" ht="15" hidden="false" customHeight="true" outlineLevel="0" collapsed="false">
      <c r="A54" s="22" t="s">
        <v>213</v>
      </c>
      <c r="B54" s="22"/>
      <c r="C54" s="22"/>
      <c r="D54" s="22"/>
      <c r="F54" s="21" t="s">
        <v>214</v>
      </c>
      <c r="G54" s="21"/>
      <c r="H54" s="21"/>
      <c r="I54" s="21"/>
    </row>
  </sheetData>
  <mergeCells count="15">
    <mergeCell ref="C1:G1"/>
    <mergeCell ref="B3:D3"/>
    <mergeCell ref="G3:I3"/>
    <mergeCell ref="B4:D4"/>
    <mergeCell ref="G4:I4"/>
    <mergeCell ref="B5:D5"/>
    <mergeCell ref="B17:I17"/>
    <mergeCell ref="B27:I27"/>
    <mergeCell ref="B32:I32"/>
    <mergeCell ref="A51:D51"/>
    <mergeCell ref="F51:I51"/>
    <mergeCell ref="A52:D52"/>
    <mergeCell ref="F52:I52"/>
    <mergeCell ref="A54:D54"/>
    <mergeCell ref="F54:I54"/>
  </mergeCells>
  <dataValidations count="1">
    <dataValidation allowBlank="false" errorStyle="stop" operator="between" showDropDown="false" showErrorMessage="false" showInputMessage="false" sqref="G5" type="list">
      <formula1>"Pazartesi,Salı,Çarşamba,Perşembe,Cuma"</formula1>
      <formula2>0</formula2>
    </dataValidation>
  </dataValidation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4" min="3" style="1" width="26"/>
    <col collapsed="false" customWidth="true" hidden="false" outlineLevel="0" max="5" min="5" style="1" width="34"/>
    <col collapsed="false" customWidth="true" hidden="false" outlineLevel="0" max="6" min="6" style="1" width="22"/>
    <col collapsed="false" customWidth="true" hidden="false" outlineLevel="0" max="7" min="7" style="1" width="18"/>
    <col collapsed="false" customWidth="true" hidden="false" outlineLevel="0" max="8" min="8" style="1" width="22"/>
    <col collapsed="false" customWidth="true" hidden="false" outlineLevel="0" max="9" min="9" style="1" width="18"/>
  </cols>
  <sheetData>
    <row r="1" customFormat="false" ht="75" hidden="false" customHeight="true" outlineLevel="0" collapsed="false">
      <c r="C1" s="15" t="s">
        <v>18</v>
      </c>
      <c r="D1" s="15"/>
      <c r="E1" s="15"/>
      <c r="F1" s="15"/>
      <c r="G1" s="15"/>
    </row>
    <row r="3" customFormat="false" ht="15" hidden="false" customHeight="true" outlineLevel="0" collapsed="false">
      <c r="A3" s="3" t="s">
        <v>19</v>
      </c>
      <c r="B3" s="16" t="s">
        <v>1076</v>
      </c>
      <c r="C3" s="16"/>
      <c r="D3" s="16"/>
      <c r="F3" s="3" t="s">
        <v>21</v>
      </c>
      <c r="G3" s="16" t="s">
        <v>564</v>
      </c>
      <c r="H3" s="16"/>
      <c r="I3" s="16"/>
    </row>
    <row r="4" customFormat="false" ht="15" hidden="false" customHeight="true" outlineLevel="0" collapsed="false">
      <c r="A4" s="3" t="s">
        <v>23</v>
      </c>
      <c r="B4" s="16" t="s">
        <v>565</v>
      </c>
      <c r="C4" s="16"/>
      <c r="D4" s="16"/>
      <c r="F4" s="3" t="s">
        <v>25</v>
      </c>
      <c r="G4" s="16" t="s">
        <v>26</v>
      </c>
      <c r="H4" s="16"/>
      <c r="I4" s="16"/>
    </row>
    <row r="5" customFormat="false" ht="15" hidden="false" customHeight="true" outlineLevel="0" collapsed="false">
      <c r="A5" s="3" t="s">
        <v>27</v>
      </c>
      <c r="B5" s="16" t="s">
        <v>28</v>
      </c>
      <c r="C5" s="16"/>
      <c r="D5" s="16"/>
      <c r="F5" s="3" t="s">
        <v>29</v>
      </c>
      <c r="G5" s="4" t="s">
        <v>30</v>
      </c>
    </row>
    <row r="7" customFormat="false" ht="23.25" hidden="false" customHeight="true" outlineLevel="0" collapsed="false">
      <c r="A7" s="17" t="s">
        <v>31</v>
      </c>
      <c r="B7" s="17" t="s">
        <v>32</v>
      </c>
      <c r="C7" s="17" t="s">
        <v>33</v>
      </c>
      <c r="D7" s="17" t="s">
        <v>34</v>
      </c>
      <c r="E7" s="17" t="s">
        <v>35</v>
      </c>
      <c r="F7" s="17" t="s">
        <v>36</v>
      </c>
      <c r="G7" s="17" t="s">
        <v>37</v>
      </c>
      <c r="H7" s="17" t="s">
        <v>38</v>
      </c>
      <c r="I7" s="17" t="s">
        <v>39</v>
      </c>
    </row>
    <row r="8" customFormat="false" ht="116.25" hidden="false" customHeight="true" outlineLevel="0" collapsed="false">
      <c r="A8" s="18" t="n">
        <f aca="false">TAKVİM!$B$10+(MATCH($G$5,{"Pazartesi","Salı","Çarşamba","Perşembe","Cuma"},0)-1)</f>
        <v>46283</v>
      </c>
      <c r="B8" s="19" t="s">
        <v>1077</v>
      </c>
      <c r="C8" s="19" t="s">
        <v>1078</v>
      </c>
      <c r="D8" s="19" t="s">
        <v>1079</v>
      </c>
      <c r="E8" s="19" t="s">
        <v>1080</v>
      </c>
      <c r="F8" s="19" t="s">
        <v>1081</v>
      </c>
      <c r="G8" s="19" t="s">
        <v>1082</v>
      </c>
      <c r="H8" s="19" t="s">
        <v>1083</v>
      </c>
      <c r="I8" s="19"/>
    </row>
    <row r="9" customFormat="false" ht="105.75" hidden="false" customHeight="true" outlineLevel="0" collapsed="false">
      <c r="A9" s="18" t="n">
        <f aca="false">TAKVİM!$B$11+(MATCH($G$5,{"Pazartesi","Salı","Çarşamba","Perşembe","Cuma"},0)-1)</f>
        <v>46290</v>
      </c>
      <c r="B9" s="19" t="s">
        <v>1084</v>
      </c>
      <c r="C9" s="19" t="s">
        <v>1085</v>
      </c>
      <c r="D9" s="19" t="s">
        <v>1086</v>
      </c>
      <c r="E9" s="19" t="s">
        <v>1087</v>
      </c>
      <c r="F9" s="19" t="s">
        <v>1088</v>
      </c>
      <c r="G9" s="19" t="s">
        <v>1082</v>
      </c>
      <c r="H9" s="19" t="s">
        <v>1083</v>
      </c>
      <c r="I9" s="19"/>
    </row>
    <row r="10" customFormat="false" ht="95.25" hidden="false" customHeight="true" outlineLevel="0" collapsed="false">
      <c r="A10" s="18" t="n">
        <f aca="false">TAKVİM!$B$12+(MATCH($G$5,{"Pazartesi","Salı","Çarşamba","Perşembe","Cuma"},0)-1)</f>
        <v>46297</v>
      </c>
      <c r="B10" s="19" t="s">
        <v>1089</v>
      </c>
      <c r="C10" s="19" t="s">
        <v>1090</v>
      </c>
      <c r="D10" s="19" t="s">
        <v>1091</v>
      </c>
      <c r="E10" s="19" t="s">
        <v>1092</v>
      </c>
      <c r="F10" s="19" t="s">
        <v>1093</v>
      </c>
      <c r="G10" s="19" t="s">
        <v>1082</v>
      </c>
      <c r="H10" s="19" t="s">
        <v>1083</v>
      </c>
      <c r="I10" s="19"/>
    </row>
    <row r="11" customFormat="false" ht="74.25" hidden="false" customHeight="true" outlineLevel="0" collapsed="false">
      <c r="A11" s="18" t="n">
        <f aca="false">TAKVİM!$B$13+(MATCH($G$5,{"Pazartesi","Salı","Çarşamba","Perşembe","Cuma"},0)-1)</f>
        <v>46304</v>
      </c>
      <c r="B11" s="19" t="s">
        <v>1094</v>
      </c>
      <c r="C11" s="19" t="s">
        <v>1095</v>
      </c>
      <c r="D11" s="19" t="s">
        <v>1096</v>
      </c>
      <c r="E11" s="19" t="s">
        <v>1097</v>
      </c>
      <c r="F11" s="19" t="s">
        <v>1098</v>
      </c>
      <c r="G11" s="19" t="s">
        <v>1082</v>
      </c>
      <c r="H11" s="19" t="s">
        <v>1083</v>
      </c>
      <c r="I11" s="19"/>
    </row>
    <row r="12" customFormat="false" ht="95.25" hidden="false" customHeight="true" outlineLevel="0" collapsed="false">
      <c r="A12" s="18" t="n">
        <f aca="false">TAKVİM!$B$14+(MATCH($G$5,{"Pazartesi","Salı","Çarşamba","Perşembe","Cuma"},0)-1)</f>
        <v>46311</v>
      </c>
      <c r="B12" s="19" t="s">
        <v>1094</v>
      </c>
      <c r="C12" s="19" t="s">
        <v>1099</v>
      </c>
      <c r="D12" s="19" t="s">
        <v>1100</v>
      </c>
      <c r="E12" s="19" t="s">
        <v>1101</v>
      </c>
      <c r="F12" s="19" t="s">
        <v>1102</v>
      </c>
      <c r="G12" s="19" t="s">
        <v>1082</v>
      </c>
      <c r="H12" s="19" t="s">
        <v>1083</v>
      </c>
      <c r="I12" s="19"/>
    </row>
    <row r="13" customFormat="false" ht="105.75" hidden="false" customHeight="true" outlineLevel="0" collapsed="false">
      <c r="A13" s="18" t="n">
        <f aca="false">TAKVİM!$B$15+(MATCH($G$5,{"Pazartesi","Salı","Çarşamba","Perşembe","Cuma"},0)-1)</f>
        <v>46318</v>
      </c>
      <c r="B13" s="19" t="s">
        <v>1089</v>
      </c>
      <c r="C13" s="19" t="s">
        <v>1103</v>
      </c>
      <c r="D13" s="19" t="s">
        <v>1104</v>
      </c>
      <c r="E13" s="19" t="s">
        <v>1105</v>
      </c>
      <c r="F13" s="19" t="s">
        <v>1106</v>
      </c>
      <c r="G13" s="19" t="s">
        <v>1082</v>
      </c>
      <c r="H13" s="19" t="s">
        <v>1083</v>
      </c>
      <c r="I13" s="19"/>
    </row>
    <row r="14" customFormat="false" ht="95.25" hidden="false" customHeight="true" outlineLevel="0" collapsed="false">
      <c r="A14" s="18" t="n">
        <f aca="false">TAKVİM!$B$16+(MATCH($G$5,{"Pazartesi","Salı","Çarşamba","Perşembe","Cuma"},0)-1)</f>
        <v>46325</v>
      </c>
      <c r="B14" s="19" t="s">
        <v>1107</v>
      </c>
      <c r="C14" s="19" t="s">
        <v>1108</v>
      </c>
      <c r="D14" s="19" t="s">
        <v>1109</v>
      </c>
      <c r="E14" s="19" t="s">
        <v>1110</v>
      </c>
      <c r="F14" s="19" t="s">
        <v>1111</v>
      </c>
      <c r="G14" s="19" t="s">
        <v>1082</v>
      </c>
      <c r="H14" s="19" t="s">
        <v>1083</v>
      </c>
      <c r="I14" s="19"/>
    </row>
    <row r="15" customFormat="false" ht="74.25" hidden="false" customHeight="true" outlineLevel="0" collapsed="false">
      <c r="A15" s="18" t="n">
        <f aca="false">TAKVİM!$B$17+(MATCH($G$5,{"Pazartesi","Salı","Çarşamba","Perşembe","Cuma"},0)-1)</f>
        <v>46332</v>
      </c>
      <c r="B15" s="19" t="s">
        <v>1112</v>
      </c>
      <c r="C15" s="19" t="s">
        <v>1113</v>
      </c>
      <c r="D15" s="19" t="s">
        <v>1114</v>
      </c>
      <c r="E15" s="19" t="s">
        <v>1115</v>
      </c>
      <c r="F15" s="19" t="s">
        <v>1116</v>
      </c>
      <c r="G15" s="19" t="s">
        <v>1082</v>
      </c>
      <c r="H15" s="19" t="s">
        <v>1083</v>
      </c>
      <c r="I15" s="19"/>
    </row>
    <row r="16" customFormat="false" ht="84.75" hidden="false" customHeight="true" outlineLevel="0" collapsed="false">
      <c r="A16" s="18" t="n">
        <f aca="false">TAKVİM!$B$18+(MATCH($G$5,{"Pazartesi","Salı","Çarşamba","Perşembe","Cuma"},0)-1)</f>
        <v>46339</v>
      </c>
      <c r="B16" s="19" t="s">
        <v>1112</v>
      </c>
      <c r="C16" s="19" t="s">
        <v>1117</v>
      </c>
      <c r="D16" s="19" t="s">
        <v>1118</v>
      </c>
      <c r="E16" s="19" t="s">
        <v>1119</v>
      </c>
      <c r="F16" s="19" t="s">
        <v>1120</v>
      </c>
      <c r="G16" s="19" t="s">
        <v>1082</v>
      </c>
      <c r="H16" s="19" t="s">
        <v>1083</v>
      </c>
      <c r="I16" s="19"/>
    </row>
    <row r="17" customFormat="false" ht="15" hidden="false" customHeight="true" outlineLevel="0" collapsed="false">
      <c r="A17" s="20" t="str">
        <f aca="false">TAKVİM!$C$19</f>
        <v>16-20 Kasım</v>
      </c>
      <c r="B17" s="20" t="s">
        <v>15</v>
      </c>
      <c r="C17" s="20"/>
      <c r="D17" s="20"/>
      <c r="E17" s="20"/>
      <c r="F17" s="20"/>
      <c r="G17" s="20"/>
      <c r="H17" s="20"/>
      <c r="I17" s="20"/>
    </row>
    <row r="18" customFormat="false" ht="74.25" hidden="false" customHeight="true" outlineLevel="0" collapsed="false">
      <c r="A18" s="18" t="n">
        <f aca="false">TAKVİM!$B$20+(MATCH($G$5,{"Pazartesi","Salı","Çarşamba","Perşembe","Cuma"},0)-1)</f>
        <v>46353</v>
      </c>
      <c r="B18" s="19" t="s">
        <v>1121</v>
      </c>
      <c r="C18" s="19" t="s">
        <v>1122</v>
      </c>
      <c r="D18" s="19" t="s">
        <v>1123</v>
      </c>
      <c r="E18" s="19" t="s">
        <v>1124</v>
      </c>
      <c r="F18" s="19" t="s">
        <v>1125</v>
      </c>
      <c r="G18" s="19" t="s">
        <v>1082</v>
      </c>
      <c r="H18" s="19" t="s">
        <v>1083</v>
      </c>
      <c r="I18" s="19"/>
    </row>
    <row r="19" customFormat="false" ht="74.25" hidden="false" customHeight="true" outlineLevel="0" collapsed="false">
      <c r="A19" s="18" t="n">
        <f aca="false">TAKVİM!$B$21+(MATCH($G$5,{"Pazartesi","Salı","Çarşamba","Perşembe","Cuma"},0)-1)</f>
        <v>46360</v>
      </c>
      <c r="B19" s="19" t="s">
        <v>1121</v>
      </c>
      <c r="C19" s="19" t="s">
        <v>1122</v>
      </c>
      <c r="D19" s="19" t="s">
        <v>1126</v>
      </c>
      <c r="E19" s="19" t="s">
        <v>1127</v>
      </c>
      <c r="F19" s="19" t="s">
        <v>1128</v>
      </c>
      <c r="G19" s="19" t="s">
        <v>1082</v>
      </c>
      <c r="H19" s="19" t="s">
        <v>1083</v>
      </c>
      <c r="I19" s="19"/>
    </row>
    <row r="20" customFormat="false" ht="74.25" hidden="false" customHeight="true" outlineLevel="0" collapsed="false">
      <c r="A20" s="18" t="n">
        <f aca="false">TAKVİM!$B$22+(MATCH($G$5,{"Pazartesi","Salı","Çarşamba","Perşembe","Cuma"},0)-1)</f>
        <v>46367</v>
      </c>
      <c r="B20" s="19" t="s">
        <v>1129</v>
      </c>
      <c r="C20" s="19" t="s">
        <v>1130</v>
      </c>
      <c r="D20" s="19" t="s">
        <v>1131</v>
      </c>
      <c r="E20" s="19" t="s">
        <v>1132</v>
      </c>
      <c r="F20" s="19" t="s">
        <v>1133</v>
      </c>
      <c r="G20" s="19" t="s">
        <v>1082</v>
      </c>
      <c r="H20" s="19" t="s">
        <v>1083</v>
      </c>
      <c r="I20" s="19"/>
    </row>
    <row r="21" customFormat="false" ht="74.25" hidden="false" customHeight="true" outlineLevel="0" collapsed="false">
      <c r="A21" s="18" t="n">
        <f aca="false">TAKVİM!$B$23+(MATCH($G$5,{"Pazartesi","Salı","Çarşamba","Perşembe","Cuma"},0)-1)</f>
        <v>46374</v>
      </c>
      <c r="B21" s="19" t="s">
        <v>1129</v>
      </c>
      <c r="C21" s="19" t="s">
        <v>1130</v>
      </c>
      <c r="D21" s="19" t="s">
        <v>1134</v>
      </c>
      <c r="E21" s="19" t="s">
        <v>1135</v>
      </c>
      <c r="F21" s="19" t="s">
        <v>1136</v>
      </c>
      <c r="G21" s="19" t="s">
        <v>1082</v>
      </c>
      <c r="H21" s="19" t="s">
        <v>1083</v>
      </c>
      <c r="I21" s="19"/>
    </row>
    <row r="22" customFormat="false" ht="74.25" hidden="false" customHeight="true" outlineLevel="0" collapsed="false">
      <c r="A22" s="18" t="n">
        <f aca="false">TAKVİM!$B$24+(MATCH($G$5,{"Pazartesi","Salı","Çarşamba","Perşembe","Cuma"},0)-1)</f>
        <v>46381</v>
      </c>
      <c r="B22" s="19" t="s">
        <v>1129</v>
      </c>
      <c r="C22" s="19" t="s">
        <v>1130</v>
      </c>
      <c r="D22" s="19" t="s">
        <v>1137</v>
      </c>
      <c r="E22" s="19" t="s">
        <v>1138</v>
      </c>
      <c r="F22" s="19" t="s">
        <v>1139</v>
      </c>
      <c r="G22" s="19" t="s">
        <v>1082</v>
      </c>
      <c r="H22" s="19" t="s">
        <v>1083</v>
      </c>
      <c r="I22" s="19"/>
    </row>
    <row r="23" customFormat="false" ht="105.75" hidden="false" customHeight="true" outlineLevel="0" collapsed="false">
      <c r="A23" s="18" t="n">
        <f aca="false">TAKVİM!$B$25+(MATCH($G$5,{"Pazartesi","Salı","Çarşamba","Perşembe","Cuma"},0)-1)</f>
        <v>46388</v>
      </c>
      <c r="B23" s="19" t="s">
        <v>1140</v>
      </c>
      <c r="C23" s="19" t="s">
        <v>1141</v>
      </c>
      <c r="D23" s="19" t="s">
        <v>1142</v>
      </c>
      <c r="E23" s="19" t="s">
        <v>1143</v>
      </c>
      <c r="F23" s="19" t="s">
        <v>654</v>
      </c>
      <c r="G23" s="19" t="s">
        <v>1082</v>
      </c>
      <c r="H23" s="19" t="s">
        <v>1083</v>
      </c>
      <c r="I23" s="19"/>
    </row>
    <row r="24" customFormat="false" ht="105.75" hidden="false" customHeight="true" outlineLevel="0" collapsed="false">
      <c r="A24" s="18" t="n">
        <f aca="false">TAKVİM!$B$26+(MATCH($G$5,{"Pazartesi","Salı","Çarşamba","Perşembe","Cuma"},0)-1)</f>
        <v>46395</v>
      </c>
      <c r="B24" s="19" t="s">
        <v>1144</v>
      </c>
      <c r="C24" s="19" t="s">
        <v>1145</v>
      </c>
      <c r="D24" s="19" t="s">
        <v>1146</v>
      </c>
      <c r="E24" s="19" t="s">
        <v>1147</v>
      </c>
      <c r="F24" s="19" t="s">
        <v>1148</v>
      </c>
      <c r="G24" s="19" t="s">
        <v>1082</v>
      </c>
      <c r="H24" s="19" t="s">
        <v>1083</v>
      </c>
      <c r="I24" s="19"/>
    </row>
    <row r="25" customFormat="false" ht="105.75" hidden="false" customHeight="true" outlineLevel="0" collapsed="false">
      <c r="A25" s="18" t="n">
        <f aca="false">TAKVİM!$B$27+(MATCH($G$5,{"Pazartesi","Salı","Çarşamba","Perşembe","Cuma"},0)-1)</f>
        <v>46402</v>
      </c>
      <c r="B25" s="19" t="s">
        <v>1144</v>
      </c>
      <c r="C25" s="19" t="s">
        <v>1149</v>
      </c>
      <c r="D25" s="19" t="s">
        <v>1150</v>
      </c>
      <c r="E25" s="19" t="s">
        <v>1151</v>
      </c>
      <c r="F25" s="19" t="s">
        <v>1152</v>
      </c>
      <c r="G25" s="19" t="s">
        <v>1082</v>
      </c>
      <c r="H25" s="19" t="s">
        <v>1083</v>
      </c>
      <c r="I25" s="19"/>
    </row>
    <row r="26" customFormat="false" ht="84.75" hidden="false" customHeight="true" outlineLevel="0" collapsed="false">
      <c r="A26" s="18" t="n">
        <f aca="false">TAKVİM!$B$28+(MATCH($G$5,{"Pazartesi","Salı","Çarşamba","Perşembe","Cuma"},0)-1)</f>
        <v>46409</v>
      </c>
      <c r="B26" s="19" t="s">
        <v>1153</v>
      </c>
      <c r="C26" s="19" t="s">
        <v>1154</v>
      </c>
      <c r="D26" s="19" t="s">
        <v>1155</v>
      </c>
      <c r="E26" s="19" t="s">
        <v>1156</v>
      </c>
      <c r="F26" s="19" t="s">
        <v>1157</v>
      </c>
      <c r="G26" s="19" t="s">
        <v>1082</v>
      </c>
      <c r="H26" s="19" t="s">
        <v>1083</v>
      </c>
      <c r="I26" s="19"/>
    </row>
    <row r="27" customFormat="false" ht="15" hidden="false" customHeight="true" outlineLevel="0" collapsed="false">
      <c r="A27" s="20" t="str">
        <f aca="false">TAKVİM!$C$29</f>
        <v>25-29 Ocak</v>
      </c>
      <c r="B27" s="20" t="s">
        <v>16</v>
      </c>
      <c r="C27" s="20"/>
      <c r="D27" s="20"/>
      <c r="E27" s="20"/>
      <c r="F27" s="20"/>
      <c r="G27" s="20"/>
      <c r="H27" s="20"/>
      <c r="I27" s="20"/>
    </row>
    <row r="28" customFormat="false" ht="95.25" hidden="false" customHeight="true" outlineLevel="0" collapsed="false">
      <c r="A28" s="18" t="n">
        <f aca="false">TAKVİM!$B$30+(MATCH($G$5,{"Pazartesi","Salı","Çarşamba","Perşembe","Cuma"},0)-1)</f>
        <v>46430</v>
      </c>
      <c r="B28" s="19" t="s">
        <v>1158</v>
      </c>
      <c r="C28" s="19" t="s">
        <v>1159</v>
      </c>
      <c r="D28" s="19" t="s">
        <v>1160</v>
      </c>
      <c r="E28" s="19" t="s">
        <v>1161</v>
      </c>
      <c r="F28" s="19" t="s">
        <v>1162</v>
      </c>
      <c r="G28" s="19" t="s">
        <v>1082</v>
      </c>
      <c r="H28" s="19" t="s">
        <v>1083</v>
      </c>
      <c r="I28" s="19"/>
    </row>
    <row r="29" customFormat="false" ht="74.25" hidden="false" customHeight="true" outlineLevel="0" collapsed="false">
      <c r="A29" s="18" t="n">
        <f aca="false">TAKVİM!$B$31+(MATCH($G$5,{"Pazartesi","Salı","Çarşamba","Perşembe","Cuma"},0)-1)</f>
        <v>46437</v>
      </c>
      <c r="B29" s="19" t="s">
        <v>1163</v>
      </c>
      <c r="C29" s="19" t="s">
        <v>1164</v>
      </c>
      <c r="D29" s="19" t="s">
        <v>1165</v>
      </c>
      <c r="E29" s="19" t="s">
        <v>1166</v>
      </c>
      <c r="F29" s="19" t="s">
        <v>1167</v>
      </c>
      <c r="G29" s="19" t="s">
        <v>1082</v>
      </c>
      <c r="H29" s="19" t="s">
        <v>1083</v>
      </c>
      <c r="I29" s="19"/>
    </row>
    <row r="30" customFormat="false" ht="84.75" hidden="false" customHeight="true" outlineLevel="0" collapsed="false">
      <c r="A30" s="18" t="n">
        <f aca="false">TAKVİM!$B$32+(MATCH($G$5,{"Pazartesi","Salı","Çarşamba","Perşembe","Cuma"},0)-1)</f>
        <v>46444</v>
      </c>
      <c r="B30" s="19" t="s">
        <v>1168</v>
      </c>
      <c r="C30" s="19" t="s">
        <v>1169</v>
      </c>
      <c r="D30" s="19" t="s">
        <v>1170</v>
      </c>
      <c r="E30" s="19" t="s">
        <v>1171</v>
      </c>
      <c r="F30" s="19" t="s">
        <v>1162</v>
      </c>
      <c r="G30" s="19" t="s">
        <v>1082</v>
      </c>
      <c r="H30" s="19" t="s">
        <v>1083</v>
      </c>
      <c r="I30" s="19"/>
    </row>
    <row r="31" customFormat="false" ht="74.25" hidden="false" customHeight="true" outlineLevel="0" collapsed="false">
      <c r="A31" s="18" t="n">
        <f aca="false">TAKVİM!$B$33+(MATCH($G$5,{"Pazartesi","Salı","Çarşamba","Perşembe","Cuma"},0)-1)</f>
        <v>46451</v>
      </c>
      <c r="B31" s="19" t="s">
        <v>1168</v>
      </c>
      <c r="C31" s="19" t="s">
        <v>1172</v>
      </c>
      <c r="D31" s="19" t="s">
        <v>1173</v>
      </c>
      <c r="E31" s="19" t="s">
        <v>1174</v>
      </c>
      <c r="F31" s="19" t="s">
        <v>1175</v>
      </c>
      <c r="G31" s="19" t="s">
        <v>1082</v>
      </c>
      <c r="H31" s="19" t="s">
        <v>1083</v>
      </c>
      <c r="I31" s="19"/>
    </row>
    <row r="32" customFormat="false" ht="15" hidden="false" customHeight="true" outlineLevel="0" collapsed="false">
      <c r="A32" s="20" t="str">
        <f aca="false">TAKVİM!$C$34</f>
        <v>08-12 Mart</v>
      </c>
      <c r="B32" s="20" t="s">
        <v>17</v>
      </c>
      <c r="C32" s="20"/>
      <c r="D32" s="20"/>
      <c r="E32" s="20"/>
      <c r="F32" s="20"/>
      <c r="G32" s="20"/>
      <c r="H32" s="20"/>
      <c r="I32" s="20"/>
    </row>
    <row r="33" customFormat="false" ht="95.25" hidden="false" customHeight="true" outlineLevel="0" collapsed="false">
      <c r="A33" s="18" t="n">
        <f aca="false">TAKVİM!$B$35+(MATCH($G$5,{"Pazartesi","Salı","Çarşamba","Perşembe","Cuma"},0)-1)</f>
        <v>46465</v>
      </c>
      <c r="B33" s="19" t="s">
        <v>1176</v>
      </c>
      <c r="C33" s="19" t="s">
        <v>1177</v>
      </c>
      <c r="D33" s="19" t="s">
        <v>1178</v>
      </c>
      <c r="E33" s="19" t="s">
        <v>1179</v>
      </c>
      <c r="F33" s="19" t="s">
        <v>1180</v>
      </c>
      <c r="G33" s="19" t="s">
        <v>1082</v>
      </c>
      <c r="H33" s="19" t="s">
        <v>1083</v>
      </c>
      <c r="I33" s="19"/>
    </row>
    <row r="34" customFormat="false" ht="84.75" hidden="false" customHeight="true" outlineLevel="0" collapsed="false">
      <c r="A34" s="18" t="n">
        <f aca="false">TAKVİM!$B$36+(MATCH($G$5,{"Pazartesi","Salı","Çarşamba","Perşembe","Cuma"},0)-1)</f>
        <v>46472</v>
      </c>
      <c r="B34" s="19" t="s">
        <v>1181</v>
      </c>
      <c r="C34" s="19" t="s">
        <v>1177</v>
      </c>
      <c r="D34" s="19" t="s">
        <v>1182</v>
      </c>
      <c r="E34" s="19" t="s">
        <v>1183</v>
      </c>
      <c r="F34" s="19" t="s">
        <v>1184</v>
      </c>
      <c r="G34" s="19" t="s">
        <v>1082</v>
      </c>
      <c r="H34" s="19" t="s">
        <v>1083</v>
      </c>
      <c r="I34" s="19"/>
    </row>
    <row r="35" customFormat="false" ht="74.25" hidden="false" customHeight="true" outlineLevel="0" collapsed="false">
      <c r="A35" s="18" t="n">
        <f aca="false">TAKVİM!$B$37+(MATCH($G$5,{"Pazartesi","Salı","Çarşamba","Perşembe","Cuma"},0)-1)</f>
        <v>46479</v>
      </c>
      <c r="B35" s="19" t="s">
        <v>1185</v>
      </c>
      <c r="C35" s="19" t="s">
        <v>1186</v>
      </c>
      <c r="D35" s="19" t="s">
        <v>1187</v>
      </c>
      <c r="E35" s="19" t="s">
        <v>1188</v>
      </c>
      <c r="F35" s="19" t="s">
        <v>1189</v>
      </c>
      <c r="G35" s="19" t="s">
        <v>1082</v>
      </c>
      <c r="H35" s="19" t="s">
        <v>1083</v>
      </c>
      <c r="I35" s="19"/>
    </row>
    <row r="36" customFormat="false" ht="74.25" hidden="false" customHeight="true" outlineLevel="0" collapsed="false">
      <c r="A36" s="18" t="n">
        <f aca="false">TAKVİM!$B$38+(MATCH($G$5,{"Pazartesi","Salı","Çarşamba","Perşembe","Cuma"},0)-1)</f>
        <v>46486</v>
      </c>
      <c r="B36" s="19" t="s">
        <v>1185</v>
      </c>
      <c r="C36" s="19" t="s">
        <v>1186</v>
      </c>
      <c r="D36" s="19" t="s">
        <v>1190</v>
      </c>
      <c r="E36" s="19" t="s">
        <v>1191</v>
      </c>
      <c r="F36" s="19" t="s">
        <v>1192</v>
      </c>
      <c r="G36" s="19" t="s">
        <v>1082</v>
      </c>
      <c r="H36" s="19" t="s">
        <v>1083</v>
      </c>
      <c r="I36" s="19"/>
    </row>
    <row r="37" customFormat="false" ht="74.25" hidden="false" customHeight="true" outlineLevel="0" collapsed="false">
      <c r="A37" s="18" t="n">
        <f aca="false">TAKVİM!$B$39+(MATCH($G$5,{"Pazartesi","Salı","Çarşamba","Perşembe","Cuma"},0)-1)</f>
        <v>46493</v>
      </c>
      <c r="B37" s="19" t="s">
        <v>1193</v>
      </c>
      <c r="C37" s="19" t="s">
        <v>1194</v>
      </c>
      <c r="D37" s="19" t="s">
        <v>1195</v>
      </c>
      <c r="E37" s="19" t="s">
        <v>1196</v>
      </c>
      <c r="F37" s="19" t="s">
        <v>1197</v>
      </c>
      <c r="G37" s="19" t="s">
        <v>1082</v>
      </c>
      <c r="H37" s="19" t="s">
        <v>1083</v>
      </c>
      <c r="I37" s="19"/>
    </row>
    <row r="38" customFormat="false" ht="74.25" hidden="false" customHeight="true" outlineLevel="0" collapsed="false">
      <c r="A38" s="18" t="n">
        <f aca="false">TAKVİM!$B$40+(MATCH($G$5,{"Pazartesi","Salı","Çarşamba","Perşembe","Cuma"},0)-1)</f>
        <v>46500</v>
      </c>
      <c r="B38" s="19" t="s">
        <v>1193</v>
      </c>
      <c r="C38" s="19" t="s">
        <v>1198</v>
      </c>
      <c r="D38" s="19" t="s">
        <v>1199</v>
      </c>
      <c r="E38" s="19" t="s">
        <v>1200</v>
      </c>
      <c r="F38" s="19" t="s">
        <v>1201</v>
      </c>
      <c r="G38" s="19" t="s">
        <v>1082</v>
      </c>
      <c r="H38" s="19" t="s">
        <v>1083</v>
      </c>
      <c r="I38" s="19"/>
    </row>
    <row r="39" customFormat="false" ht="95.25" hidden="false" customHeight="true" outlineLevel="0" collapsed="false">
      <c r="A39" s="18" t="n">
        <f aca="false">TAKVİM!$B$41+(MATCH($G$5,{"Pazartesi","Salı","Çarşamba","Perşembe","Cuma"},0)-1)</f>
        <v>46507</v>
      </c>
      <c r="B39" s="19" t="s">
        <v>1202</v>
      </c>
      <c r="C39" s="19" t="s">
        <v>1203</v>
      </c>
      <c r="D39" s="19" t="s">
        <v>1204</v>
      </c>
      <c r="E39" s="19" t="s">
        <v>1205</v>
      </c>
      <c r="F39" s="19" t="s">
        <v>1206</v>
      </c>
      <c r="G39" s="19" t="s">
        <v>1082</v>
      </c>
      <c r="H39" s="19" t="s">
        <v>1083</v>
      </c>
      <c r="I39" s="19"/>
    </row>
    <row r="40" customFormat="false" ht="84.75" hidden="false" customHeight="true" outlineLevel="0" collapsed="false">
      <c r="A40" s="18" t="n">
        <f aca="false">TAKVİM!$B$42+(MATCH($G$5,{"Pazartesi","Salı","Çarşamba","Perşembe","Cuma"},0)-1)</f>
        <v>46514</v>
      </c>
      <c r="B40" s="19" t="s">
        <v>1207</v>
      </c>
      <c r="C40" s="19" t="s">
        <v>1208</v>
      </c>
      <c r="D40" s="19" t="s">
        <v>1209</v>
      </c>
      <c r="E40" s="19" t="s">
        <v>1210</v>
      </c>
      <c r="F40" s="19" t="s">
        <v>1211</v>
      </c>
      <c r="G40" s="19" t="s">
        <v>1082</v>
      </c>
      <c r="H40" s="19" t="s">
        <v>1083</v>
      </c>
      <c r="I40" s="19"/>
    </row>
    <row r="41" customFormat="false" ht="74.25" hidden="false" customHeight="true" outlineLevel="0" collapsed="false">
      <c r="A41" s="18" t="n">
        <f aca="false">TAKVİM!$B$43+(MATCH($G$5,{"Pazartesi","Salı","Çarşamba","Perşembe","Cuma"},0)-1)</f>
        <v>46521</v>
      </c>
      <c r="B41" s="19" t="s">
        <v>1212</v>
      </c>
      <c r="C41" s="19" t="s">
        <v>1213</v>
      </c>
      <c r="D41" s="19" t="s">
        <v>1214</v>
      </c>
      <c r="E41" s="19" t="s">
        <v>1215</v>
      </c>
      <c r="F41" s="19" t="s">
        <v>1216</v>
      </c>
      <c r="G41" s="19" t="s">
        <v>1082</v>
      </c>
      <c r="H41" s="19" t="s">
        <v>1083</v>
      </c>
      <c r="I41" s="19"/>
    </row>
    <row r="42" customFormat="false" ht="74.25" hidden="false" customHeight="true" outlineLevel="0" collapsed="false">
      <c r="A42" s="18" t="n">
        <f aca="false">TAKVİM!$B$44+(MATCH($G$5,{"Pazartesi","Salı","Çarşamba","Perşembe","Cuma"},0)-1)</f>
        <v>46528</v>
      </c>
      <c r="B42" s="19" t="s">
        <v>1212</v>
      </c>
      <c r="C42" s="19" t="s">
        <v>1217</v>
      </c>
      <c r="D42" s="19" t="s">
        <v>1218</v>
      </c>
      <c r="E42" s="19" t="s">
        <v>1219</v>
      </c>
      <c r="F42" s="19" t="s">
        <v>1220</v>
      </c>
      <c r="G42" s="19" t="s">
        <v>1082</v>
      </c>
      <c r="H42" s="19" t="s">
        <v>1083</v>
      </c>
      <c r="I42" s="19"/>
    </row>
    <row r="43" customFormat="false" ht="95.25" hidden="false" customHeight="true" outlineLevel="0" collapsed="false">
      <c r="A43" s="18" t="n">
        <f aca="false">TAKVİM!$B$45+(MATCH($G$5,{"Pazartesi","Salı","Çarşamba","Perşembe","Cuma"},0)-1)</f>
        <v>46535</v>
      </c>
      <c r="B43" s="19" t="s">
        <v>1221</v>
      </c>
      <c r="C43" s="19" t="s">
        <v>1222</v>
      </c>
      <c r="D43" s="19" t="s">
        <v>1223</v>
      </c>
      <c r="E43" s="19" t="s">
        <v>1224</v>
      </c>
      <c r="F43" s="19" t="s">
        <v>1225</v>
      </c>
      <c r="G43" s="19" t="s">
        <v>1082</v>
      </c>
      <c r="H43" s="19" t="s">
        <v>1083</v>
      </c>
      <c r="I43" s="19"/>
    </row>
    <row r="44" customFormat="false" ht="95.25" hidden="false" customHeight="true" outlineLevel="0" collapsed="false">
      <c r="A44" s="18" t="n">
        <f aca="false">TAKVİM!$B$46+(MATCH($G$5,{"Pazartesi","Salı","Çarşamba","Perşembe","Cuma"},0)-1)</f>
        <v>46542</v>
      </c>
      <c r="B44" s="19" t="s">
        <v>1226</v>
      </c>
      <c r="C44" s="19" t="s">
        <v>1227</v>
      </c>
      <c r="D44" s="19" t="s">
        <v>1228</v>
      </c>
      <c r="E44" s="19" t="s">
        <v>1229</v>
      </c>
      <c r="F44" s="19" t="s">
        <v>1230</v>
      </c>
      <c r="G44" s="19" t="s">
        <v>1082</v>
      </c>
      <c r="H44" s="19" t="s">
        <v>1083</v>
      </c>
      <c r="I44" s="19"/>
    </row>
    <row r="45" customFormat="false" ht="84.75" hidden="false" customHeight="true" outlineLevel="0" collapsed="false">
      <c r="A45" s="18" t="n">
        <f aca="false">TAKVİM!$B$47+(MATCH($G$5,{"Pazartesi","Salı","Çarşamba","Perşembe","Cuma"},0)-1)</f>
        <v>46549</v>
      </c>
      <c r="B45" s="19" t="s">
        <v>1231</v>
      </c>
      <c r="C45" s="19" t="s">
        <v>1232</v>
      </c>
      <c r="D45" s="19" t="s">
        <v>1233</v>
      </c>
      <c r="E45" s="19" t="s">
        <v>1234</v>
      </c>
      <c r="F45" s="19" t="s">
        <v>1235</v>
      </c>
      <c r="G45" s="19" t="s">
        <v>1082</v>
      </c>
      <c r="H45" s="19" t="s">
        <v>1083</v>
      </c>
      <c r="I45" s="19"/>
    </row>
    <row r="46" customFormat="false" ht="84.75" hidden="false" customHeight="true" outlineLevel="0" collapsed="false">
      <c r="A46" s="18" t="n">
        <f aca="false">TAKVİM!$B$48+(MATCH($G$5,{"Pazartesi","Salı","Çarşamba","Perşembe","Cuma"},0)-1)</f>
        <v>46556</v>
      </c>
      <c r="B46" s="19" t="s">
        <v>1231</v>
      </c>
      <c r="C46" s="19" t="s">
        <v>1232</v>
      </c>
      <c r="D46" s="19" t="s">
        <v>1236</v>
      </c>
      <c r="E46" s="19" t="s">
        <v>1237</v>
      </c>
      <c r="F46" s="19" t="s">
        <v>1238</v>
      </c>
      <c r="G46" s="19" t="s">
        <v>1082</v>
      </c>
      <c r="H46" s="19" t="s">
        <v>1083</v>
      </c>
      <c r="I46" s="19"/>
    </row>
    <row r="47" customFormat="false" ht="84.75" hidden="false" customHeight="true" outlineLevel="0" collapsed="false">
      <c r="A47" s="18" t="n">
        <f aca="false">TAKVİM!$B$49+(MATCH($G$5,{"Pazartesi","Salı","Çarşamba","Perşembe","Cuma"},0)-1)</f>
        <v>46563</v>
      </c>
      <c r="B47" s="19" t="s">
        <v>1231</v>
      </c>
      <c r="C47" s="19" t="s">
        <v>1239</v>
      </c>
      <c r="D47" s="19" t="s">
        <v>1240</v>
      </c>
      <c r="E47" s="19" t="s">
        <v>1241</v>
      </c>
      <c r="F47" s="19" t="s">
        <v>1242</v>
      </c>
      <c r="G47" s="19" t="s">
        <v>1082</v>
      </c>
      <c r="H47" s="19" t="s">
        <v>1083</v>
      </c>
      <c r="I47" s="19"/>
    </row>
    <row r="51" customFormat="false" ht="15" hidden="false" customHeight="true" outlineLevel="0" collapsed="false">
      <c r="A51" s="21" t="s">
        <v>28</v>
      </c>
      <c r="B51" s="21"/>
      <c r="C51" s="21"/>
      <c r="D51" s="21"/>
      <c r="F51" s="21" t="s">
        <v>210</v>
      </c>
      <c r="G51" s="21"/>
      <c r="H51" s="21"/>
      <c r="I51" s="21"/>
    </row>
    <row r="52" customFormat="false" ht="15" hidden="false" customHeight="true" outlineLevel="0" collapsed="false">
      <c r="A52" s="22" t="s">
        <v>211</v>
      </c>
      <c r="B52" s="22"/>
      <c r="C52" s="22"/>
      <c r="D52" s="22"/>
      <c r="F52" s="22" t="s">
        <v>212</v>
      </c>
      <c r="G52" s="22"/>
      <c r="H52" s="22"/>
      <c r="I52" s="22"/>
    </row>
    <row r="54" customFormat="false" ht="15" hidden="false" customHeight="true" outlineLevel="0" collapsed="false">
      <c r="A54" s="22" t="s">
        <v>213</v>
      </c>
      <c r="B54" s="22"/>
      <c r="C54" s="22"/>
      <c r="D54" s="22"/>
      <c r="F54" s="21" t="s">
        <v>214</v>
      </c>
      <c r="G54" s="21"/>
      <c r="H54" s="21"/>
      <c r="I54" s="21"/>
    </row>
  </sheetData>
  <mergeCells count="15">
    <mergeCell ref="C1:G1"/>
    <mergeCell ref="B3:D3"/>
    <mergeCell ref="G3:I3"/>
    <mergeCell ref="B4:D4"/>
    <mergeCell ref="G4:I4"/>
    <mergeCell ref="B5:D5"/>
    <mergeCell ref="B17:I17"/>
    <mergeCell ref="B27:I27"/>
    <mergeCell ref="B32:I32"/>
    <mergeCell ref="A51:D51"/>
    <mergeCell ref="F51:I51"/>
    <mergeCell ref="A52:D52"/>
    <mergeCell ref="F52:I52"/>
    <mergeCell ref="A54:D54"/>
    <mergeCell ref="F54:I54"/>
  </mergeCells>
  <dataValidations count="1">
    <dataValidation allowBlank="false" errorStyle="stop" operator="between" showDropDown="false" showErrorMessage="false" showInputMessage="false" sqref="G5" type="list">
      <formula1>"Pazartesi,Salı,Çarşamba,Perşembe,Cuma"</formula1>
      <formula2>0</formula2>
    </dataValidation>
  </dataValidation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4" min="3" style="1" width="26"/>
    <col collapsed="false" customWidth="true" hidden="false" outlineLevel="0" max="5" min="5" style="1" width="34"/>
    <col collapsed="false" customWidth="true" hidden="false" outlineLevel="0" max="6" min="6" style="1" width="22"/>
    <col collapsed="false" customWidth="true" hidden="false" outlineLevel="0" max="7" min="7" style="1" width="18"/>
    <col collapsed="false" customWidth="true" hidden="false" outlineLevel="0" max="8" min="8" style="1" width="22"/>
    <col collapsed="false" customWidth="true" hidden="false" outlineLevel="0" max="9" min="9" style="1" width="18"/>
  </cols>
  <sheetData>
    <row r="1" customFormat="false" ht="75" hidden="false" customHeight="true" outlineLevel="0" collapsed="false">
      <c r="C1" s="15" t="s">
        <v>18</v>
      </c>
      <c r="D1" s="15"/>
      <c r="E1" s="15"/>
      <c r="F1" s="15"/>
      <c r="G1" s="15"/>
    </row>
    <row r="3" customFormat="false" ht="15" hidden="false" customHeight="true" outlineLevel="0" collapsed="false">
      <c r="A3" s="3" t="s">
        <v>19</v>
      </c>
      <c r="B3" s="16" t="s">
        <v>1243</v>
      </c>
      <c r="C3" s="16"/>
      <c r="D3" s="16"/>
      <c r="F3" s="3" t="s">
        <v>21</v>
      </c>
      <c r="G3" s="16" t="s">
        <v>1244</v>
      </c>
      <c r="H3" s="16"/>
      <c r="I3" s="16"/>
    </row>
    <row r="4" customFormat="false" ht="15" hidden="false" customHeight="true" outlineLevel="0" collapsed="false">
      <c r="A4" s="3" t="s">
        <v>23</v>
      </c>
      <c r="B4" s="16" t="s">
        <v>1245</v>
      </c>
      <c r="C4" s="16"/>
      <c r="D4" s="16"/>
      <c r="F4" s="3" t="s">
        <v>25</v>
      </c>
      <c r="G4" s="16" t="s">
        <v>216</v>
      </c>
      <c r="H4" s="16"/>
      <c r="I4" s="16"/>
    </row>
    <row r="5" customFormat="false" ht="15" hidden="false" customHeight="true" outlineLevel="0" collapsed="false">
      <c r="A5" s="3" t="s">
        <v>27</v>
      </c>
      <c r="B5" s="16" t="s">
        <v>28</v>
      </c>
      <c r="C5" s="16"/>
      <c r="D5" s="16"/>
      <c r="F5" s="3" t="s">
        <v>29</v>
      </c>
      <c r="G5" s="4" t="s">
        <v>30</v>
      </c>
    </row>
    <row r="7" customFormat="false" ht="23.25" hidden="false" customHeight="true" outlineLevel="0" collapsed="false">
      <c r="A7" s="17" t="s">
        <v>31</v>
      </c>
      <c r="B7" s="17" t="s">
        <v>32</v>
      </c>
      <c r="C7" s="17" t="s">
        <v>33</v>
      </c>
      <c r="D7" s="17" t="s">
        <v>34</v>
      </c>
      <c r="E7" s="17" t="s">
        <v>35</v>
      </c>
      <c r="F7" s="17" t="s">
        <v>36</v>
      </c>
      <c r="G7" s="17" t="s">
        <v>37</v>
      </c>
      <c r="H7" s="17" t="s">
        <v>38</v>
      </c>
      <c r="I7" s="17" t="s">
        <v>39</v>
      </c>
    </row>
    <row r="8" customFormat="false" ht="74.25" hidden="false" customHeight="true" outlineLevel="0" collapsed="false">
      <c r="A8" s="18" t="n">
        <f aca="false">TAKVİM!$B$10+(MATCH($G$5,{"Pazartesi","Salı","Çarşamba","Perşembe","Cuma"},0)-1)</f>
        <v>46283</v>
      </c>
      <c r="B8" s="19" t="s">
        <v>1246</v>
      </c>
      <c r="C8" s="19" t="s">
        <v>1247</v>
      </c>
      <c r="D8" s="19" t="s">
        <v>1248</v>
      </c>
      <c r="E8" s="19" t="s">
        <v>1249</v>
      </c>
      <c r="F8" s="19" t="s">
        <v>1250</v>
      </c>
      <c r="G8" s="19" t="s">
        <v>1251</v>
      </c>
      <c r="H8" s="19" t="s">
        <v>1252</v>
      </c>
      <c r="I8" s="19"/>
    </row>
    <row r="9" customFormat="false" ht="74.25" hidden="false" customHeight="true" outlineLevel="0" collapsed="false">
      <c r="A9" s="18" t="n">
        <f aca="false">TAKVİM!$B$11+(MATCH($G$5,{"Pazartesi","Salı","Çarşamba","Perşembe","Cuma"},0)-1)</f>
        <v>46290</v>
      </c>
      <c r="B9" s="19" t="s">
        <v>1253</v>
      </c>
      <c r="C9" s="19" t="s">
        <v>1254</v>
      </c>
      <c r="D9" s="19" t="s">
        <v>1255</v>
      </c>
      <c r="E9" s="19" t="s">
        <v>1256</v>
      </c>
      <c r="F9" s="19" t="s">
        <v>1257</v>
      </c>
      <c r="G9" s="19" t="s">
        <v>1251</v>
      </c>
      <c r="H9" s="19" t="s">
        <v>1252</v>
      </c>
      <c r="I9" s="19"/>
    </row>
    <row r="10" customFormat="false" ht="74.25" hidden="false" customHeight="true" outlineLevel="0" collapsed="false">
      <c r="A10" s="18" t="n">
        <f aca="false">TAKVİM!$B$12+(MATCH($G$5,{"Pazartesi","Salı","Çarşamba","Perşembe","Cuma"},0)-1)</f>
        <v>46297</v>
      </c>
      <c r="B10" s="19" t="s">
        <v>1258</v>
      </c>
      <c r="C10" s="19" t="s">
        <v>1259</v>
      </c>
      <c r="D10" s="19" t="s">
        <v>1260</v>
      </c>
      <c r="E10" s="19" t="s">
        <v>1261</v>
      </c>
      <c r="F10" s="19" t="s">
        <v>1262</v>
      </c>
      <c r="G10" s="19" t="s">
        <v>1251</v>
      </c>
      <c r="H10" s="19" t="s">
        <v>1252</v>
      </c>
      <c r="I10" s="19"/>
    </row>
    <row r="11" customFormat="false" ht="74.25" hidden="false" customHeight="true" outlineLevel="0" collapsed="false">
      <c r="A11" s="18" t="n">
        <f aca="false">TAKVİM!$B$13+(MATCH($G$5,{"Pazartesi","Salı","Çarşamba","Perşembe","Cuma"},0)-1)</f>
        <v>46304</v>
      </c>
      <c r="B11" s="19" t="s">
        <v>1258</v>
      </c>
      <c r="C11" s="19" t="s">
        <v>1263</v>
      </c>
      <c r="D11" s="19" t="s">
        <v>1264</v>
      </c>
      <c r="E11" s="19" t="s">
        <v>1265</v>
      </c>
      <c r="F11" s="19" t="s">
        <v>1266</v>
      </c>
      <c r="G11" s="19" t="s">
        <v>1251</v>
      </c>
      <c r="H11" s="19" t="s">
        <v>1252</v>
      </c>
      <c r="I11" s="19"/>
    </row>
    <row r="12" customFormat="false" ht="74.25" hidden="false" customHeight="true" outlineLevel="0" collapsed="false">
      <c r="A12" s="18" t="n">
        <f aca="false">TAKVİM!$B$14+(MATCH($G$5,{"Pazartesi","Salı","Çarşamba","Perşembe","Cuma"},0)-1)</f>
        <v>46311</v>
      </c>
      <c r="B12" s="19" t="s">
        <v>1258</v>
      </c>
      <c r="C12" s="19" t="s">
        <v>1267</v>
      </c>
      <c r="D12" s="19" t="s">
        <v>1268</v>
      </c>
      <c r="E12" s="19" t="s">
        <v>1269</v>
      </c>
      <c r="F12" s="19" t="s">
        <v>1270</v>
      </c>
      <c r="G12" s="19" t="s">
        <v>1251</v>
      </c>
      <c r="H12" s="19" t="s">
        <v>1252</v>
      </c>
      <c r="I12" s="19"/>
    </row>
    <row r="13" customFormat="false" ht="74.25" hidden="false" customHeight="true" outlineLevel="0" collapsed="false">
      <c r="A13" s="18" t="n">
        <f aca="false">TAKVİM!$B$15+(MATCH($G$5,{"Pazartesi","Salı","Çarşamba","Perşembe","Cuma"},0)-1)</f>
        <v>46318</v>
      </c>
      <c r="B13" s="19" t="s">
        <v>1271</v>
      </c>
      <c r="C13" s="19" t="s">
        <v>1272</v>
      </c>
      <c r="D13" s="19" t="s">
        <v>1273</v>
      </c>
      <c r="E13" s="19" t="s">
        <v>1274</v>
      </c>
      <c r="F13" s="19" t="s">
        <v>1275</v>
      </c>
      <c r="G13" s="19" t="s">
        <v>1251</v>
      </c>
      <c r="H13" s="19" t="s">
        <v>1252</v>
      </c>
      <c r="I13" s="19"/>
    </row>
    <row r="14" customFormat="false" ht="74.25" hidden="false" customHeight="true" outlineLevel="0" collapsed="false">
      <c r="A14" s="18" t="n">
        <f aca="false">TAKVİM!$B$16+(MATCH($G$5,{"Pazartesi","Salı","Çarşamba","Perşembe","Cuma"},0)-1)</f>
        <v>46325</v>
      </c>
      <c r="B14" s="19" t="s">
        <v>1271</v>
      </c>
      <c r="C14" s="19" t="s">
        <v>1276</v>
      </c>
      <c r="D14" s="19" t="s">
        <v>1277</v>
      </c>
      <c r="E14" s="19" t="s">
        <v>1278</v>
      </c>
      <c r="F14" s="19" t="s">
        <v>1279</v>
      </c>
      <c r="G14" s="19" t="s">
        <v>1251</v>
      </c>
      <c r="H14" s="19" t="s">
        <v>1252</v>
      </c>
      <c r="I14" s="19"/>
    </row>
    <row r="15" customFormat="false" ht="74.25" hidden="false" customHeight="true" outlineLevel="0" collapsed="false">
      <c r="A15" s="18" t="n">
        <f aca="false">TAKVİM!$B$17+(MATCH($G$5,{"Pazartesi","Salı","Çarşamba","Perşembe","Cuma"},0)-1)</f>
        <v>46332</v>
      </c>
      <c r="B15" s="19" t="s">
        <v>1271</v>
      </c>
      <c r="C15" s="19" t="s">
        <v>1280</v>
      </c>
      <c r="D15" s="19" t="s">
        <v>1281</v>
      </c>
      <c r="E15" s="19" t="s">
        <v>1282</v>
      </c>
      <c r="F15" s="19" t="s">
        <v>1283</v>
      </c>
      <c r="G15" s="19" t="s">
        <v>1251</v>
      </c>
      <c r="H15" s="19" t="s">
        <v>1252</v>
      </c>
      <c r="I15" s="19"/>
    </row>
    <row r="16" customFormat="false" ht="84.75" hidden="false" customHeight="true" outlineLevel="0" collapsed="false">
      <c r="A16" s="18" t="n">
        <f aca="false">TAKVİM!$B$18+(MATCH($G$5,{"Pazartesi","Salı","Çarşamba","Perşembe","Cuma"},0)-1)</f>
        <v>46339</v>
      </c>
      <c r="B16" s="19" t="s">
        <v>1284</v>
      </c>
      <c r="C16" s="19" t="s">
        <v>1285</v>
      </c>
      <c r="D16" s="19" t="s">
        <v>1286</v>
      </c>
      <c r="E16" s="19" t="s">
        <v>1287</v>
      </c>
      <c r="F16" s="19" t="s">
        <v>1288</v>
      </c>
      <c r="G16" s="19" t="s">
        <v>1251</v>
      </c>
      <c r="H16" s="19" t="s">
        <v>1252</v>
      </c>
      <c r="I16" s="19"/>
    </row>
    <row r="17" customFormat="false" ht="15" hidden="false" customHeight="true" outlineLevel="0" collapsed="false">
      <c r="A17" s="20" t="str">
        <f aca="false">TAKVİM!$C$19</f>
        <v>16-20 Kasım</v>
      </c>
      <c r="B17" s="20" t="s">
        <v>15</v>
      </c>
      <c r="C17" s="20"/>
      <c r="D17" s="20"/>
      <c r="E17" s="20"/>
      <c r="F17" s="20"/>
      <c r="G17" s="20"/>
      <c r="H17" s="20"/>
      <c r="I17" s="20"/>
    </row>
    <row r="18" customFormat="false" ht="84.75" hidden="false" customHeight="true" outlineLevel="0" collapsed="false">
      <c r="A18" s="18" t="n">
        <f aca="false">TAKVİM!$B$20+(MATCH($G$5,{"Pazartesi","Salı","Çarşamba","Perşembe","Cuma"},0)-1)</f>
        <v>46353</v>
      </c>
      <c r="B18" s="19" t="s">
        <v>1289</v>
      </c>
      <c r="C18" s="19" t="s">
        <v>1290</v>
      </c>
      <c r="D18" s="19" t="s">
        <v>1291</v>
      </c>
      <c r="E18" s="19" t="s">
        <v>1292</v>
      </c>
      <c r="F18" s="19" t="s">
        <v>1293</v>
      </c>
      <c r="G18" s="19" t="s">
        <v>1251</v>
      </c>
      <c r="H18" s="19" t="s">
        <v>1252</v>
      </c>
      <c r="I18" s="19"/>
    </row>
    <row r="19" customFormat="false" ht="74.25" hidden="false" customHeight="true" outlineLevel="0" collapsed="false">
      <c r="A19" s="18" t="n">
        <f aca="false">TAKVİM!$B$21+(MATCH($G$5,{"Pazartesi","Salı","Çarşamba","Perşembe","Cuma"},0)-1)</f>
        <v>46360</v>
      </c>
      <c r="B19" s="19" t="s">
        <v>1289</v>
      </c>
      <c r="C19" s="19" t="s">
        <v>1294</v>
      </c>
      <c r="D19" s="19" t="s">
        <v>1295</v>
      </c>
      <c r="E19" s="19" t="s">
        <v>1296</v>
      </c>
      <c r="F19" s="19" t="s">
        <v>1297</v>
      </c>
      <c r="G19" s="19" t="s">
        <v>1251</v>
      </c>
      <c r="H19" s="19" t="s">
        <v>1252</v>
      </c>
      <c r="I19" s="19"/>
    </row>
    <row r="20" customFormat="false" ht="74.25" hidden="false" customHeight="true" outlineLevel="0" collapsed="false">
      <c r="A20" s="18" t="n">
        <f aca="false">TAKVİM!$B$22+(MATCH($G$5,{"Pazartesi","Salı","Çarşamba","Perşembe","Cuma"},0)-1)</f>
        <v>46367</v>
      </c>
      <c r="B20" s="19" t="s">
        <v>1289</v>
      </c>
      <c r="C20" s="19" t="s">
        <v>1298</v>
      </c>
      <c r="D20" s="19" t="s">
        <v>1299</v>
      </c>
      <c r="E20" s="19" t="s">
        <v>1300</v>
      </c>
      <c r="F20" s="19" t="s">
        <v>1301</v>
      </c>
      <c r="G20" s="19" t="s">
        <v>1251</v>
      </c>
      <c r="H20" s="19" t="s">
        <v>1252</v>
      </c>
      <c r="I20" s="19"/>
    </row>
    <row r="21" customFormat="false" ht="74.25" hidden="false" customHeight="true" outlineLevel="0" collapsed="false">
      <c r="A21" s="18" t="n">
        <f aca="false">TAKVİM!$B$23+(MATCH($G$5,{"Pazartesi","Salı","Çarşamba","Perşembe","Cuma"},0)-1)</f>
        <v>46374</v>
      </c>
      <c r="B21" s="19" t="s">
        <v>1289</v>
      </c>
      <c r="C21" s="19" t="s">
        <v>1302</v>
      </c>
      <c r="D21" s="19" t="s">
        <v>1303</v>
      </c>
      <c r="E21" s="19" t="s">
        <v>1304</v>
      </c>
      <c r="F21" s="19" t="s">
        <v>1305</v>
      </c>
      <c r="G21" s="19" t="s">
        <v>1251</v>
      </c>
      <c r="H21" s="19" t="s">
        <v>1252</v>
      </c>
      <c r="I21" s="19"/>
    </row>
    <row r="22" customFormat="false" ht="84.75" hidden="false" customHeight="true" outlineLevel="0" collapsed="false">
      <c r="A22" s="18" t="n">
        <f aca="false">TAKVİM!$B$24+(MATCH($G$5,{"Pazartesi","Salı","Çarşamba","Perşembe","Cuma"},0)-1)</f>
        <v>46381</v>
      </c>
      <c r="B22" s="19" t="s">
        <v>1306</v>
      </c>
      <c r="C22" s="19" t="s">
        <v>1307</v>
      </c>
      <c r="D22" s="19" t="s">
        <v>1308</v>
      </c>
      <c r="E22" s="19" t="s">
        <v>1309</v>
      </c>
      <c r="F22" s="19" t="s">
        <v>1310</v>
      </c>
      <c r="G22" s="19" t="s">
        <v>1251</v>
      </c>
      <c r="H22" s="19" t="s">
        <v>1252</v>
      </c>
      <c r="I22" s="19"/>
    </row>
    <row r="23" customFormat="false" ht="84.75" hidden="false" customHeight="true" outlineLevel="0" collapsed="false">
      <c r="A23" s="18" t="n">
        <f aca="false">TAKVİM!$B$25+(MATCH($G$5,{"Pazartesi","Salı","Çarşamba","Perşembe","Cuma"},0)-1)</f>
        <v>46388</v>
      </c>
      <c r="B23" s="19" t="s">
        <v>1311</v>
      </c>
      <c r="C23" s="19" t="s">
        <v>1312</v>
      </c>
      <c r="D23" s="19" t="s">
        <v>1313</v>
      </c>
      <c r="E23" s="19" t="s">
        <v>1314</v>
      </c>
      <c r="F23" s="19" t="s">
        <v>654</v>
      </c>
      <c r="G23" s="19" t="s">
        <v>1251</v>
      </c>
      <c r="H23" s="19" t="s">
        <v>1252</v>
      </c>
      <c r="I23" s="19"/>
    </row>
    <row r="24" customFormat="false" ht="84.75" hidden="false" customHeight="true" outlineLevel="0" collapsed="false">
      <c r="A24" s="18" t="n">
        <f aca="false">TAKVİM!$B$26+(MATCH($G$5,{"Pazartesi","Salı","Çarşamba","Perşembe","Cuma"},0)-1)</f>
        <v>46395</v>
      </c>
      <c r="B24" s="19" t="s">
        <v>1311</v>
      </c>
      <c r="C24" s="19" t="s">
        <v>1315</v>
      </c>
      <c r="D24" s="19" t="s">
        <v>1316</v>
      </c>
      <c r="E24" s="19" t="s">
        <v>1317</v>
      </c>
      <c r="F24" s="19" t="s">
        <v>1318</v>
      </c>
      <c r="G24" s="19" t="s">
        <v>1251</v>
      </c>
      <c r="H24" s="19" t="s">
        <v>1252</v>
      </c>
      <c r="I24" s="19"/>
    </row>
    <row r="25" customFormat="false" ht="84.75" hidden="false" customHeight="true" outlineLevel="0" collapsed="false">
      <c r="A25" s="18" t="n">
        <f aca="false">TAKVİM!$B$27+(MATCH($G$5,{"Pazartesi","Salı","Çarşamba","Perşembe","Cuma"},0)-1)</f>
        <v>46402</v>
      </c>
      <c r="B25" s="19" t="s">
        <v>1319</v>
      </c>
      <c r="C25" s="19" t="s">
        <v>1320</v>
      </c>
      <c r="D25" s="19" t="s">
        <v>1321</v>
      </c>
      <c r="E25" s="19" t="s">
        <v>1322</v>
      </c>
      <c r="F25" s="19" t="s">
        <v>1323</v>
      </c>
      <c r="G25" s="19" t="s">
        <v>1251</v>
      </c>
      <c r="H25" s="19" t="s">
        <v>1252</v>
      </c>
      <c r="I25" s="19"/>
    </row>
    <row r="26" customFormat="false" ht="74.25" hidden="false" customHeight="true" outlineLevel="0" collapsed="false">
      <c r="A26" s="18" t="n">
        <f aca="false">TAKVİM!$B$28+(MATCH($G$5,{"Pazartesi","Salı","Çarşamba","Perşembe","Cuma"},0)-1)</f>
        <v>46409</v>
      </c>
      <c r="B26" s="19" t="s">
        <v>1324</v>
      </c>
      <c r="C26" s="19" t="s">
        <v>1325</v>
      </c>
      <c r="D26" s="19" t="s">
        <v>1326</v>
      </c>
      <c r="E26" s="19" t="s">
        <v>1327</v>
      </c>
      <c r="F26" s="19" t="s">
        <v>1328</v>
      </c>
      <c r="G26" s="19" t="s">
        <v>1251</v>
      </c>
      <c r="H26" s="19" t="s">
        <v>1252</v>
      </c>
      <c r="I26" s="19"/>
    </row>
    <row r="27" customFormat="false" ht="15" hidden="false" customHeight="true" outlineLevel="0" collapsed="false">
      <c r="A27" s="20" t="str">
        <f aca="false">TAKVİM!$C$29</f>
        <v>25-29 Ocak</v>
      </c>
      <c r="B27" s="20" t="s">
        <v>16</v>
      </c>
      <c r="C27" s="20"/>
      <c r="D27" s="20"/>
      <c r="E27" s="20"/>
      <c r="F27" s="20"/>
      <c r="G27" s="20"/>
      <c r="H27" s="20"/>
      <c r="I27" s="20"/>
    </row>
    <row r="28" customFormat="false" ht="84.75" hidden="false" customHeight="true" outlineLevel="0" collapsed="false">
      <c r="A28" s="18" t="n">
        <f aca="false">TAKVİM!$B$30+(MATCH($G$5,{"Pazartesi","Salı","Çarşamba","Perşembe","Cuma"},0)-1)</f>
        <v>46430</v>
      </c>
      <c r="B28" s="19" t="s">
        <v>1329</v>
      </c>
      <c r="C28" s="19" t="s">
        <v>1330</v>
      </c>
      <c r="D28" s="19" t="s">
        <v>1331</v>
      </c>
      <c r="E28" s="19" t="s">
        <v>1332</v>
      </c>
      <c r="F28" s="19" t="s">
        <v>1333</v>
      </c>
      <c r="G28" s="19" t="s">
        <v>1251</v>
      </c>
      <c r="H28" s="19" t="s">
        <v>1252</v>
      </c>
      <c r="I28" s="19"/>
    </row>
    <row r="29" customFormat="false" ht="84.75" hidden="false" customHeight="true" outlineLevel="0" collapsed="false">
      <c r="A29" s="18" t="n">
        <f aca="false">TAKVİM!$B$31+(MATCH($G$5,{"Pazartesi","Salı","Çarşamba","Perşembe","Cuma"},0)-1)</f>
        <v>46437</v>
      </c>
      <c r="B29" s="19" t="s">
        <v>1329</v>
      </c>
      <c r="C29" s="19" t="s">
        <v>1334</v>
      </c>
      <c r="D29" s="19" t="s">
        <v>1335</v>
      </c>
      <c r="E29" s="19" t="s">
        <v>1336</v>
      </c>
      <c r="F29" s="19" t="s">
        <v>1337</v>
      </c>
      <c r="G29" s="19" t="s">
        <v>1251</v>
      </c>
      <c r="H29" s="19" t="s">
        <v>1252</v>
      </c>
      <c r="I29" s="19"/>
    </row>
    <row r="30" customFormat="false" ht="84.75" hidden="false" customHeight="true" outlineLevel="0" collapsed="false">
      <c r="A30" s="18" t="n">
        <f aca="false">TAKVİM!$B$32+(MATCH($G$5,{"Pazartesi","Salı","Çarşamba","Perşembe","Cuma"},0)-1)</f>
        <v>46444</v>
      </c>
      <c r="B30" s="19" t="s">
        <v>1338</v>
      </c>
      <c r="C30" s="19" t="s">
        <v>1339</v>
      </c>
      <c r="D30" s="19" t="s">
        <v>1340</v>
      </c>
      <c r="E30" s="19" t="s">
        <v>1341</v>
      </c>
      <c r="F30" s="19" t="s">
        <v>1342</v>
      </c>
      <c r="G30" s="19" t="s">
        <v>1251</v>
      </c>
      <c r="H30" s="19" t="s">
        <v>1252</v>
      </c>
      <c r="I30" s="19"/>
    </row>
    <row r="31" customFormat="false" ht="84.75" hidden="false" customHeight="true" outlineLevel="0" collapsed="false">
      <c r="A31" s="18" t="n">
        <f aca="false">TAKVİM!$B$33+(MATCH($G$5,{"Pazartesi","Salı","Çarşamba","Perşembe","Cuma"},0)-1)</f>
        <v>46451</v>
      </c>
      <c r="B31" s="19" t="s">
        <v>1338</v>
      </c>
      <c r="C31" s="19" t="s">
        <v>1343</v>
      </c>
      <c r="D31" s="19" t="s">
        <v>1344</v>
      </c>
      <c r="E31" s="19" t="s">
        <v>1345</v>
      </c>
      <c r="F31" s="19" t="s">
        <v>1346</v>
      </c>
      <c r="G31" s="19" t="s">
        <v>1251</v>
      </c>
      <c r="H31" s="19" t="s">
        <v>1252</v>
      </c>
      <c r="I31" s="19"/>
    </row>
    <row r="32" customFormat="false" ht="15" hidden="false" customHeight="true" outlineLevel="0" collapsed="false">
      <c r="A32" s="20" t="str">
        <f aca="false">TAKVİM!$C$34</f>
        <v>08-12 Mart</v>
      </c>
      <c r="B32" s="20" t="s">
        <v>17</v>
      </c>
      <c r="C32" s="20"/>
      <c r="D32" s="20"/>
      <c r="E32" s="20"/>
      <c r="F32" s="20"/>
      <c r="G32" s="20"/>
      <c r="H32" s="20"/>
      <c r="I32" s="20"/>
    </row>
    <row r="33" customFormat="false" ht="74.25" hidden="false" customHeight="true" outlineLevel="0" collapsed="false">
      <c r="A33" s="18" t="n">
        <f aca="false">TAKVİM!$B$35+(MATCH($G$5,{"Pazartesi","Salı","Çarşamba","Perşembe","Cuma"},0)-1)</f>
        <v>46465</v>
      </c>
      <c r="B33" s="19" t="s">
        <v>1347</v>
      </c>
      <c r="C33" s="19" t="s">
        <v>1348</v>
      </c>
      <c r="D33" s="19" t="s">
        <v>1349</v>
      </c>
      <c r="E33" s="19" t="s">
        <v>1350</v>
      </c>
      <c r="F33" s="19" t="s">
        <v>1351</v>
      </c>
      <c r="G33" s="19" t="s">
        <v>1251</v>
      </c>
      <c r="H33" s="19" t="s">
        <v>1252</v>
      </c>
      <c r="I33" s="19"/>
    </row>
    <row r="34" customFormat="false" ht="74.25" hidden="false" customHeight="true" outlineLevel="0" collapsed="false">
      <c r="A34" s="18" t="n">
        <f aca="false">TAKVİM!$B$36+(MATCH($G$5,{"Pazartesi","Salı","Çarşamba","Perşembe","Cuma"},0)-1)</f>
        <v>46472</v>
      </c>
      <c r="B34" s="19" t="s">
        <v>1347</v>
      </c>
      <c r="C34" s="19" t="s">
        <v>1352</v>
      </c>
      <c r="D34" s="19" t="s">
        <v>1353</v>
      </c>
      <c r="E34" s="19" t="s">
        <v>1354</v>
      </c>
      <c r="F34" s="19" t="s">
        <v>1355</v>
      </c>
      <c r="G34" s="19" t="s">
        <v>1251</v>
      </c>
      <c r="H34" s="19" t="s">
        <v>1252</v>
      </c>
      <c r="I34" s="19"/>
    </row>
    <row r="35" customFormat="false" ht="74.25" hidden="false" customHeight="true" outlineLevel="0" collapsed="false">
      <c r="A35" s="18" t="n">
        <f aca="false">TAKVİM!$B$37+(MATCH($G$5,{"Pazartesi","Salı","Çarşamba","Perşembe","Cuma"},0)-1)</f>
        <v>46479</v>
      </c>
      <c r="B35" s="19" t="s">
        <v>1347</v>
      </c>
      <c r="C35" s="19" t="s">
        <v>1356</v>
      </c>
      <c r="D35" s="19" t="s">
        <v>1357</v>
      </c>
      <c r="E35" s="19" t="s">
        <v>1358</v>
      </c>
      <c r="F35" s="19" t="s">
        <v>1359</v>
      </c>
      <c r="G35" s="19" t="s">
        <v>1251</v>
      </c>
      <c r="H35" s="19" t="s">
        <v>1252</v>
      </c>
      <c r="I35" s="19"/>
    </row>
    <row r="36" customFormat="false" ht="74.25" hidden="false" customHeight="true" outlineLevel="0" collapsed="false">
      <c r="A36" s="18" t="n">
        <f aca="false">TAKVİM!$B$38+(MATCH($G$5,{"Pazartesi","Salı","Çarşamba","Perşembe","Cuma"},0)-1)</f>
        <v>46486</v>
      </c>
      <c r="B36" s="19" t="s">
        <v>1360</v>
      </c>
      <c r="C36" s="19" t="s">
        <v>1361</v>
      </c>
      <c r="D36" s="19" t="s">
        <v>1362</v>
      </c>
      <c r="E36" s="19" t="s">
        <v>1363</v>
      </c>
      <c r="F36" s="19" t="s">
        <v>1364</v>
      </c>
      <c r="G36" s="19" t="s">
        <v>1251</v>
      </c>
      <c r="H36" s="19" t="s">
        <v>1252</v>
      </c>
      <c r="I36" s="19"/>
    </row>
    <row r="37" customFormat="false" ht="74.25" hidden="false" customHeight="true" outlineLevel="0" collapsed="false">
      <c r="A37" s="18" t="n">
        <f aca="false">TAKVİM!$B$39+(MATCH($G$5,{"Pazartesi","Salı","Çarşamba","Perşembe","Cuma"},0)-1)</f>
        <v>46493</v>
      </c>
      <c r="B37" s="19" t="s">
        <v>1360</v>
      </c>
      <c r="C37" s="19" t="s">
        <v>1365</v>
      </c>
      <c r="D37" s="19" t="s">
        <v>1366</v>
      </c>
      <c r="E37" s="19" t="s">
        <v>1367</v>
      </c>
      <c r="F37" s="19" t="s">
        <v>1368</v>
      </c>
      <c r="G37" s="19" t="s">
        <v>1251</v>
      </c>
      <c r="H37" s="19" t="s">
        <v>1252</v>
      </c>
      <c r="I37" s="19"/>
    </row>
    <row r="38" customFormat="false" ht="74.25" hidden="false" customHeight="true" outlineLevel="0" collapsed="false">
      <c r="A38" s="18" t="n">
        <f aca="false">TAKVİM!$B$40+(MATCH($G$5,{"Pazartesi","Salı","Çarşamba","Perşembe","Cuma"},0)-1)</f>
        <v>46500</v>
      </c>
      <c r="B38" s="19" t="s">
        <v>1369</v>
      </c>
      <c r="C38" s="19" t="s">
        <v>1370</v>
      </c>
      <c r="D38" s="19" t="s">
        <v>1371</v>
      </c>
      <c r="E38" s="19" t="s">
        <v>1372</v>
      </c>
      <c r="F38" s="19" t="s">
        <v>1373</v>
      </c>
      <c r="G38" s="19" t="s">
        <v>1251</v>
      </c>
      <c r="H38" s="19" t="s">
        <v>1252</v>
      </c>
      <c r="I38" s="19"/>
    </row>
    <row r="39" customFormat="false" ht="74.25" hidden="false" customHeight="true" outlineLevel="0" collapsed="false">
      <c r="A39" s="18" t="n">
        <f aca="false">TAKVİM!$B$41+(MATCH($G$5,{"Pazartesi","Salı","Çarşamba","Perşembe","Cuma"},0)-1)</f>
        <v>46507</v>
      </c>
      <c r="B39" s="19" t="s">
        <v>1369</v>
      </c>
      <c r="C39" s="19" t="s">
        <v>1374</v>
      </c>
      <c r="D39" s="19" t="s">
        <v>1375</v>
      </c>
      <c r="E39" s="19" t="s">
        <v>1376</v>
      </c>
      <c r="F39" s="19" t="s">
        <v>1377</v>
      </c>
      <c r="G39" s="19" t="s">
        <v>1251</v>
      </c>
      <c r="H39" s="19" t="s">
        <v>1252</v>
      </c>
      <c r="I39" s="19"/>
    </row>
    <row r="40" customFormat="false" ht="74.25" hidden="false" customHeight="true" outlineLevel="0" collapsed="false">
      <c r="A40" s="18" t="n">
        <f aca="false">TAKVİM!$B$42+(MATCH($G$5,{"Pazartesi","Salı","Çarşamba","Perşembe","Cuma"},0)-1)</f>
        <v>46514</v>
      </c>
      <c r="B40" s="19" t="s">
        <v>1378</v>
      </c>
      <c r="C40" s="19" t="s">
        <v>1379</v>
      </c>
      <c r="D40" s="19" t="s">
        <v>1380</v>
      </c>
      <c r="E40" s="19" t="s">
        <v>1381</v>
      </c>
      <c r="F40" s="19" t="s">
        <v>1382</v>
      </c>
      <c r="G40" s="19" t="s">
        <v>1251</v>
      </c>
      <c r="H40" s="19" t="s">
        <v>1252</v>
      </c>
      <c r="I40" s="19"/>
    </row>
    <row r="41" customFormat="false" ht="74.25" hidden="false" customHeight="true" outlineLevel="0" collapsed="false">
      <c r="A41" s="18" t="n">
        <f aca="false">TAKVİM!$B$43+(MATCH($G$5,{"Pazartesi","Salı","Çarşamba","Perşembe","Cuma"},0)-1)</f>
        <v>46521</v>
      </c>
      <c r="B41" s="19" t="s">
        <v>1378</v>
      </c>
      <c r="C41" s="19" t="s">
        <v>1383</v>
      </c>
      <c r="D41" s="19" t="s">
        <v>1384</v>
      </c>
      <c r="E41" s="19" t="s">
        <v>1385</v>
      </c>
      <c r="F41" s="19" t="s">
        <v>1386</v>
      </c>
      <c r="G41" s="19" t="s">
        <v>1251</v>
      </c>
      <c r="H41" s="19" t="s">
        <v>1252</v>
      </c>
      <c r="I41" s="19"/>
    </row>
    <row r="42" customFormat="false" ht="74.25" hidden="false" customHeight="true" outlineLevel="0" collapsed="false">
      <c r="A42" s="18" t="n">
        <f aca="false">TAKVİM!$B$44+(MATCH($G$5,{"Pazartesi","Salı","Çarşamba","Perşembe","Cuma"},0)-1)</f>
        <v>46528</v>
      </c>
      <c r="B42" s="19" t="s">
        <v>1387</v>
      </c>
      <c r="C42" s="19" t="s">
        <v>1388</v>
      </c>
      <c r="D42" s="19" t="s">
        <v>1389</v>
      </c>
      <c r="E42" s="19" t="s">
        <v>1390</v>
      </c>
      <c r="F42" s="19" t="s">
        <v>1391</v>
      </c>
      <c r="G42" s="19" t="s">
        <v>1251</v>
      </c>
      <c r="H42" s="19" t="s">
        <v>1252</v>
      </c>
      <c r="I42" s="19"/>
    </row>
    <row r="43" customFormat="false" ht="74.25" hidden="false" customHeight="true" outlineLevel="0" collapsed="false">
      <c r="A43" s="18" t="n">
        <f aca="false">TAKVİM!$B$45+(MATCH($G$5,{"Pazartesi","Salı","Çarşamba","Perşembe","Cuma"},0)-1)</f>
        <v>46535</v>
      </c>
      <c r="B43" s="19" t="s">
        <v>1387</v>
      </c>
      <c r="C43" s="19" t="s">
        <v>1392</v>
      </c>
      <c r="D43" s="19" t="s">
        <v>1393</v>
      </c>
      <c r="E43" s="19" t="s">
        <v>1394</v>
      </c>
      <c r="F43" s="19" t="s">
        <v>1395</v>
      </c>
      <c r="G43" s="19" t="s">
        <v>1251</v>
      </c>
      <c r="H43" s="19" t="s">
        <v>1252</v>
      </c>
      <c r="I43" s="19"/>
    </row>
    <row r="44" customFormat="false" ht="74.25" hidden="false" customHeight="true" outlineLevel="0" collapsed="false">
      <c r="A44" s="18" t="n">
        <f aca="false">TAKVİM!$B$46+(MATCH($G$5,{"Pazartesi","Salı","Çarşamba","Perşembe","Cuma"},0)-1)</f>
        <v>46542</v>
      </c>
      <c r="B44" s="19" t="s">
        <v>1396</v>
      </c>
      <c r="C44" s="19" t="s">
        <v>1397</v>
      </c>
      <c r="D44" s="19" t="s">
        <v>1398</v>
      </c>
      <c r="E44" s="19" t="s">
        <v>1399</v>
      </c>
      <c r="F44" s="19" t="s">
        <v>1400</v>
      </c>
      <c r="G44" s="19" t="s">
        <v>1251</v>
      </c>
      <c r="H44" s="19" t="s">
        <v>1252</v>
      </c>
      <c r="I44" s="19"/>
    </row>
    <row r="45" customFormat="false" ht="74.25" hidden="false" customHeight="true" outlineLevel="0" collapsed="false">
      <c r="A45" s="18" t="n">
        <f aca="false">TAKVİM!$B$47+(MATCH($G$5,{"Pazartesi","Salı","Çarşamba","Perşembe","Cuma"},0)-1)</f>
        <v>46549</v>
      </c>
      <c r="B45" s="19" t="s">
        <v>1396</v>
      </c>
      <c r="C45" s="19" t="s">
        <v>1401</v>
      </c>
      <c r="D45" s="19" t="s">
        <v>1402</v>
      </c>
      <c r="E45" s="19" t="s">
        <v>1403</v>
      </c>
      <c r="F45" s="19" t="s">
        <v>1404</v>
      </c>
      <c r="G45" s="19" t="s">
        <v>1251</v>
      </c>
      <c r="H45" s="19" t="s">
        <v>1252</v>
      </c>
      <c r="I45" s="19"/>
    </row>
    <row r="46" customFormat="false" ht="74.25" hidden="false" customHeight="true" outlineLevel="0" collapsed="false">
      <c r="A46" s="18" t="n">
        <f aca="false">TAKVİM!$B$48+(MATCH($G$5,{"Pazartesi","Salı","Çarşamba","Perşembe","Cuma"},0)-1)</f>
        <v>46556</v>
      </c>
      <c r="B46" s="19" t="s">
        <v>1405</v>
      </c>
      <c r="C46" s="19" t="s">
        <v>1406</v>
      </c>
      <c r="D46" s="19" t="s">
        <v>1407</v>
      </c>
      <c r="E46" s="19" t="s">
        <v>1408</v>
      </c>
      <c r="F46" s="19" t="s">
        <v>1409</v>
      </c>
      <c r="G46" s="19" t="s">
        <v>1251</v>
      </c>
      <c r="H46" s="19" t="s">
        <v>1252</v>
      </c>
      <c r="I46" s="19"/>
    </row>
    <row r="47" customFormat="false" ht="74.25" hidden="false" customHeight="true" outlineLevel="0" collapsed="false">
      <c r="A47" s="18" t="n">
        <f aca="false">TAKVİM!$B$49+(MATCH($G$5,{"Pazartesi","Salı","Çarşamba","Perşembe","Cuma"},0)-1)</f>
        <v>46563</v>
      </c>
      <c r="B47" s="19" t="s">
        <v>1405</v>
      </c>
      <c r="C47" s="19" t="s">
        <v>1410</v>
      </c>
      <c r="D47" s="19" t="s">
        <v>1411</v>
      </c>
      <c r="E47" s="19" t="s">
        <v>1412</v>
      </c>
      <c r="F47" s="19" t="s">
        <v>1413</v>
      </c>
      <c r="G47" s="19" t="s">
        <v>1251</v>
      </c>
      <c r="H47" s="19" t="s">
        <v>1252</v>
      </c>
      <c r="I47" s="19"/>
    </row>
    <row r="51" customFormat="false" ht="15" hidden="false" customHeight="true" outlineLevel="0" collapsed="false">
      <c r="A51" s="21" t="s">
        <v>28</v>
      </c>
      <c r="B51" s="21"/>
      <c r="C51" s="21"/>
      <c r="D51" s="21"/>
      <c r="F51" s="21" t="s">
        <v>210</v>
      </c>
      <c r="G51" s="21"/>
      <c r="H51" s="21"/>
      <c r="I51" s="21"/>
    </row>
    <row r="52" customFormat="false" ht="15" hidden="false" customHeight="true" outlineLevel="0" collapsed="false">
      <c r="A52" s="22" t="s">
        <v>211</v>
      </c>
      <c r="B52" s="22"/>
      <c r="C52" s="22"/>
      <c r="D52" s="22"/>
      <c r="F52" s="22" t="s">
        <v>212</v>
      </c>
      <c r="G52" s="22"/>
      <c r="H52" s="22"/>
      <c r="I52" s="22"/>
    </row>
    <row r="54" customFormat="false" ht="15" hidden="false" customHeight="true" outlineLevel="0" collapsed="false">
      <c r="A54" s="22" t="s">
        <v>213</v>
      </c>
      <c r="B54" s="22"/>
      <c r="C54" s="22"/>
      <c r="D54" s="22"/>
      <c r="F54" s="21" t="s">
        <v>214</v>
      </c>
      <c r="G54" s="21"/>
      <c r="H54" s="21"/>
      <c r="I54" s="21"/>
    </row>
  </sheetData>
  <mergeCells count="15">
    <mergeCell ref="C1:G1"/>
    <mergeCell ref="B3:D3"/>
    <mergeCell ref="G3:I3"/>
    <mergeCell ref="B4:D4"/>
    <mergeCell ref="G4:I4"/>
    <mergeCell ref="B5:D5"/>
    <mergeCell ref="B17:I17"/>
    <mergeCell ref="B27:I27"/>
    <mergeCell ref="B32:I32"/>
    <mergeCell ref="A51:D51"/>
    <mergeCell ref="F51:I51"/>
    <mergeCell ref="A52:D52"/>
    <mergeCell ref="F52:I52"/>
    <mergeCell ref="A54:D54"/>
    <mergeCell ref="F54:I54"/>
  </mergeCells>
  <dataValidations count="1">
    <dataValidation allowBlank="false" errorStyle="stop" operator="between" showDropDown="false" showErrorMessage="false" showInputMessage="false" sqref="G5" type="list">
      <formula1>"Pazartesi,Salı,Çarşamba,Perşembe,Cuma"</formula1>
      <formula2>0</formula2>
    </dataValidation>
  </dataValidation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4" min="3" style="1" width="26"/>
    <col collapsed="false" customWidth="true" hidden="false" outlineLevel="0" max="5" min="5" style="1" width="34"/>
    <col collapsed="false" customWidth="true" hidden="false" outlineLevel="0" max="6" min="6" style="1" width="22"/>
    <col collapsed="false" customWidth="true" hidden="false" outlineLevel="0" max="7" min="7" style="1" width="18"/>
    <col collapsed="false" customWidth="true" hidden="false" outlineLevel="0" max="8" min="8" style="1" width="22"/>
    <col collapsed="false" customWidth="true" hidden="false" outlineLevel="0" max="9" min="9" style="1" width="18"/>
  </cols>
  <sheetData>
    <row r="1" customFormat="false" ht="75" hidden="false" customHeight="true" outlineLevel="0" collapsed="false">
      <c r="C1" s="15" t="s">
        <v>18</v>
      </c>
      <c r="D1" s="15"/>
      <c r="E1" s="15"/>
      <c r="F1" s="15"/>
      <c r="G1" s="15"/>
    </row>
    <row r="3" customFormat="false" ht="15" hidden="false" customHeight="true" outlineLevel="0" collapsed="false">
      <c r="A3" s="3" t="s">
        <v>19</v>
      </c>
      <c r="B3" s="16" t="s">
        <v>1414</v>
      </c>
      <c r="C3" s="16"/>
      <c r="D3" s="16"/>
      <c r="F3" s="3" t="s">
        <v>21</v>
      </c>
      <c r="G3" s="16" t="s">
        <v>564</v>
      </c>
      <c r="H3" s="16"/>
      <c r="I3" s="16"/>
    </row>
    <row r="4" customFormat="false" ht="15" hidden="false" customHeight="true" outlineLevel="0" collapsed="false">
      <c r="A4" s="3" t="s">
        <v>23</v>
      </c>
      <c r="B4" s="16" t="s">
        <v>1245</v>
      </c>
      <c r="C4" s="16"/>
      <c r="D4" s="16"/>
      <c r="F4" s="3" t="s">
        <v>25</v>
      </c>
      <c r="G4" s="16" t="s">
        <v>405</v>
      </c>
      <c r="H4" s="16"/>
      <c r="I4" s="16"/>
    </row>
    <row r="5" customFormat="false" ht="15" hidden="false" customHeight="true" outlineLevel="0" collapsed="false">
      <c r="A5" s="3" t="s">
        <v>27</v>
      </c>
      <c r="B5" s="16" t="s">
        <v>28</v>
      </c>
      <c r="C5" s="16"/>
      <c r="D5" s="16"/>
      <c r="F5" s="3" t="s">
        <v>29</v>
      </c>
      <c r="G5" s="4" t="s">
        <v>30</v>
      </c>
    </row>
    <row r="7" customFormat="false" ht="23.25" hidden="false" customHeight="true" outlineLevel="0" collapsed="false">
      <c r="A7" s="17" t="s">
        <v>31</v>
      </c>
      <c r="B7" s="17" t="s">
        <v>32</v>
      </c>
      <c r="C7" s="17" t="s">
        <v>33</v>
      </c>
      <c r="D7" s="17" t="s">
        <v>34</v>
      </c>
      <c r="E7" s="17" t="s">
        <v>35</v>
      </c>
      <c r="F7" s="17" t="s">
        <v>36</v>
      </c>
      <c r="G7" s="17" t="s">
        <v>37</v>
      </c>
      <c r="H7" s="17" t="s">
        <v>38</v>
      </c>
      <c r="I7" s="17" t="s">
        <v>39</v>
      </c>
    </row>
    <row r="8" customFormat="false" ht="116.25" hidden="false" customHeight="true" outlineLevel="0" collapsed="false">
      <c r="A8" s="18" t="n">
        <f aca="false">TAKVİM!$B$10+(MATCH($G$5,{"Pazartesi","Salı","Çarşamba","Perşembe","Cuma"},0)-1)</f>
        <v>46283</v>
      </c>
      <c r="B8" s="19" t="s">
        <v>1415</v>
      </c>
      <c r="C8" s="19" t="s">
        <v>1416</v>
      </c>
      <c r="D8" s="19" t="s">
        <v>1417</v>
      </c>
      <c r="E8" s="19" t="s">
        <v>1418</v>
      </c>
      <c r="F8" s="19" t="s">
        <v>1419</v>
      </c>
      <c r="G8" s="19" t="s">
        <v>1420</v>
      </c>
      <c r="H8" s="19" t="s">
        <v>1421</v>
      </c>
      <c r="I8" s="19"/>
    </row>
    <row r="9" customFormat="false" ht="95.25" hidden="false" customHeight="true" outlineLevel="0" collapsed="false">
      <c r="A9" s="18" t="n">
        <f aca="false">TAKVİM!$B$11+(MATCH($G$5,{"Pazartesi","Salı","Çarşamba","Perşembe","Cuma"},0)-1)</f>
        <v>46290</v>
      </c>
      <c r="B9" s="19" t="s">
        <v>1422</v>
      </c>
      <c r="C9" s="19" t="s">
        <v>1423</v>
      </c>
      <c r="D9" s="19" t="s">
        <v>1424</v>
      </c>
      <c r="E9" s="19" t="s">
        <v>1425</v>
      </c>
      <c r="F9" s="19" t="s">
        <v>1426</v>
      </c>
      <c r="G9" s="19" t="s">
        <v>1420</v>
      </c>
      <c r="H9" s="19" t="s">
        <v>1421</v>
      </c>
      <c r="I9" s="19"/>
    </row>
    <row r="10" customFormat="false" ht="84.75" hidden="false" customHeight="true" outlineLevel="0" collapsed="false">
      <c r="A10" s="18" t="n">
        <f aca="false">TAKVİM!$B$12+(MATCH($G$5,{"Pazartesi","Salı","Çarşamba","Perşembe","Cuma"},0)-1)</f>
        <v>46297</v>
      </c>
      <c r="B10" s="19" t="s">
        <v>1422</v>
      </c>
      <c r="C10" s="19" t="s">
        <v>1427</v>
      </c>
      <c r="D10" s="19" t="s">
        <v>1428</v>
      </c>
      <c r="E10" s="19" t="s">
        <v>1429</v>
      </c>
      <c r="F10" s="19" t="s">
        <v>1430</v>
      </c>
      <c r="G10" s="19" t="s">
        <v>1420</v>
      </c>
      <c r="H10" s="19" t="s">
        <v>1421</v>
      </c>
      <c r="I10" s="19"/>
    </row>
    <row r="11" customFormat="false" ht="84.75" hidden="false" customHeight="true" outlineLevel="0" collapsed="false">
      <c r="A11" s="18" t="n">
        <f aca="false">TAKVİM!$B$13+(MATCH($G$5,{"Pazartesi","Salı","Çarşamba","Perşembe","Cuma"},0)-1)</f>
        <v>46304</v>
      </c>
      <c r="B11" s="19" t="s">
        <v>1431</v>
      </c>
      <c r="C11" s="19" t="s">
        <v>1432</v>
      </c>
      <c r="D11" s="19" t="s">
        <v>1433</v>
      </c>
      <c r="E11" s="19" t="s">
        <v>1434</v>
      </c>
      <c r="F11" s="19" t="s">
        <v>1435</v>
      </c>
      <c r="G11" s="19" t="s">
        <v>1420</v>
      </c>
      <c r="H11" s="19" t="s">
        <v>1421</v>
      </c>
      <c r="I11" s="19"/>
    </row>
    <row r="12" customFormat="false" ht="74.25" hidden="false" customHeight="true" outlineLevel="0" collapsed="false">
      <c r="A12" s="18" t="n">
        <f aca="false">TAKVİM!$B$14+(MATCH($G$5,{"Pazartesi","Salı","Çarşamba","Perşembe","Cuma"},0)-1)</f>
        <v>46311</v>
      </c>
      <c r="B12" s="19" t="s">
        <v>1436</v>
      </c>
      <c r="C12" s="19" t="s">
        <v>1437</v>
      </c>
      <c r="D12" s="19" t="s">
        <v>1438</v>
      </c>
      <c r="E12" s="19" t="s">
        <v>1439</v>
      </c>
      <c r="F12" s="19" t="s">
        <v>1440</v>
      </c>
      <c r="G12" s="19" t="s">
        <v>1420</v>
      </c>
      <c r="H12" s="19" t="s">
        <v>1421</v>
      </c>
      <c r="I12" s="19"/>
    </row>
    <row r="13" customFormat="false" ht="74.25" hidden="false" customHeight="true" outlineLevel="0" collapsed="false">
      <c r="A13" s="18" t="n">
        <f aca="false">TAKVİM!$B$15+(MATCH($G$5,{"Pazartesi","Salı","Çarşamba","Perşembe","Cuma"},0)-1)</f>
        <v>46318</v>
      </c>
      <c r="B13" s="19" t="s">
        <v>1436</v>
      </c>
      <c r="C13" s="19" t="s">
        <v>1437</v>
      </c>
      <c r="D13" s="19" t="s">
        <v>1441</v>
      </c>
      <c r="E13" s="19" t="s">
        <v>1442</v>
      </c>
      <c r="F13" s="19" t="s">
        <v>1443</v>
      </c>
      <c r="G13" s="19" t="s">
        <v>1420</v>
      </c>
      <c r="H13" s="19" t="s">
        <v>1421</v>
      </c>
      <c r="I13" s="19"/>
    </row>
    <row r="14" customFormat="false" ht="74.25" hidden="false" customHeight="true" outlineLevel="0" collapsed="false">
      <c r="A14" s="18" t="n">
        <f aca="false">TAKVİM!$B$16+(MATCH($G$5,{"Pazartesi","Salı","Çarşamba","Perşembe","Cuma"},0)-1)</f>
        <v>46325</v>
      </c>
      <c r="B14" s="19" t="s">
        <v>1444</v>
      </c>
      <c r="C14" s="19" t="s">
        <v>1445</v>
      </c>
      <c r="D14" s="19" t="s">
        <v>1446</v>
      </c>
      <c r="E14" s="19" t="s">
        <v>1447</v>
      </c>
      <c r="F14" s="19" t="s">
        <v>1448</v>
      </c>
      <c r="G14" s="19" t="s">
        <v>1420</v>
      </c>
      <c r="H14" s="19" t="s">
        <v>1421</v>
      </c>
      <c r="I14" s="19"/>
    </row>
    <row r="15" customFormat="false" ht="74.25" hidden="false" customHeight="true" outlineLevel="0" collapsed="false">
      <c r="A15" s="18" t="n">
        <f aca="false">TAKVİM!$B$17+(MATCH($G$5,{"Pazartesi","Salı","Çarşamba","Perşembe","Cuma"},0)-1)</f>
        <v>46332</v>
      </c>
      <c r="B15" s="19" t="s">
        <v>1444</v>
      </c>
      <c r="C15" s="19" t="s">
        <v>1449</v>
      </c>
      <c r="D15" s="19" t="s">
        <v>1450</v>
      </c>
      <c r="E15" s="19" t="s">
        <v>1451</v>
      </c>
      <c r="F15" s="19" t="s">
        <v>1452</v>
      </c>
      <c r="G15" s="19" t="s">
        <v>1420</v>
      </c>
      <c r="H15" s="19" t="s">
        <v>1421</v>
      </c>
      <c r="I15" s="19"/>
    </row>
    <row r="16" customFormat="false" ht="74.25" hidden="false" customHeight="true" outlineLevel="0" collapsed="false">
      <c r="A16" s="18" t="n">
        <f aca="false">TAKVİM!$B$18+(MATCH($G$5,{"Pazartesi","Salı","Çarşamba","Perşembe","Cuma"},0)-1)</f>
        <v>46339</v>
      </c>
      <c r="B16" s="19" t="s">
        <v>1453</v>
      </c>
      <c r="C16" s="19" t="s">
        <v>1454</v>
      </c>
      <c r="D16" s="19" t="s">
        <v>1455</v>
      </c>
      <c r="E16" s="19" t="s">
        <v>1456</v>
      </c>
      <c r="F16" s="19" t="s">
        <v>1457</v>
      </c>
      <c r="G16" s="19" t="s">
        <v>1420</v>
      </c>
      <c r="H16" s="19" t="s">
        <v>1421</v>
      </c>
      <c r="I16" s="19"/>
    </row>
    <row r="17" customFormat="false" ht="15" hidden="false" customHeight="true" outlineLevel="0" collapsed="false">
      <c r="A17" s="20" t="str">
        <f aca="false">TAKVİM!$C$19</f>
        <v>16-20 Kasım</v>
      </c>
      <c r="B17" s="20" t="s">
        <v>15</v>
      </c>
      <c r="C17" s="20"/>
      <c r="D17" s="20"/>
      <c r="E17" s="20"/>
      <c r="F17" s="20"/>
      <c r="G17" s="20"/>
      <c r="H17" s="20"/>
      <c r="I17" s="20"/>
    </row>
    <row r="18" customFormat="false" ht="74.25" hidden="false" customHeight="true" outlineLevel="0" collapsed="false">
      <c r="A18" s="18" t="n">
        <f aca="false">TAKVİM!$B$20+(MATCH($G$5,{"Pazartesi","Salı","Çarşamba","Perşembe","Cuma"},0)-1)</f>
        <v>46353</v>
      </c>
      <c r="B18" s="19" t="s">
        <v>1453</v>
      </c>
      <c r="C18" s="19" t="s">
        <v>1458</v>
      </c>
      <c r="D18" s="19" t="s">
        <v>1459</v>
      </c>
      <c r="E18" s="19" t="s">
        <v>1460</v>
      </c>
      <c r="F18" s="19" t="s">
        <v>1461</v>
      </c>
      <c r="G18" s="19" t="s">
        <v>1420</v>
      </c>
      <c r="H18" s="19" t="s">
        <v>1421</v>
      </c>
      <c r="I18" s="19"/>
    </row>
    <row r="19" customFormat="false" ht="74.25" hidden="false" customHeight="true" outlineLevel="0" collapsed="false">
      <c r="A19" s="18" t="n">
        <f aca="false">TAKVİM!$B$21+(MATCH($G$5,{"Pazartesi","Salı","Çarşamba","Perşembe","Cuma"},0)-1)</f>
        <v>46360</v>
      </c>
      <c r="B19" s="19" t="s">
        <v>1462</v>
      </c>
      <c r="C19" s="19" t="s">
        <v>1463</v>
      </c>
      <c r="D19" s="19" t="s">
        <v>1464</v>
      </c>
      <c r="E19" s="19" t="s">
        <v>1465</v>
      </c>
      <c r="F19" s="19" t="s">
        <v>1466</v>
      </c>
      <c r="G19" s="19" t="s">
        <v>1420</v>
      </c>
      <c r="H19" s="19" t="s">
        <v>1421</v>
      </c>
      <c r="I19" s="19"/>
    </row>
    <row r="20" customFormat="false" ht="105.75" hidden="false" customHeight="true" outlineLevel="0" collapsed="false">
      <c r="A20" s="18" t="n">
        <f aca="false">TAKVİM!$B$22+(MATCH($G$5,{"Pazartesi","Salı","Çarşamba","Perşembe","Cuma"},0)-1)</f>
        <v>46367</v>
      </c>
      <c r="B20" s="19" t="s">
        <v>1467</v>
      </c>
      <c r="C20" s="19" t="s">
        <v>1468</v>
      </c>
      <c r="D20" s="19" t="s">
        <v>1469</v>
      </c>
      <c r="E20" s="19" t="s">
        <v>1470</v>
      </c>
      <c r="F20" s="19" t="s">
        <v>1471</v>
      </c>
      <c r="G20" s="19" t="s">
        <v>1420</v>
      </c>
      <c r="H20" s="19" t="s">
        <v>1421</v>
      </c>
      <c r="I20" s="19"/>
    </row>
    <row r="21" customFormat="false" ht="95.25" hidden="false" customHeight="true" outlineLevel="0" collapsed="false">
      <c r="A21" s="18" t="n">
        <f aca="false">TAKVİM!$B$23+(MATCH($G$5,{"Pazartesi","Salı","Çarşamba","Perşembe","Cuma"},0)-1)</f>
        <v>46374</v>
      </c>
      <c r="B21" s="19" t="s">
        <v>1472</v>
      </c>
      <c r="C21" s="19" t="s">
        <v>1473</v>
      </c>
      <c r="D21" s="19" t="s">
        <v>1474</v>
      </c>
      <c r="E21" s="19" t="s">
        <v>1475</v>
      </c>
      <c r="F21" s="19" t="s">
        <v>1476</v>
      </c>
      <c r="G21" s="19" t="s">
        <v>1420</v>
      </c>
      <c r="H21" s="19" t="s">
        <v>1421</v>
      </c>
      <c r="I21" s="19"/>
    </row>
    <row r="22" customFormat="false" ht="95.25" hidden="false" customHeight="true" outlineLevel="0" collapsed="false">
      <c r="A22" s="18" t="n">
        <f aca="false">TAKVİM!$B$24+(MATCH($G$5,{"Pazartesi","Salı","Çarşamba","Perşembe","Cuma"},0)-1)</f>
        <v>46381</v>
      </c>
      <c r="B22" s="19" t="s">
        <v>1477</v>
      </c>
      <c r="C22" s="19" t="s">
        <v>1478</v>
      </c>
      <c r="D22" s="19" t="s">
        <v>1479</v>
      </c>
      <c r="E22" s="19" t="s">
        <v>1480</v>
      </c>
      <c r="F22" s="19" t="s">
        <v>1481</v>
      </c>
      <c r="G22" s="19" t="s">
        <v>1420</v>
      </c>
      <c r="H22" s="19" t="s">
        <v>1421</v>
      </c>
      <c r="I22" s="19"/>
    </row>
    <row r="23" customFormat="false" ht="74.25" hidden="false" customHeight="true" outlineLevel="0" collapsed="false">
      <c r="A23" s="18" t="n">
        <f aca="false">TAKVİM!$B$25+(MATCH($G$5,{"Pazartesi","Salı","Çarşamba","Perşembe","Cuma"},0)-1)</f>
        <v>46388</v>
      </c>
      <c r="B23" s="19" t="s">
        <v>1482</v>
      </c>
      <c r="C23" s="19" t="s">
        <v>1483</v>
      </c>
      <c r="D23" s="19" t="s">
        <v>1484</v>
      </c>
      <c r="E23" s="19" t="s">
        <v>1485</v>
      </c>
      <c r="F23" s="19" t="s">
        <v>1486</v>
      </c>
      <c r="G23" s="19" t="s">
        <v>1420</v>
      </c>
      <c r="H23" s="19" t="s">
        <v>1421</v>
      </c>
      <c r="I23" s="19"/>
    </row>
    <row r="24" customFormat="false" ht="74.25" hidden="false" customHeight="true" outlineLevel="0" collapsed="false">
      <c r="A24" s="18" t="n">
        <f aca="false">TAKVİM!$B$26+(MATCH($G$5,{"Pazartesi","Salı","Çarşamba","Perşembe","Cuma"},0)-1)</f>
        <v>46395</v>
      </c>
      <c r="B24" s="19" t="s">
        <v>1482</v>
      </c>
      <c r="C24" s="19" t="s">
        <v>1487</v>
      </c>
      <c r="D24" s="19" t="s">
        <v>1488</v>
      </c>
      <c r="E24" s="19" t="s">
        <v>1489</v>
      </c>
      <c r="F24" s="19" t="s">
        <v>1490</v>
      </c>
      <c r="G24" s="19" t="s">
        <v>1420</v>
      </c>
      <c r="H24" s="19" t="s">
        <v>1421</v>
      </c>
      <c r="I24" s="19"/>
    </row>
    <row r="25" customFormat="false" ht="84.75" hidden="false" customHeight="true" outlineLevel="0" collapsed="false">
      <c r="A25" s="18" t="n">
        <f aca="false">TAKVİM!$B$27+(MATCH($G$5,{"Pazartesi","Salı","Çarşamba","Perşembe","Cuma"},0)-1)</f>
        <v>46402</v>
      </c>
      <c r="B25" s="19" t="s">
        <v>1491</v>
      </c>
      <c r="C25" s="19" t="s">
        <v>1492</v>
      </c>
      <c r="D25" s="19" t="s">
        <v>1493</v>
      </c>
      <c r="E25" s="19" t="s">
        <v>1494</v>
      </c>
      <c r="F25" s="19" t="s">
        <v>1495</v>
      </c>
      <c r="G25" s="19" t="s">
        <v>1420</v>
      </c>
      <c r="H25" s="19" t="s">
        <v>1421</v>
      </c>
      <c r="I25" s="19"/>
    </row>
    <row r="26" customFormat="false" ht="84.75" hidden="false" customHeight="true" outlineLevel="0" collapsed="false">
      <c r="A26" s="18" t="n">
        <f aca="false">TAKVİM!$B$28+(MATCH($G$5,{"Pazartesi","Salı","Çarşamba","Perşembe","Cuma"},0)-1)</f>
        <v>46409</v>
      </c>
      <c r="B26" s="19" t="s">
        <v>1491</v>
      </c>
      <c r="C26" s="19" t="s">
        <v>1496</v>
      </c>
      <c r="D26" s="19" t="s">
        <v>1497</v>
      </c>
      <c r="E26" s="19" t="s">
        <v>1498</v>
      </c>
      <c r="F26" s="19" t="s">
        <v>654</v>
      </c>
      <c r="G26" s="19" t="s">
        <v>1420</v>
      </c>
      <c r="H26" s="19" t="s">
        <v>1421</v>
      </c>
      <c r="I26" s="19"/>
    </row>
    <row r="27" customFormat="false" ht="15" hidden="false" customHeight="true" outlineLevel="0" collapsed="false">
      <c r="A27" s="20" t="str">
        <f aca="false">TAKVİM!$C$29</f>
        <v>25-29 Ocak</v>
      </c>
      <c r="B27" s="20" t="s">
        <v>16</v>
      </c>
      <c r="C27" s="20"/>
      <c r="D27" s="20"/>
      <c r="E27" s="20"/>
      <c r="F27" s="20"/>
      <c r="G27" s="20"/>
      <c r="H27" s="20"/>
      <c r="I27" s="20"/>
    </row>
    <row r="28" customFormat="false" ht="84.75" hidden="false" customHeight="true" outlineLevel="0" collapsed="false">
      <c r="A28" s="18" t="n">
        <f aca="false">TAKVİM!$B$30+(MATCH($G$5,{"Pazartesi","Salı","Çarşamba","Perşembe","Cuma"},0)-1)</f>
        <v>46430</v>
      </c>
      <c r="B28" s="19" t="s">
        <v>1491</v>
      </c>
      <c r="C28" s="19" t="s">
        <v>1496</v>
      </c>
      <c r="D28" s="19" t="s">
        <v>1499</v>
      </c>
      <c r="E28" s="19" t="s">
        <v>1500</v>
      </c>
      <c r="F28" s="19" t="s">
        <v>1501</v>
      </c>
      <c r="G28" s="19" t="s">
        <v>1420</v>
      </c>
      <c r="H28" s="19" t="s">
        <v>1421</v>
      </c>
      <c r="I28" s="19"/>
    </row>
    <row r="29" customFormat="false" ht="84.75" hidden="false" customHeight="true" outlineLevel="0" collapsed="false">
      <c r="A29" s="18" t="n">
        <f aca="false">TAKVİM!$B$31+(MATCH($G$5,{"Pazartesi","Salı","Çarşamba","Perşembe","Cuma"},0)-1)</f>
        <v>46437</v>
      </c>
      <c r="B29" s="19" t="s">
        <v>1502</v>
      </c>
      <c r="C29" s="19" t="s">
        <v>1503</v>
      </c>
      <c r="D29" s="19" t="s">
        <v>1504</v>
      </c>
      <c r="E29" s="19" t="s">
        <v>1505</v>
      </c>
      <c r="F29" s="19" t="s">
        <v>1506</v>
      </c>
      <c r="G29" s="19" t="s">
        <v>1420</v>
      </c>
      <c r="H29" s="19" t="s">
        <v>1421</v>
      </c>
      <c r="I29" s="19"/>
    </row>
    <row r="30" customFormat="false" ht="84.75" hidden="false" customHeight="true" outlineLevel="0" collapsed="false">
      <c r="A30" s="18" t="n">
        <f aca="false">TAKVİM!$B$32+(MATCH($G$5,{"Pazartesi","Salı","Çarşamba","Perşembe","Cuma"},0)-1)</f>
        <v>46444</v>
      </c>
      <c r="B30" s="19" t="s">
        <v>1502</v>
      </c>
      <c r="C30" s="19" t="s">
        <v>1507</v>
      </c>
      <c r="D30" s="19" t="s">
        <v>1508</v>
      </c>
      <c r="E30" s="19" t="s">
        <v>1509</v>
      </c>
      <c r="F30" s="19" t="s">
        <v>1510</v>
      </c>
      <c r="G30" s="19" t="s">
        <v>1420</v>
      </c>
      <c r="H30" s="19" t="s">
        <v>1421</v>
      </c>
      <c r="I30" s="19"/>
    </row>
    <row r="31" customFormat="false" ht="95.25" hidden="false" customHeight="true" outlineLevel="0" collapsed="false">
      <c r="A31" s="18" t="n">
        <f aca="false">TAKVİM!$B$33+(MATCH($G$5,{"Pazartesi","Salı","Çarşamba","Perşembe","Cuma"},0)-1)</f>
        <v>46451</v>
      </c>
      <c r="B31" s="19" t="s">
        <v>1511</v>
      </c>
      <c r="C31" s="19" t="s">
        <v>1512</v>
      </c>
      <c r="D31" s="19" t="s">
        <v>1513</v>
      </c>
      <c r="E31" s="19" t="s">
        <v>1514</v>
      </c>
      <c r="F31" s="19" t="s">
        <v>1515</v>
      </c>
      <c r="G31" s="19" t="s">
        <v>1420</v>
      </c>
      <c r="H31" s="19" t="s">
        <v>1421</v>
      </c>
      <c r="I31" s="19"/>
    </row>
    <row r="32" customFormat="false" ht="15" hidden="false" customHeight="true" outlineLevel="0" collapsed="false">
      <c r="A32" s="20" t="str">
        <f aca="false">TAKVİM!$C$34</f>
        <v>08-12 Mart</v>
      </c>
      <c r="B32" s="20" t="s">
        <v>17</v>
      </c>
      <c r="C32" s="20"/>
      <c r="D32" s="20"/>
      <c r="E32" s="20"/>
      <c r="F32" s="20"/>
      <c r="G32" s="20"/>
      <c r="H32" s="20"/>
      <c r="I32" s="20"/>
    </row>
    <row r="33" customFormat="false" ht="84.75" hidden="false" customHeight="true" outlineLevel="0" collapsed="false">
      <c r="A33" s="18" t="n">
        <f aca="false">TAKVİM!$B$35+(MATCH($G$5,{"Pazartesi","Salı","Çarşamba","Perşembe","Cuma"},0)-1)</f>
        <v>46465</v>
      </c>
      <c r="B33" s="19" t="s">
        <v>1516</v>
      </c>
      <c r="C33" s="19" t="s">
        <v>1517</v>
      </c>
      <c r="D33" s="19" t="s">
        <v>1518</v>
      </c>
      <c r="E33" s="19" t="s">
        <v>1519</v>
      </c>
      <c r="F33" s="19" t="s">
        <v>1520</v>
      </c>
      <c r="G33" s="19" t="s">
        <v>1420</v>
      </c>
      <c r="H33" s="19" t="s">
        <v>1421</v>
      </c>
      <c r="I33" s="19"/>
    </row>
    <row r="34" customFormat="false" ht="74.25" hidden="false" customHeight="true" outlineLevel="0" collapsed="false">
      <c r="A34" s="18" t="n">
        <f aca="false">TAKVİM!$B$36+(MATCH($G$5,{"Pazartesi","Salı","Çarşamba","Perşembe","Cuma"},0)-1)</f>
        <v>46472</v>
      </c>
      <c r="B34" s="19" t="s">
        <v>1521</v>
      </c>
      <c r="C34" s="19" t="s">
        <v>1522</v>
      </c>
      <c r="D34" s="19" t="s">
        <v>1523</v>
      </c>
      <c r="E34" s="19" t="s">
        <v>1524</v>
      </c>
      <c r="F34" s="19" t="s">
        <v>1525</v>
      </c>
      <c r="G34" s="19" t="s">
        <v>1420</v>
      </c>
      <c r="H34" s="19" t="s">
        <v>1421</v>
      </c>
      <c r="I34" s="19"/>
    </row>
    <row r="35" customFormat="false" ht="74.25" hidden="false" customHeight="true" outlineLevel="0" collapsed="false">
      <c r="A35" s="18" t="n">
        <f aca="false">TAKVİM!$B$37+(MATCH($G$5,{"Pazartesi","Salı","Çarşamba","Perşembe","Cuma"},0)-1)</f>
        <v>46479</v>
      </c>
      <c r="B35" s="19" t="s">
        <v>1521</v>
      </c>
      <c r="C35" s="19" t="s">
        <v>1526</v>
      </c>
      <c r="D35" s="19" t="s">
        <v>1527</v>
      </c>
      <c r="E35" s="19" t="s">
        <v>1528</v>
      </c>
      <c r="F35" s="19" t="s">
        <v>1529</v>
      </c>
      <c r="G35" s="19" t="s">
        <v>1420</v>
      </c>
      <c r="H35" s="19" t="s">
        <v>1421</v>
      </c>
      <c r="I35" s="19"/>
    </row>
    <row r="36" customFormat="false" ht="74.25" hidden="false" customHeight="true" outlineLevel="0" collapsed="false">
      <c r="A36" s="18" t="n">
        <f aca="false">TAKVİM!$B$38+(MATCH($G$5,{"Pazartesi","Salı","Çarşamba","Perşembe","Cuma"},0)-1)</f>
        <v>46486</v>
      </c>
      <c r="B36" s="19" t="s">
        <v>1521</v>
      </c>
      <c r="C36" s="19" t="s">
        <v>1530</v>
      </c>
      <c r="D36" s="19" t="s">
        <v>1531</v>
      </c>
      <c r="E36" s="19" t="s">
        <v>1532</v>
      </c>
      <c r="F36" s="19" t="s">
        <v>1533</v>
      </c>
      <c r="G36" s="19" t="s">
        <v>1420</v>
      </c>
      <c r="H36" s="19" t="s">
        <v>1421</v>
      </c>
      <c r="I36" s="19"/>
    </row>
    <row r="37" customFormat="false" ht="95.25" hidden="false" customHeight="true" outlineLevel="0" collapsed="false">
      <c r="A37" s="18" t="n">
        <f aca="false">TAKVİM!$B$39+(MATCH($G$5,{"Pazartesi","Salı","Çarşamba","Perşembe","Cuma"},0)-1)</f>
        <v>46493</v>
      </c>
      <c r="B37" s="19" t="s">
        <v>1534</v>
      </c>
      <c r="C37" s="19" t="s">
        <v>1535</v>
      </c>
      <c r="D37" s="19" t="s">
        <v>1536</v>
      </c>
      <c r="E37" s="19" t="s">
        <v>1537</v>
      </c>
      <c r="F37" s="19" t="s">
        <v>1538</v>
      </c>
      <c r="G37" s="19" t="s">
        <v>1420</v>
      </c>
      <c r="H37" s="19" t="s">
        <v>1421</v>
      </c>
      <c r="I37" s="19"/>
    </row>
    <row r="38" customFormat="false" ht="95.25" hidden="false" customHeight="true" outlineLevel="0" collapsed="false">
      <c r="A38" s="18" t="n">
        <f aca="false">TAKVİM!$B$40+(MATCH($G$5,{"Pazartesi","Salı","Çarşamba","Perşembe","Cuma"},0)-1)</f>
        <v>46500</v>
      </c>
      <c r="B38" s="19" t="s">
        <v>1534</v>
      </c>
      <c r="C38" s="19" t="s">
        <v>1539</v>
      </c>
      <c r="D38" s="19" t="s">
        <v>1540</v>
      </c>
      <c r="E38" s="19" t="s">
        <v>1541</v>
      </c>
      <c r="F38" s="19" t="s">
        <v>1542</v>
      </c>
      <c r="G38" s="19" t="s">
        <v>1420</v>
      </c>
      <c r="H38" s="19" t="s">
        <v>1421</v>
      </c>
      <c r="I38" s="19"/>
    </row>
    <row r="39" customFormat="false" ht="95.25" hidden="false" customHeight="true" outlineLevel="0" collapsed="false">
      <c r="A39" s="18" t="n">
        <f aca="false">TAKVİM!$B$41+(MATCH($G$5,{"Pazartesi","Salı","Çarşamba","Perşembe","Cuma"},0)-1)</f>
        <v>46507</v>
      </c>
      <c r="B39" s="19" t="s">
        <v>1534</v>
      </c>
      <c r="C39" s="19" t="s">
        <v>1535</v>
      </c>
      <c r="D39" s="19" t="s">
        <v>1543</v>
      </c>
      <c r="E39" s="19" t="s">
        <v>1544</v>
      </c>
      <c r="F39" s="19" t="s">
        <v>1545</v>
      </c>
      <c r="G39" s="19" t="s">
        <v>1420</v>
      </c>
      <c r="H39" s="19" t="s">
        <v>1421</v>
      </c>
      <c r="I39" s="19"/>
    </row>
    <row r="40" customFormat="false" ht="84.75" hidden="false" customHeight="true" outlineLevel="0" collapsed="false">
      <c r="A40" s="18" t="n">
        <f aca="false">TAKVİM!$B$42+(MATCH($G$5,{"Pazartesi","Salı","Çarşamba","Perşembe","Cuma"},0)-1)</f>
        <v>46514</v>
      </c>
      <c r="B40" s="19" t="s">
        <v>1546</v>
      </c>
      <c r="C40" s="19" t="s">
        <v>1547</v>
      </c>
      <c r="D40" s="19" t="s">
        <v>1548</v>
      </c>
      <c r="E40" s="19" t="s">
        <v>1549</v>
      </c>
      <c r="F40" s="19" t="s">
        <v>1550</v>
      </c>
      <c r="G40" s="19" t="s">
        <v>1420</v>
      </c>
      <c r="H40" s="19" t="s">
        <v>1421</v>
      </c>
      <c r="I40" s="19"/>
    </row>
    <row r="41" customFormat="false" ht="95.25" hidden="false" customHeight="true" outlineLevel="0" collapsed="false">
      <c r="A41" s="18" t="n">
        <f aca="false">TAKVİM!$B$43+(MATCH($G$5,{"Pazartesi","Salı","Çarşamba","Perşembe","Cuma"},0)-1)</f>
        <v>46521</v>
      </c>
      <c r="B41" s="19" t="s">
        <v>1551</v>
      </c>
      <c r="C41" s="19" t="s">
        <v>1552</v>
      </c>
      <c r="D41" s="19" t="s">
        <v>1553</v>
      </c>
      <c r="E41" s="19" t="s">
        <v>1554</v>
      </c>
      <c r="F41" s="19" t="s">
        <v>1555</v>
      </c>
      <c r="G41" s="19" t="s">
        <v>1420</v>
      </c>
      <c r="H41" s="19" t="s">
        <v>1421</v>
      </c>
      <c r="I41" s="19"/>
    </row>
    <row r="42" customFormat="false" ht="84.75" hidden="false" customHeight="true" outlineLevel="0" collapsed="false">
      <c r="A42" s="18" t="n">
        <f aca="false">TAKVİM!$B$44+(MATCH($G$5,{"Pazartesi","Salı","Çarşamba","Perşembe","Cuma"},0)-1)</f>
        <v>46528</v>
      </c>
      <c r="B42" s="19" t="s">
        <v>1556</v>
      </c>
      <c r="C42" s="19" t="s">
        <v>1557</v>
      </c>
      <c r="D42" s="19" t="s">
        <v>1558</v>
      </c>
      <c r="E42" s="19" t="s">
        <v>1559</v>
      </c>
      <c r="F42" s="19" t="s">
        <v>1560</v>
      </c>
      <c r="G42" s="19" t="s">
        <v>1420</v>
      </c>
      <c r="H42" s="19" t="s">
        <v>1421</v>
      </c>
      <c r="I42" s="19"/>
    </row>
    <row r="43" customFormat="false" ht="84.75" hidden="false" customHeight="true" outlineLevel="0" collapsed="false">
      <c r="A43" s="18" t="n">
        <f aca="false">TAKVİM!$B$45+(MATCH($G$5,{"Pazartesi","Salı","Çarşamba","Perşembe","Cuma"},0)-1)</f>
        <v>46535</v>
      </c>
      <c r="B43" s="19" t="s">
        <v>1556</v>
      </c>
      <c r="C43" s="19" t="s">
        <v>1561</v>
      </c>
      <c r="D43" s="19" t="s">
        <v>1562</v>
      </c>
      <c r="E43" s="19" t="s">
        <v>1563</v>
      </c>
      <c r="F43" s="19" t="s">
        <v>1564</v>
      </c>
      <c r="G43" s="19" t="s">
        <v>1420</v>
      </c>
      <c r="H43" s="19" t="s">
        <v>1421</v>
      </c>
      <c r="I43" s="19"/>
    </row>
    <row r="44" customFormat="false" ht="84.75" hidden="false" customHeight="true" outlineLevel="0" collapsed="false">
      <c r="A44" s="18" t="n">
        <f aca="false">TAKVİM!$B$46+(MATCH($G$5,{"Pazartesi","Salı","Çarşamba","Perşembe","Cuma"},0)-1)</f>
        <v>46542</v>
      </c>
      <c r="B44" s="19" t="s">
        <v>1546</v>
      </c>
      <c r="C44" s="19" t="s">
        <v>1565</v>
      </c>
      <c r="D44" s="19" t="s">
        <v>1566</v>
      </c>
      <c r="E44" s="19" t="s">
        <v>1567</v>
      </c>
      <c r="F44" s="19" t="s">
        <v>1568</v>
      </c>
      <c r="G44" s="19" t="s">
        <v>1420</v>
      </c>
      <c r="H44" s="19" t="s">
        <v>1421</v>
      </c>
      <c r="I44" s="19"/>
    </row>
    <row r="45" customFormat="false" ht="84.75" hidden="false" customHeight="true" outlineLevel="0" collapsed="false">
      <c r="A45" s="18" t="n">
        <f aca="false">TAKVİM!$B$47+(MATCH($G$5,{"Pazartesi","Salı","Çarşamba","Perşembe","Cuma"},0)-1)</f>
        <v>46549</v>
      </c>
      <c r="B45" s="19" t="s">
        <v>1556</v>
      </c>
      <c r="C45" s="19" t="s">
        <v>1569</v>
      </c>
      <c r="D45" s="19" t="s">
        <v>1570</v>
      </c>
      <c r="E45" s="19" t="s">
        <v>1571</v>
      </c>
      <c r="F45" s="19" t="s">
        <v>1572</v>
      </c>
      <c r="G45" s="19" t="s">
        <v>1420</v>
      </c>
      <c r="H45" s="19" t="s">
        <v>1421</v>
      </c>
      <c r="I45" s="19"/>
    </row>
    <row r="46" customFormat="false" ht="84.75" hidden="false" customHeight="true" outlineLevel="0" collapsed="false">
      <c r="A46" s="18" t="n">
        <f aca="false">TAKVİM!$B$48+(MATCH($G$5,{"Pazartesi","Salı","Çarşamba","Perşembe","Cuma"},0)-1)</f>
        <v>46556</v>
      </c>
      <c r="B46" s="19" t="s">
        <v>1556</v>
      </c>
      <c r="C46" s="19" t="s">
        <v>1561</v>
      </c>
      <c r="D46" s="19" t="s">
        <v>1573</v>
      </c>
      <c r="E46" s="19" t="s">
        <v>1574</v>
      </c>
      <c r="F46" s="19" t="s">
        <v>1575</v>
      </c>
      <c r="G46" s="19" t="s">
        <v>1420</v>
      </c>
      <c r="H46" s="19" t="s">
        <v>1421</v>
      </c>
      <c r="I46" s="19"/>
    </row>
    <row r="47" customFormat="false" ht="84.75" hidden="false" customHeight="true" outlineLevel="0" collapsed="false">
      <c r="A47" s="18" t="n">
        <f aca="false">TAKVİM!$B$49+(MATCH($G$5,{"Pazartesi","Salı","Çarşamba","Perşembe","Cuma"},0)-1)</f>
        <v>46563</v>
      </c>
      <c r="B47" s="19" t="s">
        <v>1556</v>
      </c>
      <c r="C47" s="19" t="s">
        <v>1561</v>
      </c>
      <c r="D47" s="19" t="s">
        <v>1576</v>
      </c>
      <c r="E47" s="19" t="s">
        <v>1577</v>
      </c>
      <c r="F47" s="19" t="s">
        <v>1578</v>
      </c>
      <c r="G47" s="19" t="s">
        <v>1420</v>
      </c>
      <c r="H47" s="19" t="s">
        <v>1421</v>
      </c>
      <c r="I47" s="19"/>
    </row>
    <row r="51" customFormat="false" ht="15" hidden="false" customHeight="true" outlineLevel="0" collapsed="false">
      <c r="A51" s="21" t="s">
        <v>28</v>
      </c>
      <c r="B51" s="21"/>
      <c r="C51" s="21"/>
      <c r="D51" s="21"/>
      <c r="F51" s="21" t="s">
        <v>210</v>
      </c>
      <c r="G51" s="21"/>
      <c r="H51" s="21"/>
      <c r="I51" s="21"/>
    </row>
    <row r="52" customFormat="false" ht="15" hidden="false" customHeight="true" outlineLevel="0" collapsed="false">
      <c r="A52" s="22" t="s">
        <v>211</v>
      </c>
      <c r="B52" s="22"/>
      <c r="C52" s="22"/>
      <c r="D52" s="22"/>
      <c r="F52" s="22" t="s">
        <v>212</v>
      </c>
      <c r="G52" s="22"/>
      <c r="H52" s="22"/>
      <c r="I52" s="22"/>
    </row>
    <row r="54" customFormat="false" ht="15" hidden="false" customHeight="true" outlineLevel="0" collapsed="false">
      <c r="A54" s="22" t="s">
        <v>213</v>
      </c>
      <c r="B54" s="22"/>
      <c r="C54" s="22"/>
      <c r="D54" s="22"/>
      <c r="F54" s="21" t="s">
        <v>214</v>
      </c>
      <c r="G54" s="21"/>
      <c r="H54" s="21"/>
      <c r="I54" s="21"/>
    </row>
  </sheetData>
  <mergeCells count="15">
    <mergeCell ref="C1:G1"/>
    <mergeCell ref="B3:D3"/>
    <mergeCell ref="G3:I3"/>
    <mergeCell ref="B4:D4"/>
    <mergeCell ref="G4:I4"/>
    <mergeCell ref="B5:D5"/>
    <mergeCell ref="B17:I17"/>
    <mergeCell ref="B27:I27"/>
    <mergeCell ref="B32:I32"/>
    <mergeCell ref="A51:D51"/>
    <mergeCell ref="F51:I51"/>
    <mergeCell ref="A52:D52"/>
    <mergeCell ref="F52:I52"/>
    <mergeCell ref="A54:D54"/>
    <mergeCell ref="F54:I54"/>
  </mergeCells>
  <dataValidations count="1">
    <dataValidation allowBlank="false" errorStyle="stop" operator="between" showDropDown="false" showErrorMessage="false" showInputMessage="false" sqref="G5" type="list">
      <formula1>"Pazartesi,Salı,Çarşamba,Perşembe,Cuma"</formula1>
      <formula2>0</formula2>
    </dataValidation>
  </dataValidation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4" min="3" style="1" width="26"/>
    <col collapsed="false" customWidth="true" hidden="false" outlineLevel="0" max="5" min="5" style="1" width="34"/>
    <col collapsed="false" customWidth="true" hidden="false" outlineLevel="0" max="6" min="6" style="1" width="22"/>
    <col collapsed="false" customWidth="true" hidden="false" outlineLevel="0" max="7" min="7" style="1" width="18"/>
    <col collapsed="false" customWidth="true" hidden="false" outlineLevel="0" max="8" min="8" style="1" width="22"/>
    <col collapsed="false" customWidth="true" hidden="false" outlineLevel="0" max="9" min="9" style="1" width="18"/>
  </cols>
  <sheetData>
    <row r="1" customFormat="false" ht="75" hidden="false" customHeight="true" outlineLevel="0" collapsed="false">
      <c r="C1" s="15" t="s">
        <v>18</v>
      </c>
      <c r="D1" s="15"/>
      <c r="E1" s="15"/>
      <c r="F1" s="15"/>
      <c r="G1" s="15"/>
    </row>
    <row r="3" customFormat="false" ht="15" hidden="false" customHeight="true" outlineLevel="0" collapsed="false">
      <c r="A3" s="3" t="s">
        <v>19</v>
      </c>
      <c r="B3" s="16" t="s">
        <v>1579</v>
      </c>
      <c r="C3" s="16"/>
      <c r="D3" s="16"/>
      <c r="F3" s="3" t="s">
        <v>21</v>
      </c>
      <c r="G3" s="16" t="s">
        <v>564</v>
      </c>
      <c r="H3" s="16"/>
      <c r="I3" s="16"/>
    </row>
    <row r="4" customFormat="false" ht="15" hidden="false" customHeight="true" outlineLevel="0" collapsed="false">
      <c r="A4" s="3" t="s">
        <v>23</v>
      </c>
      <c r="B4" s="16" t="s">
        <v>1580</v>
      </c>
      <c r="C4" s="16"/>
      <c r="D4" s="16"/>
      <c r="F4" s="3" t="s">
        <v>25</v>
      </c>
      <c r="G4" s="16" t="s">
        <v>216</v>
      </c>
      <c r="H4" s="16"/>
      <c r="I4" s="16"/>
    </row>
    <row r="5" customFormat="false" ht="15" hidden="false" customHeight="true" outlineLevel="0" collapsed="false">
      <c r="A5" s="3" t="s">
        <v>27</v>
      </c>
      <c r="B5" s="16" t="s">
        <v>28</v>
      </c>
      <c r="C5" s="16"/>
      <c r="D5" s="16"/>
      <c r="F5" s="3" t="s">
        <v>29</v>
      </c>
      <c r="G5" s="4" t="s">
        <v>30</v>
      </c>
    </row>
    <row r="7" customFormat="false" ht="23.25" hidden="false" customHeight="true" outlineLevel="0" collapsed="false">
      <c r="A7" s="17" t="s">
        <v>31</v>
      </c>
      <c r="B7" s="17" t="s">
        <v>32</v>
      </c>
      <c r="C7" s="17" t="s">
        <v>33</v>
      </c>
      <c r="D7" s="17" t="s">
        <v>34</v>
      </c>
      <c r="E7" s="17" t="s">
        <v>35</v>
      </c>
      <c r="F7" s="17" t="s">
        <v>36</v>
      </c>
      <c r="G7" s="17" t="s">
        <v>37</v>
      </c>
      <c r="H7" s="17" t="s">
        <v>38</v>
      </c>
      <c r="I7" s="17" t="s">
        <v>39</v>
      </c>
    </row>
    <row r="8" customFormat="false" ht="95.25" hidden="false" customHeight="true" outlineLevel="0" collapsed="false">
      <c r="A8" s="18" t="n">
        <f aca="false">TAKVİM!$B$10+(MATCH($G$5,{"Pazartesi","Salı","Çarşamba","Perşembe","Cuma"},0)-1)</f>
        <v>46283</v>
      </c>
      <c r="B8" s="19" t="s">
        <v>1581</v>
      </c>
      <c r="C8" s="19" t="s">
        <v>1582</v>
      </c>
      <c r="D8" s="19" t="s">
        <v>1583</v>
      </c>
      <c r="E8" s="19" t="s">
        <v>1584</v>
      </c>
      <c r="F8" s="19" t="s">
        <v>1585</v>
      </c>
      <c r="G8" s="19" t="s">
        <v>925</v>
      </c>
      <c r="H8" s="19" t="s">
        <v>1586</v>
      </c>
      <c r="I8" s="19"/>
    </row>
    <row r="9" customFormat="false" ht="84.75" hidden="false" customHeight="true" outlineLevel="0" collapsed="false">
      <c r="A9" s="18" t="n">
        <f aca="false">TAKVİM!$B$11+(MATCH($G$5,{"Pazartesi","Salı","Çarşamba","Perşembe","Cuma"},0)-1)</f>
        <v>46290</v>
      </c>
      <c r="B9" s="19" t="s">
        <v>1587</v>
      </c>
      <c r="C9" s="19" t="s">
        <v>1588</v>
      </c>
      <c r="D9" s="19" t="s">
        <v>1589</v>
      </c>
      <c r="E9" s="19" t="s">
        <v>1590</v>
      </c>
      <c r="F9" s="19" t="s">
        <v>1591</v>
      </c>
      <c r="G9" s="19" t="s">
        <v>925</v>
      </c>
      <c r="H9" s="19" t="s">
        <v>1586</v>
      </c>
      <c r="I9" s="19"/>
    </row>
    <row r="10" customFormat="false" ht="84.75" hidden="false" customHeight="true" outlineLevel="0" collapsed="false">
      <c r="A10" s="18" t="n">
        <f aca="false">TAKVİM!$B$12+(MATCH($G$5,{"Pazartesi","Salı","Çarşamba","Perşembe","Cuma"},0)-1)</f>
        <v>46297</v>
      </c>
      <c r="B10" s="19" t="s">
        <v>1587</v>
      </c>
      <c r="C10" s="19" t="s">
        <v>1592</v>
      </c>
      <c r="D10" s="19" t="s">
        <v>1593</v>
      </c>
      <c r="E10" s="19" t="s">
        <v>1594</v>
      </c>
      <c r="F10" s="19" t="s">
        <v>1595</v>
      </c>
      <c r="G10" s="19" t="s">
        <v>925</v>
      </c>
      <c r="H10" s="19" t="s">
        <v>1586</v>
      </c>
      <c r="I10" s="19"/>
    </row>
    <row r="11" customFormat="false" ht="84.75" hidden="false" customHeight="true" outlineLevel="0" collapsed="false">
      <c r="A11" s="18" t="n">
        <f aca="false">TAKVİM!$B$13+(MATCH($G$5,{"Pazartesi","Salı","Çarşamba","Perşembe","Cuma"},0)-1)</f>
        <v>46304</v>
      </c>
      <c r="B11" s="19" t="s">
        <v>1587</v>
      </c>
      <c r="C11" s="19" t="s">
        <v>1596</v>
      </c>
      <c r="D11" s="19" t="s">
        <v>1597</v>
      </c>
      <c r="E11" s="19" t="s">
        <v>1598</v>
      </c>
      <c r="F11" s="19" t="s">
        <v>1599</v>
      </c>
      <c r="G11" s="19" t="s">
        <v>925</v>
      </c>
      <c r="H11" s="19" t="s">
        <v>1586</v>
      </c>
      <c r="I11" s="19"/>
    </row>
    <row r="12" customFormat="false" ht="74.25" hidden="false" customHeight="true" outlineLevel="0" collapsed="false">
      <c r="A12" s="18" t="n">
        <f aca="false">TAKVİM!$B$14+(MATCH($G$5,{"Pazartesi","Salı","Çarşamba","Perşembe","Cuma"},0)-1)</f>
        <v>46311</v>
      </c>
      <c r="B12" s="19" t="s">
        <v>1600</v>
      </c>
      <c r="C12" s="19" t="s">
        <v>1601</v>
      </c>
      <c r="D12" s="19" t="s">
        <v>1602</v>
      </c>
      <c r="E12" s="19" t="s">
        <v>1603</v>
      </c>
      <c r="F12" s="19" t="s">
        <v>1604</v>
      </c>
      <c r="G12" s="19" t="s">
        <v>925</v>
      </c>
      <c r="H12" s="19" t="s">
        <v>1586</v>
      </c>
      <c r="I12" s="19"/>
    </row>
    <row r="13" customFormat="false" ht="74.25" hidden="false" customHeight="true" outlineLevel="0" collapsed="false">
      <c r="A13" s="18" t="n">
        <f aca="false">TAKVİM!$B$15+(MATCH($G$5,{"Pazartesi","Salı","Çarşamba","Perşembe","Cuma"},0)-1)</f>
        <v>46318</v>
      </c>
      <c r="B13" s="19" t="s">
        <v>1600</v>
      </c>
      <c r="C13" s="19" t="s">
        <v>1605</v>
      </c>
      <c r="D13" s="19" t="s">
        <v>1606</v>
      </c>
      <c r="E13" s="19" t="s">
        <v>1607</v>
      </c>
      <c r="F13" s="19" t="s">
        <v>1608</v>
      </c>
      <c r="G13" s="19" t="s">
        <v>925</v>
      </c>
      <c r="H13" s="19" t="s">
        <v>1586</v>
      </c>
      <c r="I13" s="19"/>
    </row>
    <row r="14" customFormat="false" ht="74.25" hidden="false" customHeight="true" outlineLevel="0" collapsed="false">
      <c r="A14" s="18" t="n">
        <f aca="false">TAKVİM!$B$16+(MATCH($G$5,{"Pazartesi","Salı","Çarşamba","Perşembe","Cuma"},0)-1)</f>
        <v>46325</v>
      </c>
      <c r="B14" s="19" t="s">
        <v>1600</v>
      </c>
      <c r="C14" s="19" t="s">
        <v>1609</v>
      </c>
      <c r="D14" s="19" t="s">
        <v>1610</v>
      </c>
      <c r="E14" s="19" t="s">
        <v>1611</v>
      </c>
      <c r="F14" s="19" t="s">
        <v>1612</v>
      </c>
      <c r="G14" s="19" t="s">
        <v>925</v>
      </c>
      <c r="H14" s="19" t="s">
        <v>1586</v>
      </c>
      <c r="I14" s="19"/>
    </row>
    <row r="15" customFormat="false" ht="74.25" hidden="false" customHeight="true" outlineLevel="0" collapsed="false">
      <c r="A15" s="18" t="n">
        <f aca="false">TAKVİM!$B$17+(MATCH($G$5,{"Pazartesi","Salı","Çarşamba","Perşembe","Cuma"},0)-1)</f>
        <v>46332</v>
      </c>
      <c r="B15" s="19" t="s">
        <v>1600</v>
      </c>
      <c r="C15" s="19" t="s">
        <v>1605</v>
      </c>
      <c r="D15" s="19" t="s">
        <v>1613</v>
      </c>
      <c r="E15" s="19" t="s">
        <v>1614</v>
      </c>
      <c r="F15" s="19" t="s">
        <v>1615</v>
      </c>
      <c r="G15" s="19" t="s">
        <v>925</v>
      </c>
      <c r="H15" s="19" t="s">
        <v>1586</v>
      </c>
      <c r="I15" s="19"/>
    </row>
    <row r="16" customFormat="false" ht="74.25" hidden="false" customHeight="true" outlineLevel="0" collapsed="false">
      <c r="A16" s="18" t="n">
        <f aca="false">TAKVİM!$B$18+(MATCH($G$5,{"Pazartesi","Salı","Çarşamba","Perşembe","Cuma"},0)-1)</f>
        <v>46339</v>
      </c>
      <c r="B16" s="19" t="s">
        <v>1600</v>
      </c>
      <c r="C16" s="19" t="s">
        <v>1616</v>
      </c>
      <c r="D16" s="19" t="s">
        <v>1617</v>
      </c>
      <c r="E16" s="19" t="s">
        <v>1618</v>
      </c>
      <c r="F16" s="19" t="s">
        <v>1619</v>
      </c>
      <c r="G16" s="19" t="s">
        <v>925</v>
      </c>
      <c r="H16" s="19" t="s">
        <v>1586</v>
      </c>
      <c r="I16" s="19"/>
    </row>
    <row r="17" customFormat="false" ht="15" hidden="false" customHeight="true" outlineLevel="0" collapsed="false">
      <c r="A17" s="20" t="str">
        <f aca="false">TAKVİM!$C$19</f>
        <v>16-20 Kasım</v>
      </c>
      <c r="B17" s="20" t="s">
        <v>15</v>
      </c>
      <c r="C17" s="20"/>
      <c r="D17" s="20"/>
      <c r="E17" s="20"/>
      <c r="F17" s="20"/>
      <c r="G17" s="20"/>
      <c r="H17" s="20"/>
      <c r="I17" s="20"/>
    </row>
    <row r="18" customFormat="false" ht="84.75" hidden="false" customHeight="true" outlineLevel="0" collapsed="false">
      <c r="A18" s="18" t="n">
        <f aca="false">TAKVİM!$B$20+(MATCH($G$5,{"Pazartesi","Salı","Çarşamba","Perşembe","Cuma"},0)-1)</f>
        <v>46353</v>
      </c>
      <c r="B18" s="19" t="s">
        <v>1620</v>
      </c>
      <c r="C18" s="19" t="s">
        <v>1621</v>
      </c>
      <c r="D18" s="19" t="s">
        <v>1622</v>
      </c>
      <c r="E18" s="19" t="s">
        <v>1623</v>
      </c>
      <c r="F18" s="19" t="s">
        <v>1624</v>
      </c>
      <c r="G18" s="19" t="s">
        <v>925</v>
      </c>
      <c r="H18" s="19" t="s">
        <v>1586</v>
      </c>
      <c r="I18" s="19"/>
    </row>
    <row r="19" customFormat="false" ht="74.25" hidden="false" customHeight="true" outlineLevel="0" collapsed="false">
      <c r="A19" s="18" t="n">
        <f aca="false">TAKVİM!$B$21+(MATCH($G$5,{"Pazartesi","Salı","Çarşamba","Perşembe","Cuma"},0)-1)</f>
        <v>46360</v>
      </c>
      <c r="B19" s="19" t="s">
        <v>1625</v>
      </c>
      <c r="C19" s="19" t="s">
        <v>1626</v>
      </c>
      <c r="D19" s="19" t="s">
        <v>1627</v>
      </c>
      <c r="E19" s="19" t="s">
        <v>1628</v>
      </c>
      <c r="F19" s="19" t="s">
        <v>1629</v>
      </c>
      <c r="G19" s="19" t="s">
        <v>925</v>
      </c>
      <c r="H19" s="19" t="s">
        <v>1586</v>
      </c>
      <c r="I19" s="19"/>
    </row>
    <row r="20" customFormat="false" ht="74.25" hidden="false" customHeight="true" outlineLevel="0" collapsed="false">
      <c r="A20" s="18" t="n">
        <f aca="false">TAKVİM!$B$22+(MATCH($G$5,{"Pazartesi","Salı","Çarşamba","Perşembe","Cuma"},0)-1)</f>
        <v>46367</v>
      </c>
      <c r="B20" s="19" t="s">
        <v>1625</v>
      </c>
      <c r="C20" s="19" t="s">
        <v>1630</v>
      </c>
      <c r="D20" s="19" t="s">
        <v>1631</v>
      </c>
      <c r="E20" s="19" t="s">
        <v>1632</v>
      </c>
      <c r="F20" s="19" t="s">
        <v>1633</v>
      </c>
      <c r="G20" s="19" t="s">
        <v>925</v>
      </c>
      <c r="H20" s="19" t="s">
        <v>1586</v>
      </c>
      <c r="I20" s="19"/>
    </row>
    <row r="21" customFormat="false" ht="84.75" hidden="false" customHeight="true" outlineLevel="0" collapsed="false">
      <c r="A21" s="18" t="n">
        <f aca="false">TAKVİM!$B$23+(MATCH($G$5,{"Pazartesi","Salı","Çarşamba","Perşembe","Cuma"},0)-1)</f>
        <v>46374</v>
      </c>
      <c r="B21" s="19" t="s">
        <v>1634</v>
      </c>
      <c r="C21" s="19" t="s">
        <v>1635</v>
      </c>
      <c r="D21" s="19" t="s">
        <v>1636</v>
      </c>
      <c r="E21" s="19" t="s">
        <v>1637</v>
      </c>
      <c r="F21" s="19" t="s">
        <v>1638</v>
      </c>
      <c r="G21" s="19" t="s">
        <v>925</v>
      </c>
      <c r="H21" s="19" t="s">
        <v>1586</v>
      </c>
      <c r="I21" s="19"/>
    </row>
    <row r="22" customFormat="false" ht="84.75" hidden="false" customHeight="true" outlineLevel="0" collapsed="false">
      <c r="A22" s="18" t="n">
        <f aca="false">TAKVİM!$B$24+(MATCH($G$5,{"Pazartesi","Salı","Çarşamba","Perşembe","Cuma"},0)-1)</f>
        <v>46381</v>
      </c>
      <c r="B22" s="19" t="s">
        <v>1634</v>
      </c>
      <c r="C22" s="19" t="s">
        <v>1639</v>
      </c>
      <c r="D22" s="19" t="s">
        <v>1640</v>
      </c>
      <c r="E22" s="19" t="s">
        <v>1641</v>
      </c>
      <c r="F22" s="19" t="s">
        <v>1642</v>
      </c>
      <c r="G22" s="19" t="s">
        <v>925</v>
      </c>
      <c r="H22" s="19" t="s">
        <v>1586</v>
      </c>
      <c r="I22" s="19"/>
    </row>
    <row r="23" customFormat="false" ht="84.75" hidden="false" customHeight="true" outlineLevel="0" collapsed="false">
      <c r="A23" s="18" t="n">
        <f aca="false">TAKVİM!$B$25+(MATCH($G$5,{"Pazartesi","Salı","Çarşamba","Perşembe","Cuma"},0)-1)</f>
        <v>46388</v>
      </c>
      <c r="B23" s="19" t="s">
        <v>1634</v>
      </c>
      <c r="C23" s="19" t="s">
        <v>1643</v>
      </c>
      <c r="D23" s="19" t="s">
        <v>1644</v>
      </c>
      <c r="E23" s="19" t="s">
        <v>1645</v>
      </c>
      <c r="F23" s="19" t="s">
        <v>1646</v>
      </c>
      <c r="G23" s="19" t="s">
        <v>925</v>
      </c>
      <c r="H23" s="19" t="s">
        <v>1586</v>
      </c>
      <c r="I23" s="19"/>
    </row>
    <row r="24" customFormat="false" ht="84.75" hidden="false" customHeight="true" outlineLevel="0" collapsed="false">
      <c r="A24" s="18" t="n">
        <f aca="false">TAKVİM!$B$26+(MATCH($G$5,{"Pazartesi","Salı","Çarşamba","Perşembe","Cuma"},0)-1)</f>
        <v>46395</v>
      </c>
      <c r="B24" s="19" t="s">
        <v>1647</v>
      </c>
      <c r="C24" s="19" t="s">
        <v>1648</v>
      </c>
      <c r="D24" s="19" t="s">
        <v>1649</v>
      </c>
      <c r="E24" s="19" t="s">
        <v>1650</v>
      </c>
      <c r="F24" s="19" t="s">
        <v>1651</v>
      </c>
      <c r="G24" s="19" t="s">
        <v>925</v>
      </c>
      <c r="H24" s="19" t="s">
        <v>1586</v>
      </c>
      <c r="I24" s="19"/>
    </row>
    <row r="25" customFormat="false" ht="84.75" hidden="false" customHeight="true" outlineLevel="0" collapsed="false">
      <c r="A25" s="18" t="n">
        <f aca="false">TAKVİM!$B$27+(MATCH($G$5,{"Pazartesi","Salı","Çarşamba","Perşembe","Cuma"},0)-1)</f>
        <v>46402</v>
      </c>
      <c r="B25" s="19" t="s">
        <v>1647</v>
      </c>
      <c r="C25" s="19" t="s">
        <v>1652</v>
      </c>
      <c r="D25" s="19" t="s">
        <v>1653</v>
      </c>
      <c r="E25" s="19" t="s">
        <v>1654</v>
      </c>
      <c r="F25" s="19" t="s">
        <v>1655</v>
      </c>
      <c r="G25" s="19" t="s">
        <v>925</v>
      </c>
      <c r="H25" s="19" t="s">
        <v>1586</v>
      </c>
      <c r="I25" s="19"/>
    </row>
    <row r="26" customFormat="false" ht="84.75" hidden="false" customHeight="true" outlineLevel="0" collapsed="false">
      <c r="A26" s="18" t="n">
        <f aca="false">TAKVİM!$B$28+(MATCH($G$5,{"Pazartesi","Salı","Çarşamba","Perşembe","Cuma"},0)-1)</f>
        <v>46409</v>
      </c>
      <c r="B26" s="19" t="s">
        <v>1647</v>
      </c>
      <c r="C26" s="19" t="s">
        <v>1656</v>
      </c>
      <c r="D26" s="19" t="s">
        <v>1657</v>
      </c>
      <c r="E26" s="19" t="s">
        <v>1658</v>
      </c>
      <c r="F26" s="19" t="s">
        <v>1659</v>
      </c>
      <c r="G26" s="19" t="s">
        <v>925</v>
      </c>
      <c r="H26" s="19" t="s">
        <v>1586</v>
      </c>
      <c r="I26" s="19"/>
    </row>
    <row r="27" customFormat="false" ht="15" hidden="false" customHeight="true" outlineLevel="0" collapsed="false">
      <c r="A27" s="20" t="str">
        <f aca="false">TAKVİM!$C$29</f>
        <v>25-29 Ocak</v>
      </c>
      <c r="B27" s="20" t="s">
        <v>16</v>
      </c>
      <c r="C27" s="20"/>
      <c r="D27" s="20"/>
      <c r="E27" s="20"/>
      <c r="F27" s="20"/>
      <c r="G27" s="20"/>
      <c r="H27" s="20"/>
      <c r="I27" s="20"/>
    </row>
    <row r="28" customFormat="false" ht="84.75" hidden="false" customHeight="true" outlineLevel="0" collapsed="false">
      <c r="A28" s="18" t="n">
        <f aca="false">TAKVİM!$B$30+(MATCH($G$5,{"Pazartesi","Salı","Çarşamba","Perşembe","Cuma"},0)-1)</f>
        <v>46430</v>
      </c>
      <c r="B28" s="19" t="s">
        <v>1660</v>
      </c>
      <c r="C28" s="19" t="s">
        <v>1661</v>
      </c>
      <c r="D28" s="19" t="s">
        <v>1662</v>
      </c>
      <c r="E28" s="19" t="s">
        <v>1663</v>
      </c>
      <c r="F28" s="19" t="s">
        <v>1664</v>
      </c>
      <c r="G28" s="19" t="s">
        <v>925</v>
      </c>
      <c r="H28" s="19" t="s">
        <v>1586</v>
      </c>
      <c r="I28" s="19"/>
    </row>
    <row r="29" customFormat="false" ht="84.75" hidden="false" customHeight="true" outlineLevel="0" collapsed="false">
      <c r="A29" s="18" t="n">
        <f aca="false">TAKVİM!$B$31+(MATCH($G$5,{"Pazartesi","Salı","Çarşamba","Perşembe","Cuma"},0)-1)</f>
        <v>46437</v>
      </c>
      <c r="B29" s="19" t="s">
        <v>1660</v>
      </c>
      <c r="C29" s="19" t="s">
        <v>1665</v>
      </c>
      <c r="D29" s="19" t="s">
        <v>1666</v>
      </c>
      <c r="E29" s="19" t="s">
        <v>1667</v>
      </c>
      <c r="F29" s="19" t="s">
        <v>1668</v>
      </c>
      <c r="G29" s="19" t="s">
        <v>925</v>
      </c>
      <c r="H29" s="19" t="s">
        <v>1586</v>
      </c>
      <c r="I29" s="19"/>
    </row>
    <row r="30" customFormat="false" ht="84.75" hidden="false" customHeight="true" outlineLevel="0" collapsed="false">
      <c r="A30" s="18" t="n">
        <f aca="false">TAKVİM!$B$32+(MATCH($G$5,{"Pazartesi","Salı","Çarşamba","Perşembe","Cuma"},0)-1)</f>
        <v>46444</v>
      </c>
      <c r="B30" s="19" t="s">
        <v>1660</v>
      </c>
      <c r="C30" s="19" t="s">
        <v>1669</v>
      </c>
      <c r="D30" s="19" t="s">
        <v>1670</v>
      </c>
      <c r="E30" s="19" t="s">
        <v>1671</v>
      </c>
      <c r="F30" s="19" t="s">
        <v>1672</v>
      </c>
      <c r="G30" s="19" t="s">
        <v>925</v>
      </c>
      <c r="H30" s="19" t="s">
        <v>1586</v>
      </c>
      <c r="I30" s="19"/>
    </row>
    <row r="31" customFormat="false" ht="84.75" hidden="false" customHeight="true" outlineLevel="0" collapsed="false">
      <c r="A31" s="18" t="n">
        <f aca="false">TAKVİM!$B$33+(MATCH($G$5,{"Pazartesi","Salı","Çarşamba","Perşembe","Cuma"},0)-1)</f>
        <v>46451</v>
      </c>
      <c r="B31" s="19" t="s">
        <v>1660</v>
      </c>
      <c r="C31" s="19" t="s">
        <v>1673</v>
      </c>
      <c r="D31" s="19" t="s">
        <v>1674</v>
      </c>
      <c r="E31" s="19" t="s">
        <v>1675</v>
      </c>
      <c r="F31" s="19" t="s">
        <v>1676</v>
      </c>
      <c r="G31" s="19" t="s">
        <v>925</v>
      </c>
      <c r="H31" s="19" t="s">
        <v>1586</v>
      </c>
      <c r="I31" s="19"/>
    </row>
    <row r="32" customFormat="false" ht="15" hidden="false" customHeight="true" outlineLevel="0" collapsed="false">
      <c r="A32" s="20" t="str">
        <f aca="false">TAKVİM!$C$34</f>
        <v>08-12 Mart</v>
      </c>
      <c r="B32" s="20" t="s">
        <v>17</v>
      </c>
      <c r="C32" s="20"/>
      <c r="D32" s="20"/>
      <c r="E32" s="20"/>
      <c r="F32" s="20"/>
      <c r="G32" s="20"/>
      <c r="H32" s="20"/>
      <c r="I32" s="20"/>
    </row>
    <row r="33" customFormat="false" ht="84.75" hidden="false" customHeight="true" outlineLevel="0" collapsed="false">
      <c r="A33" s="18" t="n">
        <f aca="false">TAKVİM!$B$35+(MATCH($G$5,{"Pazartesi","Salı","Çarşamba","Perşembe","Cuma"},0)-1)</f>
        <v>46465</v>
      </c>
      <c r="B33" s="19" t="s">
        <v>1660</v>
      </c>
      <c r="C33" s="19" t="s">
        <v>1665</v>
      </c>
      <c r="D33" s="19" t="s">
        <v>1677</v>
      </c>
      <c r="E33" s="19" t="s">
        <v>1678</v>
      </c>
      <c r="F33" s="19" t="s">
        <v>1679</v>
      </c>
      <c r="G33" s="19" t="s">
        <v>925</v>
      </c>
      <c r="H33" s="19" t="s">
        <v>1586</v>
      </c>
      <c r="I33" s="19"/>
    </row>
    <row r="34" customFormat="false" ht="84.75" hidden="false" customHeight="true" outlineLevel="0" collapsed="false">
      <c r="A34" s="18" t="n">
        <f aca="false">TAKVİM!$B$36+(MATCH($G$5,{"Pazartesi","Salı","Çarşamba","Perşembe","Cuma"},0)-1)</f>
        <v>46472</v>
      </c>
      <c r="B34" s="19" t="s">
        <v>1660</v>
      </c>
      <c r="C34" s="19" t="s">
        <v>1669</v>
      </c>
      <c r="D34" s="19" t="s">
        <v>1680</v>
      </c>
      <c r="E34" s="19" t="s">
        <v>1681</v>
      </c>
      <c r="F34" s="19" t="s">
        <v>1682</v>
      </c>
      <c r="G34" s="19" t="s">
        <v>925</v>
      </c>
      <c r="H34" s="19" t="s">
        <v>1586</v>
      </c>
      <c r="I34" s="19"/>
    </row>
    <row r="35" customFormat="false" ht="95.25" hidden="false" customHeight="true" outlineLevel="0" collapsed="false">
      <c r="A35" s="18" t="n">
        <f aca="false">TAKVİM!$B$37+(MATCH($G$5,{"Pazartesi","Salı","Çarşamba","Perşembe","Cuma"},0)-1)</f>
        <v>46479</v>
      </c>
      <c r="B35" s="19" t="s">
        <v>1683</v>
      </c>
      <c r="C35" s="19" t="s">
        <v>1684</v>
      </c>
      <c r="D35" s="19" t="s">
        <v>1685</v>
      </c>
      <c r="E35" s="19" t="s">
        <v>1686</v>
      </c>
      <c r="F35" s="19" t="s">
        <v>1687</v>
      </c>
      <c r="G35" s="19" t="s">
        <v>925</v>
      </c>
      <c r="H35" s="19" t="s">
        <v>1586</v>
      </c>
      <c r="I35" s="19"/>
    </row>
    <row r="36" customFormat="false" ht="84.75" hidden="false" customHeight="true" outlineLevel="0" collapsed="false">
      <c r="A36" s="18" t="n">
        <f aca="false">TAKVİM!$B$38+(MATCH($G$5,{"Pazartesi","Salı","Çarşamba","Perşembe","Cuma"},0)-1)</f>
        <v>46486</v>
      </c>
      <c r="B36" s="19" t="s">
        <v>1688</v>
      </c>
      <c r="C36" s="19" t="s">
        <v>1689</v>
      </c>
      <c r="D36" s="19" t="s">
        <v>1690</v>
      </c>
      <c r="E36" s="19" t="s">
        <v>1691</v>
      </c>
      <c r="F36" s="19" t="s">
        <v>1692</v>
      </c>
      <c r="G36" s="19" t="s">
        <v>925</v>
      </c>
      <c r="H36" s="19" t="s">
        <v>1586</v>
      </c>
      <c r="I36" s="19"/>
    </row>
    <row r="37" customFormat="false" ht="84.75" hidden="false" customHeight="true" outlineLevel="0" collapsed="false">
      <c r="A37" s="18" t="n">
        <f aca="false">TAKVİM!$B$39+(MATCH($G$5,{"Pazartesi","Salı","Çarşamba","Perşembe","Cuma"},0)-1)</f>
        <v>46493</v>
      </c>
      <c r="B37" s="19" t="s">
        <v>1688</v>
      </c>
      <c r="C37" s="19" t="s">
        <v>1693</v>
      </c>
      <c r="D37" s="19" t="s">
        <v>1694</v>
      </c>
      <c r="E37" s="19" t="s">
        <v>1695</v>
      </c>
      <c r="F37" s="19" t="s">
        <v>1696</v>
      </c>
      <c r="G37" s="19" t="s">
        <v>925</v>
      </c>
      <c r="H37" s="19" t="s">
        <v>1586</v>
      </c>
      <c r="I37" s="19"/>
    </row>
    <row r="38" customFormat="false" ht="84.75" hidden="false" customHeight="true" outlineLevel="0" collapsed="false">
      <c r="A38" s="18" t="n">
        <f aca="false">TAKVİM!$B$40+(MATCH($G$5,{"Pazartesi","Salı","Çarşamba","Perşembe","Cuma"},0)-1)</f>
        <v>46500</v>
      </c>
      <c r="B38" s="19" t="s">
        <v>1688</v>
      </c>
      <c r="C38" s="19" t="s">
        <v>1689</v>
      </c>
      <c r="D38" s="19" t="s">
        <v>1697</v>
      </c>
      <c r="E38" s="19" t="s">
        <v>1698</v>
      </c>
      <c r="F38" s="19" t="s">
        <v>1699</v>
      </c>
      <c r="G38" s="19" t="s">
        <v>925</v>
      </c>
      <c r="H38" s="19" t="s">
        <v>1586</v>
      </c>
      <c r="I38" s="19"/>
    </row>
    <row r="39" customFormat="false" ht="84.75" hidden="false" customHeight="true" outlineLevel="0" collapsed="false">
      <c r="A39" s="18" t="n">
        <f aca="false">TAKVİM!$B$41+(MATCH($G$5,{"Pazartesi","Salı","Çarşamba","Perşembe","Cuma"},0)-1)</f>
        <v>46507</v>
      </c>
      <c r="B39" s="19" t="s">
        <v>1700</v>
      </c>
      <c r="C39" s="19" t="s">
        <v>1701</v>
      </c>
      <c r="D39" s="19" t="s">
        <v>1702</v>
      </c>
      <c r="E39" s="19" t="s">
        <v>1703</v>
      </c>
      <c r="F39" s="19" t="s">
        <v>1704</v>
      </c>
      <c r="G39" s="19" t="s">
        <v>925</v>
      </c>
      <c r="H39" s="19" t="s">
        <v>1586</v>
      </c>
      <c r="I39" s="19"/>
    </row>
    <row r="40" customFormat="false" ht="84.75" hidden="false" customHeight="true" outlineLevel="0" collapsed="false">
      <c r="A40" s="18" t="n">
        <f aca="false">TAKVİM!$B$42+(MATCH($G$5,{"Pazartesi","Salı","Çarşamba","Perşembe","Cuma"},0)-1)</f>
        <v>46514</v>
      </c>
      <c r="B40" s="19" t="s">
        <v>1700</v>
      </c>
      <c r="C40" s="19" t="s">
        <v>1705</v>
      </c>
      <c r="D40" s="19" t="s">
        <v>1706</v>
      </c>
      <c r="E40" s="19" t="s">
        <v>1707</v>
      </c>
      <c r="F40" s="19" t="s">
        <v>1708</v>
      </c>
      <c r="G40" s="19" t="s">
        <v>925</v>
      </c>
      <c r="H40" s="19" t="s">
        <v>1586</v>
      </c>
      <c r="I40" s="19"/>
    </row>
    <row r="41" customFormat="false" ht="84.75" hidden="false" customHeight="true" outlineLevel="0" collapsed="false">
      <c r="A41" s="18" t="n">
        <f aca="false">TAKVİM!$B$43+(MATCH($G$5,{"Pazartesi","Salı","Çarşamba","Perşembe","Cuma"},0)-1)</f>
        <v>46521</v>
      </c>
      <c r="B41" s="19" t="s">
        <v>1700</v>
      </c>
      <c r="C41" s="19" t="s">
        <v>1709</v>
      </c>
      <c r="D41" s="19" t="s">
        <v>1710</v>
      </c>
      <c r="E41" s="19" t="s">
        <v>1711</v>
      </c>
      <c r="F41" s="19" t="s">
        <v>1712</v>
      </c>
      <c r="G41" s="19" t="s">
        <v>925</v>
      </c>
      <c r="H41" s="19" t="s">
        <v>1586</v>
      </c>
      <c r="I41" s="19"/>
    </row>
    <row r="42" customFormat="false" ht="84.75" hidden="false" customHeight="true" outlineLevel="0" collapsed="false">
      <c r="A42" s="18" t="n">
        <f aca="false">TAKVİM!$B$44+(MATCH($G$5,{"Pazartesi","Salı","Çarşamba","Perşembe","Cuma"},0)-1)</f>
        <v>46528</v>
      </c>
      <c r="B42" s="19" t="s">
        <v>1700</v>
      </c>
      <c r="C42" s="19" t="s">
        <v>1713</v>
      </c>
      <c r="D42" s="19" t="s">
        <v>1714</v>
      </c>
      <c r="E42" s="19" t="s">
        <v>1715</v>
      </c>
      <c r="F42" s="19" t="s">
        <v>1716</v>
      </c>
      <c r="G42" s="19" t="s">
        <v>925</v>
      </c>
      <c r="H42" s="19" t="s">
        <v>1586</v>
      </c>
      <c r="I42" s="19"/>
    </row>
    <row r="43" customFormat="false" ht="84.75" hidden="false" customHeight="true" outlineLevel="0" collapsed="false">
      <c r="A43" s="18" t="n">
        <f aca="false">TAKVİM!$B$45+(MATCH($G$5,{"Pazartesi","Salı","Çarşamba","Perşembe","Cuma"},0)-1)</f>
        <v>46535</v>
      </c>
      <c r="B43" s="19" t="s">
        <v>1717</v>
      </c>
      <c r="C43" s="19" t="s">
        <v>1718</v>
      </c>
      <c r="D43" s="19" t="s">
        <v>1719</v>
      </c>
      <c r="E43" s="19" t="s">
        <v>1720</v>
      </c>
      <c r="F43" s="19" t="s">
        <v>1721</v>
      </c>
      <c r="G43" s="19" t="s">
        <v>925</v>
      </c>
      <c r="H43" s="19" t="s">
        <v>1586</v>
      </c>
      <c r="I43" s="19"/>
    </row>
    <row r="44" customFormat="false" ht="84.75" hidden="false" customHeight="true" outlineLevel="0" collapsed="false">
      <c r="A44" s="18" t="n">
        <f aca="false">TAKVİM!$B$46+(MATCH($G$5,{"Pazartesi","Salı","Çarşamba","Perşembe","Cuma"},0)-1)</f>
        <v>46542</v>
      </c>
      <c r="B44" s="19" t="s">
        <v>1717</v>
      </c>
      <c r="C44" s="19" t="s">
        <v>1722</v>
      </c>
      <c r="D44" s="19" t="s">
        <v>1723</v>
      </c>
      <c r="E44" s="19" t="s">
        <v>1724</v>
      </c>
      <c r="F44" s="19" t="s">
        <v>1725</v>
      </c>
      <c r="G44" s="19" t="s">
        <v>925</v>
      </c>
      <c r="H44" s="19" t="s">
        <v>1586</v>
      </c>
      <c r="I44" s="19"/>
    </row>
    <row r="45" customFormat="false" ht="84.75" hidden="false" customHeight="true" outlineLevel="0" collapsed="false">
      <c r="A45" s="18" t="n">
        <f aca="false">TAKVİM!$B$47+(MATCH($G$5,{"Pazartesi","Salı","Çarşamba","Perşembe","Cuma"},0)-1)</f>
        <v>46549</v>
      </c>
      <c r="B45" s="19" t="s">
        <v>1717</v>
      </c>
      <c r="C45" s="19" t="s">
        <v>1726</v>
      </c>
      <c r="D45" s="19" t="s">
        <v>1727</v>
      </c>
      <c r="E45" s="19" t="s">
        <v>1728</v>
      </c>
      <c r="F45" s="19" t="s">
        <v>1725</v>
      </c>
      <c r="G45" s="19" t="s">
        <v>925</v>
      </c>
      <c r="H45" s="19" t="s">
        <v>1586</v>
      </c>
      <c r="I45" s="19"/>
    </row>
    <row r="46" customFormat="false" ht="84.75" hidden="false" customHeight="true" outlineLevel="0" collapsed="false">
      <c r="A46" s="18" t="n">
        <f aca="false">TAKVİM!$B$48+(MATCH($G$5,{"Pazartesi","Salı","Çarşamba","Perşembe","Cuma"},0)-1)</f>
        <v>46556</v>
      </c>
      <c r="B46" s="19" t="s">
        <v>1717</v>
      </c>
      <c r="C46" s="19" t="s">
        <v>1729</v>
      </c>
      <c r="D46" s="19" t="s">
        <v>1730</v>
      </c>
      <c r="E46" s="19" t="s">
        <v>1731</v>
      </c>
      <c r="F46" s="19" t="s">
        <v>1732</v>
      </c>
      <c r="G46" s="19" t="s">
        <v>925</v>
      </c>
      <c r="H46" s="19" t="s">
        <v>1586</v>
      </c>
      <c r="I46" s="19"/>
    </row>
    <row r="47" customFormat="false" ht="84.75" hidden="false" customHeight="true" outlineLevel="0" collapsed="false">
      <c r="A47" s="18" t="n">
        <f aca="false">TAKVİM!$B$49+(MATCH($G$5,{"Pazartesi","Salı","Çarşamba","Perşembe","Cuma"},0)-1)</f>
        <v>46563</v>
      </c>
      <c r="B47" s="19" t="s">
        <v>1717</v>
      </c>
      <c r="C47" s="19" t="s">
        <v>1729</v>
      </c>
      <c r="D47" s="19" t="s">
        <v>1733</v>
      </c>
      <c r="E47" s="19" t="s">
        <v>1734</v>
      </c>
      <c r="F47" s="19" t="s">
        <v>1735</v>
      </c>
      <c r="G47" s="19" t="s">
        <v>925</v>
      </c>
      <c r="H47" s="19" t="s">
        <v>1586</v>
      </c>
      <c r="I47" s="19"/>
    </row>
    <row r="51" customFormat="false" ht="15" hidden="false" customHeight="true" outlineLevel="0" collapsed="false">
      <c r="A51" s="21" t="s">
        <v>28</v>
      </c>
      <c r="B51" s="21"/>
      <c r="C51" s="21"/>
      <c r="D51" s="21"/>
      <c r="F51" s="21" t="s">
        <v>210</v>
      </c>
      <c r="G51" s="21"/>
      <c r="H51" s="21"/>
      <c r="I51" s="21"/>
    </row>
    <row r="52" customFormat="false" ht="15" hidden="false" customHeight="true" outlineLevel="0" collapsed="false">
      <c r="A52" s="22" t="s">
        <v>211</v>
      </c>
      <c r="B52" s="22"/>
      <c r="C52" s="22"/>
      <c r="D52" s="22"/>
      <c r="F52" s="22" t="s">
        <v>212</v>
      </c>
      <c r="G52" s="22"/>
      <c r="H52" s="22"/>
      <c r="I52" s="22"/>
    </row>
    <row r="54" customFormat="false" ht="15" hidden="false" customHeight="true" outlineLevel="0" collapsed="false">
      <c r="A54" s="22" t="s">
        <v>213</v>
      </c>
      <c r="B54" s="22"/>
      <c r="C54" s="22"/>
      <c r="D54" s="22"/>
      <c r="F54" s="21" t="s">
        <v>214</v>
      </c>
      <c r="G54" s="21"/>
      <c r="H54" s="21"/>
      <c r="I54" s="21"/>
    </row>
  </sheetData>
  <mergeCells count="15">
    <mergeCell ref="C1:G1"/>
    <mergeCell ref="B3:D3"/>
    <mergeCell ref="G3:I3"/>
    <mergeCell ref="B4:D4"/>
    <mergeCell ref="G4:I4"/>
    <mergeCell ref="B5:D5"/>
    <mergeCell ref="B17:I17"/>
    <mergeCell ref="B27:I27"/>
    <mergeCell ref="B32:I32"/>
    <mergeCell ref="A51:D51"/>
    <mergeCell ref="F51:I51"/>
    <mergeCell ref="A52:D52"/>
    <mergeCell ref="F52:I52"/>
    <mergeCell ref="A54:D54"/>
    <mergeCell ref="F54:I54"/>
  </mergeCells>
  <dataValidations count="1">
    <dataValidation allowBlank="false" errorStyle="stop" operator="between" showDropDown="false" showErrorMessage="false" showInputMessage="false" sqref="G5" type="list">
      <formula1>"Pazartesi,Salı,Çarşamba,Perşembe,Cuma"</formula1>
      <formula2>0</formula2>
    </dataValidation>
  </dataValidation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4" min="3" style="1" width="26"/>
    <col collapsed="false" customWidth="true" hidden="false" outlineLevel="0" max="5" min="5" style="1" width="34"/>
    <col collapsed="false" customWidth="true" hidden="false" outlineLevel="0" max="6" min="6" style="1" width="22"/>
    <col collapsed="false" customWidth="true" hidden="false" outlineLevel="0" max="7" min="7" style="1" width="18"/>
    <col collapsed="false" customWidth="true" hidden="false" outlineLevel="0" max="8" min="8" style="1" width="22"/>
    <col collapsed="false" customWidth="true" hidden="false" outlineLevel="0" max="9" min="9" style="1" width="18"/>
  </cols>
  <sheetData>
    <row r="1" customFormat="false" ht="75" hidden="false" customHeight="true" outlineLevel="0" collapsed="false">
      <c r="C1" s="15" t="s">
        <v>18</v>
      </c>
      <c r="D1" s="15"/>
      <c r="E1" s="15"/>
      <c r="F1" s="15"/>
      <c r="G1" s="15"/>
    </row>
    <row r="3" customFormat="false" ht="15" hidden="false" customHeight="true" outlineLevel="0" collapsed="false">
      <c r="A3" s="3" t="s">
        <v>19</v>
      </c>
      <c r="B3" s="16" t="s">
        <v>1736</v>
      </c>
      <c r="C3" s="16"/>
      <c r="D3" s="16"/>
      <c r="F3" s="3" t="s">
        <v>21</v>
      </c>
      <c r="G3" s="16" t="s">
        <v>564</v>
      </c>
      <c r="H3" s="16"/>
      <c r="I3" s="16"/>
    </row>
    <row r="4" customFormat="false" ht="15" hidden="false" customHeight="true" outlineLevel="0" collapsed="false">
      <c r="A4" s="3" t="s">
        <v>23</v>
      </c>
      <c r="B4" s="16" t="s">
        <v>1580</v>
      </c>
      <c r="C4" s="16"/>
      <c r="D4" s="16"/>
      <c r="F4" s="3" t="s">
        <v>25</v>
      </c>
      <c r="G4" s="16" t="s">
        <v>26</v>
      </c>
      <c r="H4" s="16"/>
      <c r="I4" s="16"/>
    </row>
    <row r="5" customFormat="false" ht="15" hidden="false" customHeight="true" outlineLevel="0" collapsed="false">
      <c r="A5" s="3" t="s">
        <v>27</v>
      </c>
      <c r="B5" s="16" t="s">
        <v>28</v>
      </c>
      <c r="C5" s="16"/>
      <c r="D5" s="16"/>
      <c r="F5" s="3" t="s">
        <v>29</v>
      </c>
      <c r="G5" s="4" t="s">
        <v>30</v>
      </c>
    </row>
    <row r="7" customFormat="false" ht="23.25" hidden="false" customHeight="true" outlineLevel="0" collapsed="false">
      <c r="A7" s="17" t="s">
        <v>31</v>
      </c>
      <c r="B7" s="17" t="s">
        <v>32</v>
      </c>
      <c r="C7" s="17" t="s">
        <v>33</v>
      </c>
      <c r="D7" s="17" t="s">
        <v>34</v>
      </c>
      <c r="E7" s="17" t="s">
        <v>35</v>
      </c>
      <c r="F7" s="17" t="s">
        <v>36</v>
      </c>
      <c r="G7" s="17" t="s">
        <v>37</v>
      </c>
      <c r="H7" s="17" t="s">
        <v>38</v>
      </c>
      <c r="I7" s="17" t="s">
        <v>39</v>
      </c>
    </row>
    <row r="8" customFormat="false" ht="105.75" hidden="false" customHeight="true" outlineLevel="0" collapsed="false">
      <c r="A8" s="18" t="n">
        <f aca="false">TAKVİM!$B$10+(MATCH($G$5,{"Pazartesi","Salı","Çarşamba","Perşembe","Cuma"},0)-1)</f>
        <v>46283</v>
      </c>
      <c r="B8" s="19" t="s">
        <v>1737</v>
      </c>
      <c r="C8" s="19" t="s">
        <v>1738</v>
      </c>
      <c r="D8" s="19" t="s">
        <v>1739</v>
      </c>
      <c r="E8" s="19" t="s">
        <v>1740</v>
      </c>
      <c r="F8" s="19" t="s">
        <v>1741</v>
      </c>
      <c r="G8" s="19" t="s">
        <v>925</v>
      </c>
      <c r="H8" s="19" t="s">
        <v>1742</v>
      </c>
      <c r="I8" s="19"/>
    </row>
    <row r="9" customFormat="false" ht="84.75" hidden="false" customHeight="true" outlineLevel="0" collapsed="false">
      <c r="A9" s="18" t="n">
        <f aca="false">TAKVİM!$B$11+(MATCH($G$5,{"Pazartesi","Salı","Çarşamba","Perşembe","Cuma"},0)-1)</f>
        <v>46290</v>
      </c>
      <c r="B9" s="19" t="s">
        <v>1743</v>
      </c>
      <c r="C9" s="19" t="s">
        <v>1744</v>
      </c>
      <c r="D9" s="19" t="s">
        <v>1745</v>
      </c>
      <c r="E9" s="19" t="s">
        <v>1746</v>
      </c>
      <c r="F9" s="19" t="s">
        <v>1747</v>
      </c>
      <c r="G9" s="19" t="s">
        <v>925</v>
      </c>
      <c r="H9" s="19" t="s">
        <v>1742</v>
      </c>
      <c r="I9" s="19"/>
    </row>
    <row r="10" customFormat="false" ht="84.75" hidden="false" customHeight="true" outlineLevel="0" collapsed="false">
      <c r="A10" s="18" t="n">
        <f aca="false">TAKVİM!$B$12+(MATCH($G$5,{"Pazartesi","Salı","Çarşamba","Perşembe","Cuma"},0)-1)</f>
        <v>46297</v>
      </c>
      <c r="B10" s="19" t="s">
        <v>1748</v>
      </c>
      <c r="C10" s="19" t="s">
        <v>1749</v>
      </c>
      <c r="D10" s="19" t="s">
        <v>1750</v>
      </c>
      <c r="E10" s="19" t="s">
        <v>1751</v>
      </c>
      <c r="F10" s="19" t="s">
        <v>1752</v>
      </c>
      <c r="G10" s="19" t="s">
        <v>925</v>
      </c>
      <c r="H10" s="19" t="s">
        <v>1742</v>
      </c>
      <c r="I10" s="19"/>
    </row>
    <row r="11" customFormat="false" ht="74.25" hidden="false" customHeight="true" outlineLevel="0" collapsed="false">
      <c r="A11" s="18" t="n">
        <f aca="false">TAKVİM!$B$13+(MATCH($G$5,{"Pazartesi","Salı","Çarşamba","Perşembe","Cuma"},0)-1)</f>
        <v>46304</v>
      </c>
      <c r="B11" s="19" t="s">
        <v>1753</v>
      </c>
      <c r="C11" s="19" t="s">
        <v>1754</v>
      </c>
      <c r="D11" s="19" t="s">
        <v>1755</v>
      </c>
      <c r="E11" s="19" t="s">
        <v>1756</v>
      </c>
      <c r="F11" s="19" t="s">
        <v>1757</v>
      </c>
      <c r="G11" s="19" t="s">
        <v>925</v>
      </c>
      <c r="H11" s="19" t="s">
        <v>1742</v>
      </c>
      <c r="I11" s="19"/>
    </row>
    <row r="12" customFormat="false" ht="84.75" hidden="false" customHeight="true" outlineLevel="0" collapsed="false">
      <c r="A12" s="18" t="n">
        <f aca="false">TAKVİM!$B$14+(MATCH($G$5,{"Pazartesi","Salı","Çarşamba","Perşembe","Cuma"},0)-1)</f>
        <v>46311</v>
      </c>
      <c r="B12" s="19" t="s">
        <v>1758</v>
      </c>
      <c r="C12" s="19" t="s">
        <v>1759</v>
      </c>
      <c r="D12" s="19" t="s">
        <v>1760</v>
      </c>
      <c r="E12" s="19" t="s">
        <v>1761</v>
      </c>
      <c r="F12" s="19" t="s">
        <v>1762</v>
      </c>
      <c r="G12" s="19" t="s">
        <v>925</v>
      </c>
      <c r="H12" s="19" t="s">
        <v>1742</v>
      </c>
      <c r="I12" s="19"/>
    </row>
    <row r="13" customFormat="false" ht="95.25" hidden="false" customHeight="true" outlineLevel="0" collapsed="false">
      <c r="A13" s="18" t="n">
        <f aca="false">TAKVİM!$B$15+(MATCH($G$5,{"Pazartesi","Salı","Çarşamba","Perşembe","Cuma"},0)-1)</f>
        <v>46318</v>
      </c>
      <c r="B13" s="19" t="s">
        <v>1763</v>
      </c>
      <c r="C13" s="19" t="s">
        <v>1764</v>
      </c>
      <c r="D13" s="19" t="s">
        <v>1765</v>
      </c>
      <c r="E13" s="19" t="s">
        <v>1766</v>
      </c>
      <c r="F13" s="19" t="s">
        <v>1767</v>
      </c>
      <c r="G13" s="19" t="s">
        <v>925</v>
      </c>
      <c r="H13" s="19" t="s">
        <v>1742</v>
      </c>
      <c r="I13" s="19"/>
    </row>
    <row r="14" customFormat="false" ht="84.75" hidden="false" customHeight="true" outlineLevel="0" collapsed="false">
      <c r="A14" s="18" t="n">
        <f aca="false">TAKVİM!$B$16+(MATCH($G$5,{"Pazartesi","Salı","Çarşamba","Perşembe","Cuma"},0)-1)</f>
        <v>46325</v>
      </c>
      <c r="B14" s="19" t="s">
        <v>1768</v>
      </c>
      <c r="C14" s="19" t="s">
        <v>1769</v>
      </c>
      <c r="D14" s="19" t="s">
        <v>1770</v>
      </c>
      <c r="E14" s="19" t="s">
        <v>1771</v>
      </c>
      <c r="F14" s="19" t="s">
        <v>1772</v>
      </c>
      <c r="G14" s="19" t="s">
        <v>925</v>
      </c>
      <c r="H14" s="19" t="s">
        <v>1742</v>
      </c>
      <c r="I14" s="19"/>
    </row>
    <row r="15" customFormat="false" ht="84.75" hidden="false" customHeight="true" outlineLevel="0" collapsed="false">
      <c r="A15" s="18" t="n">
        <f aca="false">TAKVİM!$B$17+(MATCH($G$5,{"Pazartesi","Salı","Çarşamba","Perşembe","Cuma"},0)-1)</f>
        <v>46332</v>
      </c>
      <c r="B15" s="19" t="s">
        <v>1773</v>
      </c>
      <c r="C15" s="19" t="s">
        <v>1774</v>
      </c>
      <c r="D15" s="19" t="s">
        <v>1775</v>
      </c>
      <c r="E15" s="19" t="s">
        <v>1776</v>
      </c>
      <c r="F15" s="19" t="s">
        <v>1777</v>
      </c>
      <c r="G15" s="19" t="s">
        <v>925</v>
      </c>
      <c r="H15" s="19" t="s">
        <v>1742</v>
      </c>
      <c r="I15" s="19"/>
    </row>
    <row r="16" customFormat="false" ht="105.75" hidden="false" customHeight="true" outlineLevel="0" collapsed="false">
      <c r="A16" s="18" t="n">
        <f aca="false">TAKVİM!$B$18+(MATCH($G$5,{"Pazartesi","Salı","Çarşamba","Perşembe","Cuma"},0)-1)</f>
        <v>46339</v>
      </c>
      <c r="B16" s="19" t="s">
        <v>1778</v>
      </c>
      <c r="C16" s="19" t="s">
        <v>1779</v>
      </c>
      <c r="D16" s="19" t="s">
        <v>1780</v>
      </c>
      <c r="E16" s="19" t="s">
        <v>1781</v>
      </c>
      <c r="F16" s="19" t="s">
        <v>1782</v>
      </c>
      <c r="G16" s="19" t="s">
        <v>925</v>
      </c>
      <c r="H16" s="19" t="s">
        <v>1742</v>
      </c>
      <c r="I16" s="19"/>
    </row>
    <row r="17" customFormat="false" ht="15" hidden="false" customHeight="true" outlineLevel="0" collapsed="false">
      <c r="A17" s="20" t="str">
        <f aca="false">TAKVİM!$C$19</f>
        <v>16-20 Kasım</v>
      </c>
      <c r="B17" s="20" t="s">
        <v>15</v>
      </c>
      <c r="C17" s="20"/>
      <c r="D17" s="20"/>
      <c r="E17" s="20"/>
      <c r="F17" s="20"/>
      <c r="G17" s="20"/>
      <c r="H17" s="20"/>
      <c r="I17" s="20"/>
    </row>
    <row r="18" customFormat="false" ht="84.75" hidden="false" customHeight="true" outlineLevel="0" collapsed="false">
      <c r="A18" s="18" t="n">
        <f aca="false">TAKVİM!$B$20+(MATCH($G$5,{"Pazartesi","Salı","Çarşamba","Perşembe","Cuma"},0)-1)</f>
        <v>46353</v>
      </c>
      <c r="B18" s="19" t="s">
        <v>1778</v>
      </c>
      <c r="C18" s="19" t="s">
        <v>1783</v>
      </c>
      <c r="D18" s="19" t="s">
        <v>1784</v>
      </c>
      <c r="E18" s="19" t="s">
        <v>1785</v>
      </c>
      <c r="F18" s="19" t="s">
        <v>1786</v>
      </c>
      <c r="G18" s="19" t="s">
        <v>925</v>
      </c>
      <c r="H18" s="19" t="s">
        <v>1742</v>
      </c>
      <c r="I18" s="19"/>
    </row>
    <row r="19" customFormat="false" ht="95.25" hidden="false" customHeight="true" outlineLevel="0" collapsed="false">
      <c r="A19" s="18" t="n">
        <f aca="false">TAKVİM!$B$21+(MATCH($G$5,{"Pazartesi","Salı","Çarşamba","Perşembe","Cuma"},0)-1)</f>
        <v>46360</v>
      </c>
      <c r="B19" s="19" t="s">
        <v>1787</v>
      </c>
      <c r="C19" s="19" t="s">
        <v>1788</v>
      </c>
      <c r="D19" s="19" t="s">
        <v>1789</v>
      </c>
      <c r="E19" s="19" t="s">
        <v>1790</v>
      </c>
      <c r="F19" s="19" t="s">
        <v>1791</v>
      </c>
      <c r="G19" s="19" t="s">
        <v>925</v>
      </c>
      <c r="H19" s="19" t="s">
        <v>1742</v>
      </c>
      <c r="I19" s="19"/>
    </row>
    <row r="20" customFormat="false" ht="84.75" hidden="false" customHeight="true" outlineLevel="0" collapsed="false">
      <c r="A20" s="18" t="n">
        <f aca="false">TAKVİM!$B$22+(MATCH($G$5,{"Pazartesi","Salı","Çarşamba","Perşembe","Cuma"},0)-1)</f>
        <v>46367</v>
      </c>
      <c r="B20" s="19" t="s">
        <v>1792</v>
      </c>
      <c r="C20" s="19" t="s">
        <v>1793</v>
      </c>
      <c r="D20" s="19" t="s">
        <v>1794</v>
      </c>
      <c r="E20" s="19" t="s">
        <v>1795</v>
      </c>
      <c r="F20" s="19" t="s">
        <v>1796</v>
      </c>
      <c r="G20" s="19" t="s">
        <v>925</v>
      </c>
      <c r="H20" s="19" t="s">
        <v>1742</v>
      </c>
      <c r="I20" s="19"/>
    </row>
    <row r="21" customFormat="false" ht="95.25" hidden="false" customHeight="true" outlineLevel="0" collapsed="false">
      <c r="A21" s="18" t="n">
        <f aca="false">TAKVİM!$B$23+(MATCH($G$5,{"Pazartesi","Salı","Çarşamba","Perşembe","Cuma"},0)-1)</f>
        <v>46374</v>
      </c>
      <c r="B21" s="19" t="s">
        <v>1797</v>
      </c>
      <c r="C21" s="19" t="s">
        <v>1798</v>
      </c>
      <c r="D21" s="19" t="s">
        <v>1799</v>
      </c>
      <c r="E21" s="19" t="s">
        <v>1800</v>
      </c>
      <c r="F21" s="19" t="s">
        <v>1801</v>
      </c>
      <c r="G21" s="19" t="s">
        <v>925</v>
      </c>
      <c r="H21" s="19" t="s">
        <v>1742</v>
      </c>
      <c r="I21" s="19"/>
    </row>
    <row r="22" customFormat="false" ht="105.75" hidden="false" customHeight="true" outlineLevel="0" collapsed="false">
      <c r="A22" s="18" t="n">
        <f aca="false">TAKVİM!$B$24+(MATCH($G$5,{"Pazartesi","Salı","Çarşamba","Perşembe","Cuma"},0)-1)</f>
        <v>46381</v>
      </c>
      <c r="B22" s="19" t="s">
        <v>1802</v>
      </c>
      <c r="C22" s="19" t="s">
        <v>1803</v>
      </c>
      <c r="D22" s="19" t="s">
        <v>1804</v>
      </c>
      <c r="E22" s="19" t="s">
        <v>1805</v>
      </c>
      <c r="F22" s="19" t="s">
        <v>1806</v>
      </c>
      <c r="G22" s="19" t="s">
        <v>925</v>
      </c>
      <c r="H22" s="19" t="s">
        <v>1742</v>
      </c>
      <c r="I22" s="19"/>
    </row>
    <row r="23" customFormat="false" ht="74.25" hidden="false" customHeight="true" outlineLevel="0" collapsed="false">
      <c r="A23" s="18" t="n">
        <f aca="false">TAKVİM!$B$25+(MATCH($G$5,{"Pazartesi","Salı","Çarşamba","Perşembe","Cuma"},0)-1)</f>
        <v>46388</v>
      </c>
      <c r="B23" s="19" t="s">
        <v>1807</v>
      </c>
      <c r="C23" s="19" t="s">
        <v>1808</v>
      </c>
      <c r="D23" s="19" t="s">
        <v>1809</v>
      </c>
      <c r="E23" s="19" t="s">
        <v>1810</v>
      </c>
      <c r="F23" s="19" t="s">
        <v>1811</v>
      </c>
      <c r="G23" s="19" t="s">
        <v>925</v>
      </c>
      <c r="H23" s="19" t="s">
        <v>1742</v>
      </c>
      <c r="I23" s="19"/>
    </row>
    <row r="24" customFormat="false" ht="147.75" hidden="false" customHeight="true" outlineLevel="0" collapsed="false">
      <c r="A24" s="18" t="n">
        <f aca="false">TAKVİM!$B$26+(MATCH($G$5,{"Pazartesi","Salı","Çarşamba","Perşembe","Cuma"},0)-1)</f>
        <v>46395</v>
      </c>
      <c r="B24" s="19" t="s">
        <v>1812</v>
      </c>
      <c r="C24" s="19" t="s">
        <v>1813</v>
      </c>
      <c r="D24" s="19" t="s">
        <v>1814</v>
      </c>
      <c r="E24" s="19" t="s">
        <v>1815</v>
      </c>
      <c r="F24" s="19" t="s">
        <v>1816</v>
      </c>
      <c r="G24" s="19" t="s">
        <v>925</v>
      </c>
      <c r="H24" s="19" t="s">
        <v>1742</v>
      </c>
      <c r="I24" s="19"/>
    </row>
    <row r="25" customFormat="false" ht="84.75" hidden="false" customHeight="true" outlineLevel="0" collapsed="false">
      <c r="A25" s="18" t="n">
        <f aca="false">TAKVİM!$B$27+(MATCH($G$5,{"Pazartesi","Salı","Çarşamba","Perşembe","Cuma"},0)-1)</f>
        <v>46402</v>
      </c>
      <c r="B25" s="19" t="s">
        <v>1817</v>
      </c>
      <c r="C25" s="19" t="s">
        <v>1818</v>
      </c>
      <c r="D25" s="19" t="s">
        <v>1819</v>
      </c>
      <c r="E25" s="19" t="s">
        <v>1820</v>
      </c>
      <c r="F25" s="19" t="s">
        <v>1821</v>
      </c>
      <c r="G25" s="19" t="s">
        <v>925</v>
      </c>
      <c r="H25" s="19" t="s">
        <v>1742</v>
      </c>
      <c r="I25" s="19"/>
    </row>
    <row r="26" customFormat="false" ht="84.75" hidden="false" customHeight="true" outlineLevel="0" collapsed="false">
      <c r="A26" s="18" t="n">
        <f aca="false">TAKVİM!$B$28+(MATCH($G$5,{"Pazartesi","Salı","Çarşamba","Perşembe","Cuma"},0)-1)</f>
        <v>46409</v>
      </c>
      <c r="B26" s="19" t="s">
        <v>1822</v>
      </c>
      <c r="C26" s="19" t="s">
        <v>1823</v>
      </c>
      <c r="D26" s="19" t="s">
        <v>1824</v>
      </c>
      <c r="E26" s="19" t="s">
        <v>1825</v>
      </c>
      <c r="F26" s="19" t="s">
        <v>654</v>
      </c>
      <c r="G26" s="19" t="s">
        <v>925</v>
      </c>
      <c r="H26" s="19" t="s">
        <v>1742</v>
      </c>
      <c r="I26" s="19"/>
    </row>
    <row r="27" customFormat="false" ht="15" hidden="false" customHeight="true" outlineLevel="0" collapsed="false">
      <c r="A27" s="20" t="str">
        <f aca="false">TAKVİM!$C$29</f>
        <v>25-29 Ocak</v>
      </c>
      <c r="B27" s="20" t="s">
        <v>16</v>
      </c>
      <c r="C27" s="20"/>
      <c r="D27" s="20"/>
      <c r="E27" s="20"/>
      <c r="F27" s="20"/>
      <c r="G27" s="20"/>
      <c r="H27" s="20"/>
      <c r="I27" s="20"/>
    </row>
    <row r="28" customFormat="false" ht="126.75" hidden="false" customHeight="true" outlineLevel="0" collapsed="false">
      <c r="A28" s="18" t="n">
        <f aca="false">TAKVİM!$B$30+(MATCH($G$5,{"Pazartesi","Salı","Çarşamba","Perşembe","Cuma"},0)-1)</f>
        <v>46430</v>
      </c>
      <c r="B28" s="19" t="s">
        <v>1826</v>
      </c>
      <c r="C28" s="19" t="s">
        <v>1827</v>
      </c>
      <c r="D28" s="19" t="s">
        <v>1828</v>
      </c>
      <c r="E28" s="19" t="s">
        <v>1829</v>
      </c>
      <c r="F28" s="19" t="s">
        <v>1830</v>
      </c>
      <c r="G28" s="19" t="s">
        <v>925</v>
      </c>
      <c r="H28" s="19" t="s">
        <v>1742</v>
      </c>
      <c r="I28" s="19"/>
    </row>
    <row r="29" customFormat="false" ht="74.25" hidden="false" customHeight="true" outlineLevel="0" collapsed="false">
      <c r="A29" s="18" t="n">
        <f aca="false">TAKVİM!$B$31+(MATCH($G$5,{"Pazartesi","Salı","Çarşamba","Perşembe","Cuma"},0)-1)</f>
        <v>46437</v>
      </c>
      <c r="B29" s="19" t="s">
        <v>1826</v>
      </c>
      <c r="C29" s="19" t="s">
        <v>1831</v>
      </c>
      <c r="D29" s="19" t="s">
        <v>1832</v>
      </c>
      <c r="E29" s="19" t="s">
        <v>1833</v>
      </c>
      <c r="F29" s="19" t="s">
        <v>1834</v>
      </c>
      <c r="G29" s="19" t="s">
        <v>925</v>
      </c>
      <c r="H29" s="19" t="s">
        <v>1742</v>
      </c>
      <c r="I29" s="19"/>
    </row>
    <row r="30" customFormat="false" ht="84.75" hidden="false" customHeight="true" outlineLevel="0" collapsed="false">
      <c r="A30" s="18" t="n">
        <f aca="false">TAKVİM!$B$32+(MATCH($G$5,{"Pazartesi","Salı","Çarşamba","Perşembe","Cuma"},0)-1)</f>
        <v>46444</v>
      </c>
      <c r="B30" s="19" t="s">
        <v>1835</v>
      </c>
      <c r="C30" s="19" t="s">
        <v>1836</v>
      </c>
      <c r="D30" s="19" t="s">
        <v>1837</v>
      </c>
      <c r="E30" s="19" t="s">
        <v>1838</v>
      </c>
      <c r="F30" s="19" t="s">
        <v>1839</v>
      </c>
      <c r="G30" s="19" t="s">
        <v>925</v>
      </c>
      <c r="H30" s="19" t="s">
        <v>1742</v>
      </c>
      <c r="I30" s="19"/>
    </row>
    <row r="31" customFormat="false" ht="84.75" hidden="false" customHeight="true" outlineLevel="0" collapsed="false">
      <c r="A31" s="18" t="n">
        <f aca="false">TAKVİM!$B$33+(MATCH($G$5,{"Pazartesi","Salı","Çarşamba","Perşembe","Cuma"},0)-1)</f>
        <v>46451</v>
      </c>
      <c r="B31" s="19" t="s">
        <v>1840</v>
      </c>
      <c r="C31" s="19" t="s">
        <v>1841</v>
      </c>
      <c r="D31" s="19" t="s">
        <v>1842</v>
      </c>
      <c r="E31" s="19" t="s">
        <v>1843</v>
      </c>
      <c r="F31" s="19" t="s">
        <v>1844</v>
      </c>
      <c r="G31" s="19" t="s">
        <v>925</v>
      </c>
      <c r="H31" s="19" t="s">
        <v>1742</v>
      </c>
      <c r="I31" s="19"/>
    </row>
    <row r="32" customFormat="false" ht="15" hidden="false" customHeight="true" outlineLevel="0" collapsed="false">
      <c r="A32" s="20" t="str">
        <f aca="false">TAKVİM!$C$34</f>
        <v>08-12 Mart</v>
      </c>
      <c r="B32" s="20" t="s">
        <v>17</v>
      </c>
      <c r="C32" s="20"/>
      <c r="D32" s="20"/>
      <c r="E32" s="20"/>
      <c r="F32" s="20"/>
      <c r="G32" s="20"/>
      <c r="H32" s="20"/>
      <c r="I32" s="20"/>
    </row>
    <row r="33" customFormat="false" ht="95.25" hidden="false" customHeight="true" outlineLevel="0" collapsed="false">
      <c r="A33" s="18" t="n">
        <f aca="false">TAKVİM!$B$35+(MATCH($G$5,{"Pazartesi","Salı","Çarşamba","Perşembe","Cuma"},0)-1)</f>
        <v>46465</v>
      </c>
      <c r="B33" s="19" t="s">
        <v>1840</v>
      </c>
      <c r="C33" s="19" t="s">
        <v>1845</v>
      </c>
      <c r="D33" s="19" t="s">
        <v>1846</v>
      </c>
      <c r="E33" s="19" t="s">
        <v>1847</v>
      </c>
      <c r="F33" s="19" t="s">
        <v>1848</v>
      </c>
      <c r="G33" s="19" t="s">
        <v>925</v>
      </c>
      <c r="H33" s="19" t="s">
        <v>1742</v>
      </c>
      <c r="I33" s="19"/>
    </row>
    <row r="34" customFormat="false" ht="84.75" hidden="false" customHeight="true" outlineLevel="0" collapsed="false">
      <c r="A34" s="18" t="n">
        <f aca="false">TAKVİM!$B$36+(MATCH($G$5,{"Pazartesi","Salı","Çarşamba","Perşembe","Cuma"},0)-1)</f>
        <v>46472</v>
      </c>
      <c r="B34" s="19" t="s">
        <v>1840</v>
      </c>
      <c r="C34" s="19" t="s">
        <v>1849</v>
      </c>
      <c r="D34" s="19" t="s">
        <v>1850</v>
      </c>
      <c r="E34" s="19" t="s">
        <v>1851</v>
      </c>
      <c r="F34" s="19" t="s">
        <v>1852</v>
      </c>
      <c r="G34" s="19" t="s">
        <v>925</v>
      </c>
      <c r="H34" s="19" t="s">
        <v>1742</v>
      </c>
      <c r="I34" s="19"/>
    </row>
    <row r="35" customFormat="false" ht="84.75" hidden="false" customHeight="true" outlineLevel="0" collapsed="false">
      <c r="A35" s="18" t="n">
        <f aca="false">TAKVİM!$B$37+(MATCH($G$5,{"Pazartesi","Salı","Çarşamba","Perşembe","Cuma"},0)-1)</f>
        <v>46479</v>
      </c>
      <c r="B35" s="19" t="s">
        <v>1840</v>
      </c>
      <c r="C35" s="19" t="s">
        <v>1853</v>
      </c>
      <c r="D35" s="19" t="s">
        <v>1854</v>
      </c>
      <c r="E35" s="19" t="s">
        <v>1855</v>
      </c>
      <c r="F35" s="19" t="s">
        <v>1856</v>
      </c>
      <c r="G35" s="19" t="s">
        <v>925</v>
      </c>
      <c r="H35" s="19" t="s">
        <v>1742</v>
      </c>
      <c r="I35" s="19"/>
    </row>
    <row r="36" customFormat="false" ht="84.75" hidden="false" customHeight="true" outlineLevel="0" collapsed="false">
      <c r="A36" s="18" t="n">
        <f aca="false">TAKVİM!$B$38+(MATCH($G$5,{"Pazartesi","Salı","Çarşamba","Perşembe","Cuma"},0)-1)</f>
        <v>46486</v>
      </c>
      <c r="B36" s="19" t="s">
        <v>1857</v>
      </c>
      <c r="C36" s="19" t="s">
        <v>1858</v>
      </c>
      <c r="D36" s="19" t="s">
        <v>1859</v>
      </c>
      <c r="E36" s="19" t="s">
        <v>1860</v>
      </c>
      <c r="F36" s="19" t="s">
        <v>1861</v>
      </c>
      <c r="G36" s="19" t="s">
        <v>925</v>
      </c>
      <c r="H36" s="19" t="s">
        <v>1742</v>
      </c>
      <c r="I36" s="19"/>
    </row>
    <row r="37" customFormat="false" ht="147.75" hidden="false" customHeight="true" outlineLevel="0" collapsed="false">
      <c r="A37" s="18" t="n">
        <f aca="false">TAKVİM!$B$39+(MATCH($G$5,{"Pazartesi","Salı","Çarşamba","Perşembe","Cuma"},0)-1)</f>
        <v>46493</v>
      </c>
      <c r="B37" s="19" t="s">
        <v>1862</v>
      </c>
      <c r="C37" s="19" t="s">
        <v>1863</v>
      </c>
      <c r="D37" s="19" t="s">
        <v>1864</v>
      </c>
      <c r="E37" s="19" t="s">
        <v>1865</v>
      </c>
      <c r="F37" s="19" t="s">
        <v>1866</v>
      </c>
      <c r="G37" s="19" t="s">
        <v>925</v>
      </c>
      <c r="H37" s="19" t="s">
        <v>1742</v>
      </c>
      <c r="I37" s="19"/>
    </row>
    <row r="38" customFormat="false" ht="74.25" hidden="false" customHeight="true" outlineLevel="0" collapsed="false">
      <c r="A38" s="18" t="n">
        <f aca="false">TAKVİM!$B$40+(MATCH($G$5,{"Pazartesi","Salı","Çarşamba","Perşembe","Cuma"},0)-1)</f>
        <v>46500</v>
      </c>
      <c r="B38" s="19" t="s">
        <v>1862</v>
      </c>
      <c r="C38" s="19" t="s">
        <v>1867</v>
      </c>
      <c r="D38" s="19" t="s">
        <v>1868</v>
      </c>
      <c r="E38" s="19" t="s">
        <v>1869</v>
      </c>
      <c r="F38" s="19" t="s">
        <v>1870</v>
      </c>
      <c r="G38" s="19" t="s">
        <v>925</v>
      </c>
      <c r="H38" s="19" t="s">
        <v>1742</v>
      </c>
      <c r="I38" s="19"/>
    </row>
    <row r="39" customFormat="false" ht="84.75" hidden="false" customHeight="true" outlineLevel="0" collapsed="false">
      <c r="A39" s="18" t="n">
        <f aca="false">TAKVİM!$B$41+(MATCH($G$5,{"Pazartesi","Salı","Çarşamba","Perşembe","Cuma"},0)-1)</f>
        <v>46507</v>
      </c>
      <c r="B39" s="19" t="s">
        <v>1871</v>
      </c>
      <c r="C39" s="19" t="s">
        <v>1872</v>
      </c>
      <c r="D39" s="19" t="s">
        <v>1873</v>
      </c>
      <c r="E39" s="19" t="s">
        <v>1874</v>
      </c>
      <c r="F39" s="19" t="s">
        <v>1875</v>
      </c>
      <c r="G39" s="19" t="s">
        <v>925</v>
      </c>
      <c r="H39" s="19" t="s">
        <v>1742</v>
      </c>
      <c r="I39" s="19"/>
    </row>
    <row r="40" customFormat="false" ht="84.75" hidden="false" customHeight="true" outlineLevel="0" collapsed="false">
      <c r="A40" s="18" t="n">
        <f aca="false">TAKVİM!$B$42+(MATCH($G$5,{"Pazartesi","Salı","Çarşamba","Perşembe","Cuma"},0)-1)</f>
        <v>46514</v>
      </c>
      <c r="B40" s="19" t="s">
        <v>1871</v>
      </c>
      <c r="C40" s="19" t="s">
        <v>1876</v>
      </c>
      <c r="D40" s="19" t="s">
        <v>1877</v>
      </c>
      <c r="E40" s="19" t="s">
        <v>1878</v>
      </c>
      <c r="F40" s="19" t="s">
        <v>1879</v>
      </c>
      <c r="G40" s="19" t="s">
        <v>925</v>
      </c>
      <c r="H40" s="19" t="s">
        <v>1742</v>
      </c>
      <c r="I40" s="19"/>
    </row>
    <row r="41" customFormat="false" ht="84.75" hidden="false" customHeight="true" outlineLevel="0" collapsed="false">
      <c r="A41" s="18" t="n">
        <f aca="false">TAKVİM!$B$43+(MATCH($G$5,{"Pazartesi","Salı","Çarşamba","Perşembe","Cuma"},0)-1)</f>
        <v>46521</v>
      </c>
      <c r="B41" s="19" t="s">
        <v>1871</v>
      </c>
      <c r="C41" s="19" t="s">
        <v>1880</v>
      </c>
      <c r="D41" s="19" t="s">
        <v>1881</v>
      </c>
      <c r="E41" s="19" t="s">
        <v>1882</v>
      </c>
      <c r="F41" s="19" t="s">
        <v>1883</v>
      </c>
      <c r="G41" s="19" t="s">
        <v>925</v>
      </c>
      <c r="H41" s="19" t="s">
        <v>1742</v>
      </c>
      <c r="I41" s="19"/>
    </row>
    <row r="42" customFormat="false" ht="74.25" hidden="false" customHeight="true" outlineLevel="0" collapsed="false">
      <c r="A42" s="18" t="n">
        <f aca="false">TAKVİM!$B$44+(MATCH($G$5,{"Pazartesi","Salı","Çarşamba","Perşembe","Cuma"},0)-1)</f>
        <v>46528</v>
      </c>
      <c r="B42" s="19" t="s">
        <v>1884</v>
      </c>
      <c r="C42" s="19" t="s">
        <v>1885</v>
      </c>
      <c r="D42" s="19" t="s">
        <v>1886</v>
      </c>
      <c r="E42" s="19" t="s">
        <v>1887</v>
      </c>
      <c r="F42" s="19" t="s">
        <v>1888</v>
      </c>
      <c r="G42" s="19" t="s">
        <v>925</v>
      </c>
      <c r="H42" s="19" t="s">
        <v>1742</v>
      </c>
      <c r="I42" s="19"/>
    </row>
    <row r="43" customFormat="false" ht="84.75" hidden="false" customHeight="true" outlineLevel="0" collapsed="false">
      <c r="A43" s="18" t="n">
        <f aca="false">TAKVİM!$B$45+(MATCH($G$5,{"Pazartesi","Salı","Çarşamba","Perşembe","Cuma"},0)-1)</f>
        <v>46535</v>
      </c>
      <c r="B43" s="19" t="s">
        <v>1884</v>
      </c>
      <c r="C43" s="19" t="s">
        <v>1889</v>
      </c>
      <c r="D43" s="19" t="s">
        <v>1890</v>
      </c>
      <c r="E43" s="19" t="s">
        <v>1891</v>
      </c>
      <c r="F43" s="19" t="s">
        <v>1892</v>
      </c>
      <c r="G43" s="19" t="s">
        <v>925</v>
      </c>
      <c r="H43" s="19" t="s">
        <v>1742</v>
      </c>
      <c r="I43" s="19"/>
    </row>
    <row r="44" customFormat="false" ht="74.25" hidden="false" customHeight="true" outlineLevel="0" collapsed="false">
      <c r="A44" s="18" t="n">
        <f aca="false">TAKVİM!$B$46+(MATCH($G$5,{"Pazartesi","Salı","Çarşamba","Perşembe","Cuma"},0)-1)</f>
        <v>46542</v>
      </c>
      <c r="B44" s="19" t="s">
        <v>1884</v>
      </c>
      <c r="C44" s="19" t="s">
        <v>1893</v>
      </c>
      <c r="D44" s="19" t="s">
        <v>1894</v>
      </c>
      <c r="E44" s="19" t="s">
        <v>1895</v>
      </c>
      <c r="F44" s="19" t="s">
        <v>1896</v>
      </c>
      <c r="G44" s="19" t="s">
        <v>925</v>
      </c>
      <c r="H44" s="19" t="s">
        <v>1742</v>
      </c>
      <c r="I44" s="19"/>
    </row>
    <row r="45" customFormat="false" ht="74.25" hidden="false" customHeight="true" outlineLevel="0" collapsed="false">
      <c r="A45" s="18" t="n">
        <f aca="false">TAKVİM!$B$47+(MATCH($G$5,{"Pazartesi","Salı","Çarşamba","Perşembe","Cuma"},0)-1)</f>
        <v>46549</v>
      </c>
      <c r="B45" s="19" t="s">
        <v>1884</v>
      </c>
      <c r="C45" s="19" t="s">
        <v>1893</v>
      </c>
      <c r="D45" s="19" t="s">
        <v>1897</v>
      </c>
      <c r="E45" s="19" t="s">
        <v>1898</v>
      </c>
      <c r="F45" s="19" t="s">
        <v>1899</v>
      </c>
      <c r="G45" s="19" t="s">
        <v>925</v>
      </c>
      <c r="H45" s="19" t="s">
        <v>1742</v>
      </c>
      <c r="I45" s="19"/>
    </row>
    <row r="46" customFormat="false" ht="74.25" hidden="false" customHeight="true" outlineLevel="0" collapsed="false">
      <c r="A46" s="18" t="n">
        <f aca="false">TAKVİM!$B$48+(MATCH($G$5,{"Pazartesi","Salı","Çarşamba","Perşembe","Cuma"},0)-1)</f>
        <v>46556</v>
      </c>
      <c r="B46" s="19" t="s">
        <v>1884</v>
      </c>
      <c r="C46" s="19" t="s">
        <v>1893</v>
      </c>
      <c r="D46" s="19" t="s">
        <v>1900</v>
      </c>
      <c r="E46" s="19" t="s">
        <v>1901</v>
      </c>
      <c r="F46" s="19" t="s">
        <v>1896</v>
      </c>
      <c r="G46" s="19" t="s">
        <v>925</v>
      </c>
      <c r="H46" s="19" t="s">
        <v>1742</v>
      </c>
      <c r="I46" s="19"/>
    </row>
    <row r="47" customFormat="false" ht="74.25" hidden="false" customHeight="true" outlineLevel="0" collapsed="false">
      <c r="A47" s="18" t="n">
        <f aca="false">TAKVİM!$B$49+(MATCH($G$5,{"Pazartesi","Salı","Çarşamba","Perşembe","Cuma"},0)-1)</f>
        <v>46563</v>
      </c>
      <c r="B47" s="19" t="s">
        <v>1884</v>
      </c>
      <c r="C47" s="19" t="s">
        <v>1893</v>
      </c>
      <c r="D47" s="19" t="s">
        <v>1902</v>
      </c>
      <c r="E47" s="19" t="s">
        <v>1903</v>
      </c>
      <c r="F47" s="19" t="s">
        <v>1904</v>
      </c>
      <c r="G47" s="19" t="s">
        <v>925</v>
      </c>
      <c r="H47" s="19" t="s">
        <v>1742</v>
      </c>
      <c r="I47" s="19"/>
    </row>
    <row r="51" customFormat="false" ht="15" hidden="false" customHeight="true" outlineLevel="0" collapsed="false">
      <c r="A51" s="21" t="s">
        <v>28</v>
      </c>
      <c r="B51" s="21"/>
      <c r="C51" s="21"/>
      <c r="D51" s="21"/>
      <c r="F51" s="21" t="s">
        <v>210</v>
      </c>
      <c r="G51" s="21"/>
      <c r="H51" s="21"/>
      <c r="I51" s="21"/>
    </row>
    <row r="52" customFormat="false" ht="15" hidden="false" customHeight="true" outlineLevel="0" collapsed="false">
      <c r="A52" s="22" t="s">
        <v>211</v>
      </c>
      <c r="B52" s="22"/>
      <c r="C52" s="22"/>
      <c r="D52" s="22"/>
      <c r="F52" s="22" t="s">
        <v>212</v>
      </c>
      <c r="G52" s="22"/>
      <c r="H52" s="22"/>
      <c r="I52" s="22"/>
    </row>
    <row r="54" customFormat="false" ht="15" hidden="false" customHeight="true" outlineLevel="0" collapsed="false">
      <c r="A54" s="22" t="s">
        <v>213</v>
      </c>
      <c r="B54" s="22"/>
      <c r="C54" s="22"/>
      <c r="D54" s="22"/>
      <c r="F54" s="21" t="s">
        <v>214</v>
      </c>
      <c r="G54" s="21"/>
      <c r="H54" s="21"/>
      <c r="I54" s="21"/>
    </row>
  </sheetData>
  <mergeCells count="15">
    <mergeCell ref="C1:G1"/>
    <mergeCell ref="B3:D3"/>
    <mergeCell ref="G3:I3"/>
    <mergeCell ref="B4:D4"/>
    <mergeCell ref="G4:I4"/>
    <mergeCell ref="B5:D5"/>
    <mergeCell ref="B17:I17"/>
    <mergeCell ref="B27:I27"/>
    <mergeCell ref="B32:I32"/>
    <mergeCell ref="A51:D51"/>
    <mergeCell ref="F51:I51"/>
    <mergeCell ref="A52:D52"/>
    <mergeCell ref="F52:I52"/>
    <mergeCell ref="A54:D54"/>
    <mergeCell ref="F54:I54"/>
  </mergeCells>
  <dataValidations count="1">
    <dataValidation allowBlank="false" errorStyle="stop" operator="between" showDropDown="false" showErrorMessage="false" showInputMessage="false" sqref="G5" type="list">
      <formula1>"Pazartesi,Salı,Çarşamba,Perşembe,Cuma"</formula1>
      <formula2>0</formula2>
    </dataValidation>
  </dataValidation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4" min="3" style="1" width="26"/>
    <col collapsed="false" customWidth="true" hidden="false" outlineLevel="0" max="5" min="5" style="1" width="34"/>
    <col collapsed="false" customWidth="true" hidden="false" outlineLevel="0" max="6" min="6" style="1" width="22"/>
    <col collapsed="false" customWidth="true" hidden="false" outlineLevel="0" max="7" min="7" style="1" width="18"/>
    <col collapsed="false" customWidth="true" hidden="false" outlineLevel="0" max="8" min="8" style="1" width="22"/>
    <col collapsed="false" customWidth="true" hidden="false" outlineLevel="0" max="9" min="9" style="1" width="18"/>
  </cols>
  <sheetData>
    <row r="1" customFormat="false" ht="75" hidden="false" customHeight="true" outlineLevel="0" collapsed="false">
      <c r="C1" s="15" t="s">
        <v>18</v>
      </c>
      <c r="D1" s="15"/>
      <c r="E1" s="15"/>
      <c r="F1" s="15"/>
      <c r="G1" s="15"/>
    </row>
    <row r="3" customFormat="false" ht="15" hidden="false" customHeight="true" outlineLevel="0" collapsed="false">
      <c r="A3" s="3" t="s">
        <v>19</v>
      </c>
      <c r="B3" s="16" t="s">
        <v>1905</v>
      </c>
      <c r="C3" s="16"/>
      <c r="D3" s="16"/>
      <c r="F3" s="3" t="s">
        <v>21</v>
      </c>
      <c r="G3" s="16" t="s">
        <v>564</v>
      </c>
      <c r="H3" s="16"/>
      <c r="I3" s="16"/>
    </row>
    <row r="4" customFormat="false" ht="15" hidden="false" customHeight="true" outlineLevel="0" collapsed="false">
      <c r="A4" s="3" t="s">
        <v>23</v>
      </c>
      <c r="B4" s="16" t="s">
        <v>1580</v>
      </c>
      <c r="C4" s="16"/>
      <c r="D4" s="16"/>
      <c r="F4" s="3" t="s">
        <v>25</v>
      </c>
      <c r="G4" s="16" t="s">
        <v>405</v>
      </c>
      <c r="H4" s="16"/>
      <c r="I4" s="16"/>
    </row>
    <row r="5" customFormat="false" ht="15" hidden="false" customHeight="true" outlineLevel="0" collapsed="false">
      <c r="A5" s="3" t="s">
        <v>27</v>
      </c>
      <c r="B5" s="16" t="s">
        <v>28</v>
      </c>
      <c r="C5" s="16"/>
      <c r="D5" s="16"/>
      <c r="F5" s="3" t="s">
        <v>29</v>
      </c>
      <c r="G5" s="4" t="s">
        <v>30</v>
      </c>
    </row>
    <row r="7" customFormat="false" ht="23.25" hidden="false" customHeight="true" outlineLevel="0" collapsed="false">
      <c r="A7" s="17" t="s">
        <v>31</v>
      </c>
      <c r="B7" s="17" t="s">
        <v>32</v>
      </c>
      <c r="C7" s="17" t="s">
        <v>33</v>
      </c>
      <c r="D7" s="17" t="s">
        <v>34</v>
      </c>
      <c r="E7" s="17" t="s">
        <v>35</v>
      </c>
      <c r="F7" s="17" t="s">
        <v>36</v>
      </c>
      <c r="G7" s="17" t="s">
        <v>37</v>
      </c>
      <c r="H7" s="17" t="s">
        <v>38</v>
      </c>
      <c r="I7" s="17" t="s">
        <v>39</v>
      </c>
    </row>
    <row r="8" customFormat="false" ht="105.75" hidden="false" customHeight="true" outlineLevel="0" collapsed="false">
      <c r="A8" s="18" t="n">
        <f aca="false">TAKVİM!$B$10+(MATCH($G$5,{"Pazartesi","Salı","Çarşamba","Perşembe","Cuma"},0)-1)</f>
        <v>46283</v>
      </c>
      <c r="B8" s="19" t="s">
        <v>1906</v>
      </c>
      <c r="C8" s="19" t="s">
        <v>1907</v>
      </c>
      <c r="D8" s="19" t="s">
        <v>1908</v>
      </c>
      <c r="E8" s="19" t="s">
        <v>1909</v>
      </c>
      <c r="F8" s="19" t="s">
        <v>1910</v>
      </c>
      <c r="G8" s="19" t="s">
        <v>925</v>
      </c>
      <c r="H8" s="19" t="s">
        <v>1911</v>
      </c>
      <c r="I8" s="19"/>
    </row>
    <row r="9" customFormat="false" ht="95.25" hidden="false" customHeight="true" outlineLevel="0" collapsed="false">
      <c r="A9" s="18" t="n">
        <f aca="false">TAKVİM!$B$11+(MATCH($G$5,{"Pazartesi","Salı","Çarşamba","Perşembe","Cuma"},0)-1)</f>
        <v>46290</v>
      </c>
      <c r="B9" s="19" t="s">
        <v>1912</v>
      </c>
      <c r="C9" s="19" t="s">
        <v>1913</v>
      </c>
      <c r="D9" s="19" t="s">
        <v>1914</v>
      </c>
      <c r="E9" s="19" t="s">
        <v>1915</v>
      </c>
      <c r="F9" s="19" t="s">
        <v>1916</v>
      </c>
      <c r="G9" s="19" t="s">
        <v>925</v>
      </c>
      <c r="H9" s="19" t="s">
        <v>1911</v>
      </c>
      <c r="I9" s="19"/>
    </row>
    <row r="10" customFormat="false" ht="95.25" hidden="false" customHeight="true" outlineLevel="0" collapsed="false">
      <c r="A10" s="18" t="n">
        <f aca="false">TAKVİM!$B$12+(MATCH($G$5,{"Pazartesi","Salı","Çarşamba","Perşembe","Cuma"},0)-1)</f>
        <v>46297</v>
      </c>
      <c r="B10" s="19" t="s">
        <v>1912</v>
      </c>
      <c r="C10" s="19" t="s">
        <v>1917</v>
      </c>
      <c r="D10" s="19" t="s">
        <v>1918</v>
      </c>
      <c r="E10" s="19" t="s">
        <v>1919</v>
      </c>
      <c r="F10" s="19" t="s">
        <v>1920</v>
      </c>
      <c r="G10" s="19" t="s">
        <v>925</v>
      </c>
      <c r="H10" s="19" t="s">
        <v>1911</v>
      </c>
      <c r="I10" s="19"/>
    </row>
    <row r="11" customFormat="false" ht="95.25" hidden="false" customHeight="true" outlineLevel="0" collapsed="false">
      <c r="A11" s="18" t="n">
        <f aca="false">TAKVİM!$B$13+(MATCH($G$5,{"Pazartesi","Salı","Çarşamba","Perşembe","Cuma"},0)-1)</f>
        <v>46304</v>
      </c>
      <c r="B11" s="19" t="s">
        <v>1912</v>
      </c>
      <c r="C11" s="19" t="s">
        <v>1921</v>
      </c>
      <c r="D11" s="19" t="s">
        <v>1922</v>
      </c>
      <c r="E11" s="19" t="s">
        <v>1923</v>
      </c>
      <c r="F11" s="19" t="s">
        <v>1924</v>
      </c>
      <c r="G11" s="19" t="s">
        <v>925</v>
      </c>
      <c r="H11" s="19" t="s">
        <v>1911</v>
      </c>
      <c r="I11" s="19"/>
    </row>
    <row r="12" customFormat="false" ht="95.25" hidden="false" customHeight="true" outlineLevel="0" collapsed="false">
      <c r="A12" s="18" t="n">
        <f aca="false">TAKVİM!$B$14+(MATCH($G$5,{"Pazartesi","Salı","Çarşamba","Perşembe","Cuma"},0)-1)</f>
        <v>46311</v>
      </c>
      <c r="B12" s="19" t="s">
        <v>1925</v>
      </c>
      <c r="C12" s="19" t="s">
        <v>1926</v>
      </c>
      <c r="D12" s="19" t="s">
        <v>1927</v>
      </c>
      <c r="E12" s="19" t="s">
        <v>1928</v>
      </c>
      <c r="F12" s="19" t="s">
        <v>1929</v>
      </c>
      <c r="G12" s="19" t="s">
        <v>925</v>
      </c>
      <c r="H12" s="19" t="s">
        <v>1911</v>
      </c>
      <c r="I12" s="19"/>
    </row>
    <row r="13" customFormat="false" ht="95.25" hidden="false" customHeight="true" outlineLevel="0" collapsed="false">
      <c r="A13" s="18" t="n">
        <f aca="false">TAKVİM!$B$15+(MATCH($G$5,{"Pazartesi","Salı","Çarşamba","Perşembe","Cuma"},0)-1)</f>
        <v>46318</v>
      </c>
      <c r="B13" s="19" t="s">
        <v>1925</v>
      </c>
      <c r="C13" s="19" t="s">
        <v>1930</v>
      </c>
      <c r="D13" s="19" t="s">
        <v>1931</v>
      </c>
      <c r="E13" s="19" t="s">
        <v>1932</v>
      </c>
      <c r="F13" s="19" t="s">
        <v>1933</v>
      </c>
      <c r="G13" s="19" t="s">
        <v>925</v>
      </c>
      <c r="H13" s="19" t="s">
        <v>1911</v>
      </c>
      <c r="I13" s="19"/>
    </row>
    <row r="14" customFormat="false" ht="95.25" hidden="false" customHeight="true" outlineLevel="0" collapsed="false">
      <c r="A14" s="18" t="n">
        <f aca="false">TAKVİM!$B$16+(MATCH($G$5,{"Pazartesi","Salı","Çarşamba","Perşembe","Cuma"},0)-1)</f>
        <v>46325</v>
      </c>
      <c r="B14" s="19" t="s">
        <v>1925</v>
      </c>
      <c r="C14" s="19" t="s">
        <v>1934</v>
      </c>
      <c r="D14" s="19" t="s">
        <v>1935</v>
      </c>
      <c r="E14" s="19" t="s">
        <v>1936</v>
      </c>
      <c r="F14" s="19" t="s">
        <v>1937</v>
      </c>
      <c r="G14" s="19" t="s">
        <v>925</v>
      </c>
      <c r="H14" s="19" t="s">
        <v>1911</v>
      </c>
      <c r="I14" s="19"/>
    </row>
    <row r="15" customFormat="false" ht="95.25" hidden="false" customHeight="true" outlineLevel="0" collapsed="false">
      <c r="A15" s="18" t="n">
        <f aca="false">TAKVİM!$B$17+(MATCH($G$5,{"Pazartesi","Salı","Çarşamba","Perşembe","Cuma"},0)-1)</f>
        <v>46332</v>
      </c>
      <c r="B15" s="19" t="s">
        <v>1925</v>
      </c>
      <c r="C15" s="19" t="s">
        <v>1938</v>
      </c>
      <c r="D15" s="19" t="s">
        <v>1939</v>
      </c>
      <c r="E15" s="19" t="s">
        <v>1940</v>
      </c>
      <c r="F15" s="19" t="s">
        <v>1941</v>
      </c>
      <c r="G15" s="19" t="s">
        <v>925</v>
      </c>
      <c r="H15" s="19" t="s">
        <v>1911</v>
      </c>
      <c r="I15" s="19"/>
    </row>
    <row r="16" customFormat="false" ht="84.75" hidden="false" customHeight="true" outlineLevel="0" collapsed="false">
      <c r="A16" s="18" t="n">
        <f aca="false">TAKVİM!$B$18+(MATCH($G$5,{"Pazartesi","Salı","Çarşamba","Perşembe","Cuma"},0)-1)</f>
        <v>46339</v>
      </c>
      <c r="B16" s="19" t="s">
        <v>1942</v>
      </c>
      <c r="C16" s="19" t="s">
        <v>1943</v>
      </c>
      <c r="D16" s="19" t="s">
        <v>1944</v>
      </c>
      <c r="E16" s="19" t="s">
        <v>1945</v>
      </c>
      <c r="F16" s="19" t="s">
        <v>1946</v>
      </c>
      <c r="G16" s="19" t="s">
        <v>925</v>
      </c>
      <c r="H16" s="19" t="s">
        <v>1911</v>
      </c>
      <c r="I16" s="19"/>
    </row>
    <row r="17" customFormat="false" ht="15" hidden="false" customHeight="true" outlineLevel="0" collapsed="false">
      <c r="A17" s="20" t="str">
        <f aca="false">TAKVİM!$C$19</f>
        <v>16-20 Kasım</v>
      </c>
      <c r="B17" s="20" t="s">
        <v>15</v>
      </c>
      <c r="C17" s="20"/>
      <c r="D17" s="20"/>
      <c r="E17" s="20"/>
      <c r="F17" s="20"/>
      <c r="G17" s="20"/>
      <c r="H17" s="20"/>
      <c r="I17" s="20"/>
    </row>
    <row r="18" customFormat="false" ht="84.75" hidden="false" customHeight="true" outlineLevel="0" collapsed="false">
      <c r="A18" s="18" t="n">
        <f aca="false">TAKVİM!$B$20+(MATCH($G$5,{"Pazartesi","Salı","Çarşamba","Perşembe","Cuma"},0)-1)</f>
        <v>46353</v>
      </c>
      <c r="B18" s="19" t="s">
        <v>1942</v>
      </c>
      <c r="C18" s="19" t="s">
        <v>1947</v>
      </c>
      <c r="D18" s="19" t="s">
        <v>1948</v>
      </c>
      <c r="E18" s="19" t="s">
        <v>1949</v>
      </c>
      <c r="F18" s="19" t="s">
        <v>1950</v>
      </c>
      <c r="G18" s="19" t="s">
        <v>925</v>
      </c>
      <c r="H18" s="19" t="s">
        <v>1911</v>
      </c>
      <c r="I18" s="19"/>
    </row>
    <row r="19" customFormat="false" ht="84.75" hidden="false" customHeight="true" outlineLevel="0" collapsed="false">
      <c r="A19" s="18" t="n">
        <f aca="false">TAKVİM!$B$21+(MATCH($G$5,{"Pazartesi","Salı","Çarşamba","Perşembe","Cuma"},0)-1)</f>
        <v>46360</v>
      </c>
      <c r="B19" s="19" t="s">
        <v>1942</v>
      </c>
      <c r="C19" s="19" t="s">
        <v>1951</v>
      </c>
      <c r="D19" s="19" t="s">
        <v>1952</v>
      </c>
      <c r="E19" s="19" t="s">
        <v>1953</v>
      </c>
      <c r="F19" s="19" t="s">
        <v>1954</v>
      </c>
      <c r="G19" s="19" t="s">
        <v>925</v>
      </c>
      <c r="H19" s="19" t="s">
        <v>1911</v>
      </c>
      <c r="I19" s="19"/>
    </row>
    <row r="20" customFormat="false" ht="84.75" hidden="false" customHeight="true" outlineLevel="0" collapsed="false">
      <c r="A20" s="18" t="n">
        <f aca="false">TAKVİM!$B$22+(MATCH($G$5,{"Pazartesi","Salı","Çarşamba","Perşembe","Cuma"},0)-1)</f>
        <v>46367</v>
      </c>
      <c r="B20" s="19" t="s">
        <v>1942</v>
      </c>
      <c r="C20" s="19" t="s">
        <v>1947</v>
      </c>
      <c r="D20" s="19" t="s">
        <v>1955</v>
      </c>
      <c r="E20" s="19" t="s">
        <v>1956</v>
      </c>
      <c r="F20" s="19" t="s">
        <v>1957</v>
      </c>
      <c r="G20" s="19" t="s">
        <v>925</v>
      </c>
      <c r="H20" s="19" t="s">
        <v>1911</v>
      </c>
      <c r="I20" s="19"/>
    </row>
    <row r="21" customFormat="false" ht="105.75" hidden="false" customHeight="true" outlineLevel="0" collapsed="false">
      <c r="A21" s="18" t="n">
        <f aca="false">TAKVİM!$B$23+(MATCH($G$5,{"Pazartesi","Salı","Çarşamba","Perşembe","Cuma"},0)-1)</f>
        <v>46374</v>
      </c>
      <c r="B21" s="19" t="s">
        <v>1958</v>
      </c>
      <c r="C21" s="19" t="s">
        <v>1959</v>
      </c>
      <c r="D21" s="19" t="s">
        <v>1960</v>
      </c>
      <c r="E21" s="19" t="s">
        <v>1961</v>
      </c>
      <c r="F21" s="19" t="s">
        <v>1962</v>
      </c>
      <c r="G21" s="19" t="s">
        <v>925</v>
      </c>
      <c r="H21" s="19" t="s">
        <v>1911</v>
      </c>
      <c r="I21" s="19"/>
    </row>
    <row r="22" customFormat="false" ht="95.25" hidden="false" customHeight="true" outlineLevel="0" collapsed="false">
      <c r="A22" s="18" t="n">
        <f aca="false">TAKVİM!$B$24+(MATCH($G$5,{"Pazartesi","Salı","Çarşamba","Perşembe","Cuma"},0)-1)</f>
        <v>46381</v>
      </c>
      <c r="B22" s="19" t="s">
        <v>1963</v>
      </c>
      <c r="C22" s="19" t="s">
        <v>1964</v>
      </c>
      <c r="D22" s="19" t="s">
        <v>1965</v>
      </c>
      <c r="E22" s="19" t="s">
        <v>1966</v>
      </c>
      <c r="F22" s="19" t="s">
        <v>1967</v>
      </c>
      <c r="G22" s="19" t="s">
        <v>925</v>
      </c>
      <c r="H22" s="19" t="s">
        <v>1911</v>
      </c>
      <c r="I22" s="19"/>
    </row>
    <row r="23" customFormat="false" ht="95.25" hidden="false" customHeight="true" outlineLevel="0" collapsed="false">
      <c r="A23" s="18" t="n">
        <f aca="false">TAKVİM!$B$25+(MATCH($G$5,{"Pazartesi","Salı","Çarşamba","Perşembe","Cuma"},0)-1)</f>
        <v>46388</v>
      </c>
      <c r="B23" s="19" t="s">
        <v>1963</v>
      </c>
      <c r="C23" s="19" t="s">
        <v>1968</v>
      </c>
      <c r="D23" s="19" t="s">
        <v>1969</v>
      </c>
      <c r="E23" s="19" t="s">
        <v>1970</v>
      </c>
      <c r="F23" s="19" t="s">
        <v>1971</v>
      </c>
      <c r="G23" s="19" t="s">
        <v>925</v>
      </c>
      <c r="H23" s="19" t="s">
        <v>1911</v>
      </c>
      <c r="I23" s="19"/>
    </row>
    <row r="24" customFormat="false" ht="95.25" hidden="false" customHeight="true" outlineLevel="0" collapsed="false">
      <c r="A24" s="18" t="n">
        <f aca="false">TAKVİM!$B$26+(MATCH($G$5,{"Pazartesi","Salı","Çarşamba","Perşembe","Cuma"},0)-1)</f>
        <v>46395</v>
      </c>
      <c r="B24" s="19" t="s">
        <v>1963</v>
      </c>
      <c r="C24" s="19" t="s">
        <v>1972</v>
      </c>
      <c r="D24" s="19" t="s">
        <v>1973</v>
      </c>
      <c r="E24" s="19" t="s">
        <v>1974</v>
      </c>
      <c r="F24" s="19" t="s">
        <v>1975</v>
      </c>
      <c r="G24" s="19" t="s">
        <v>925</v>
      </c>
      <c r="H24" s="19" t="s">
        <v>1911</v>
      </c>
      <c r="I24" s="19"/>
    </row>
    <row r="25" customFormat="false" ht="84.75" hidden="false" customHeight="true" outlineLevel="0" collapsed="false">
      <c r="A25" s="18" t="n">
        <f aca="false">TAKVİM!$B$27+(MATCH($G$5,{"Pazartesi","Salı","Çarşamba","Perşembe","Cuma"},0)-1)</f>
        <v>46402</v>
      </c>
      <c r="B25" s="19" t="s">
        <v>1976</v>
      </c>
      <c r="C25" s="19" t="s">
        <v>1977</v>
      </c>
      <c r="D25" s="19" t="s">
        <v>1978</v>
      </c>
      <c r="E25" s="19" t="s">
        <v>1979</v>
      </c>
      <c r="F25" s="19" t="s">
        <v>1980</v>
      </c>
      <c r="G25" s="19" t="s">
        <v>925</v>
      </c>
      <c r="H25" s="19" t="s">
        <v>1911</v>
      </c>
      <c r="I25" s="19"/>
    </row>
    <row r="26" customFormat="false" ht="84.75" hidden="false" customHeight="true" outlineLevel="0" collapsed="false">
      <c r="A26" s="18" t="n">
        <f aca="false">TAKVİM!$B$28+(MATCH($G$5,{"Pazartesi","Salı","Çarşamba","Perşembe","Cuma"},0)-1)</f>
        <v>46409</v>
      </c>
      <c r="B26" s="19" t="s">
        <v>1976</v>
      </c>
      <c r="C26" s="19" t="s">
        <v>1981</v>
      </c>
      <c r="D26" s="19" t="s">
        <v>1982</v>
      </c>
      <c r="E26" s="19" t="s">
        <v>1983</v>
      </c>
      <c r="F26" s="19" t="s">
        <v>1984</v>
      </c>
      <c r="G26" s="19" t="s">
        <v>925</v>
      </c>
      <c r="H26" s="19" t="s">
        <v>1911</v>
      </c>
      <c r="I26" s="19"/>
    </row>
    <row r="27" customFormat="false" ht="15" hidden="false" customHeight="true" outlineLevel="0" collapsed="false">
      <c r="A27" s="20" t="str">
        <f aca="false">TAKVİM!$C$29</f>
        <v>25-29 Ocak</v>
      </c>
      <c r="B27" s="20" t="s">
        <v>16</v>
      </c>
      <c r="C27" s="20"/>
      <c r="D27" s="20"/>
      <c r="E27" s="20"/>
      <c r="F27" s="20"/>
      <c r="G27" s="20"/>
      <c r="H27" s="20"/>
      <c r="I27" s="20"/>
    </row>
    <row r="28" customFormat="false" ht="84.75" hidden="false" customHeight="true" outlineLevel="0" collapsed="false">
      <c r="A28" s="18" t="n">
        <f aca="false">TAKVİM!$B$30+(MATCH($G$5,{"Pazartesi","Salı","Çarşamba","Perşembe","Cuma"},0)-1)</f>
        <v>46430</v>
      </c>
      <c r="B28" s="19" t="s">
        <v>1976</v>
      </c>
      <c r="C28" s="19" t="s">
        <v>1985</v>
      </c>
      <c r="D28" s="19" t="s">
        <v>1986</v>
      </c>
      <c r="E28" s="19" t="s">
        <v>1987</v>
      </c>
      <c r="F28" s="19" t="s">
        <v>1988</v>
      </c>
      <c r="G28" s="19" t="s">
        <v>925</v>
      </c>
      <c r="H28" s="19" t="s">
        <v>1911</v>
      </c>
      <c r="I28" s="19"/>
    </row>
    <row r="29" customFormat="false" ht="84.75" hidden="false" customHeight="true" outlineLevel="0" collapsed="false">
      <c r="A29" s="18" t="n">
        <f aca="false">TAKVİM!$B$31+(MATCH($G$5,{"Pazartesi","Salı","Çarşamba","Perşembe","Cuma"},0)-1)</f>
        <v>46437</v>
      </c>
      <c r="B29" s="19" t="s">
        <v>1976</v>
      </c>
      <c r="C29" s="19" t="s">
        <v>1989</v>
      </c>
      <c r="D29" s="19" t="s">
        <v>1990</v>
      </c>
      <c r="E29" s="19" t="s">
        <v>1991</v>
      </c>
      <c r="F29" s="19" t="s">
        <v>1992</v>
      </c>
      <c r="G29" s="19" t="s">
        <v>925</v>
      </c>
      <c r="H29" s="19" t="s">
        <v>1911</v>
      </c>
      <c r="I29" s="19"/>
    </row>
    <row r="30" customFormat="false" ht="84.75" hidden="false" customHeight="true" outlineLevel="0" collapsed="false">
      <c r="A30" s="18" t="n">
        <f aca="false">TAKVİM!$B$32+(MATCH($G$5,{"Pazartesi","Salı","Çarşamba","Perşembe","Cuma"},0)-1)</f>
        <v>46444</v>
      </c>
      <c r="B30" s="19" t="s">
        <v>1993</v>
      </c>
      <c r="C30" s="19" t="s">
        <v>1994</v>
      </c>
      <c r="D30" s="19" t="s">
        <v>1995</v>
      </c>
      <c r="E30" s="19" t="s">
        <v>1996</v>
      </c>
      <c r="F30" s="19" t="s">
        <v>1997</v>
      </c>
      <c r="G30" s="19" t="s">
        <v>925</v>
      </c>
      <c r="H30" s="19" t="s">
        <v>1911</v>
      </c>
      <c r="I30" s="19"/>
    </row>
    <row r="31" customFormat="false" ht="84.75" hidden="false" customHeight="true" outlineLevel="0" collapsed="false">
      <c r="A31" s="18" t="n">
        <f aca="false">TAKVİM!$B$33+(MATCH($G$5,{"Pazartesi","Salı","Çarşamba","Perşembe","Cuma"},0)-1)</f>
        <v>46451</v>
      </c>
      <c r="B31" s="19" t="s">
        <v>1993</v>
      </c>
      <c r="C31" s="19" t="s">
        <v>1998</v>
      </c>
      <c r="D31" s="19" t="s">
        <v>1999</v>
      </c>
      <c r="E31" s="19" t="s">
        <v>2000</v>
      </c>
      <c r="F31" s="19" t="s">
        <v>2001</v>
      </c>
      <c r="G31" s="19" t="s">
        <v>925</v>
      </c>
      <c r="H31" s="19" t="s">
        <v>1911</v>
      </c>
      <c r="I31" s="19"/>
    </row>
    <row r="32" customFormat="false" ht="15" hidden="false" customHeight="true" outlineLevel="0" collapsed="false">
      <c r="A32" s="20" t="str">
        <f aca="false">TAKVİM!$C$34</f>
        <v>08-12 Mart</v>
      </c>
      <c r="B32" s="20" t="s">
        <v>17</v>
      </c>
      <c r="C32" s="20"/>
      <c r="D32" s="20"/>
      <c r="E32" s="20"/>
      <c r="F32" s="20"/>
      <c r="G32" s="20"/>
      <c r="H32" s="20"/>
      <c r="I32" s="20"/>
    </row>
    <row r="33" customFormat="false" ht="84.75" hidden="false" customHeight="true" outlineLevel="0" collapsed="false">
      <c r="A33" s="18" t="n">
        <f aca="false">TAKVİM!$B$35+(MATCH($G$5,{"Pazartesi","Salı","Çarşamba","Perşembe","Cuma"},0)-1)</f>
        <v>46465</v>
      </c>
      <c r="B33" s="19" t="s">
        <v>1993</v>
      </c>
      <c r="C33" s="19" t="s">
        <v>2002</v>
      </c>
      <c r="D33" s="19" t="s">
        <v>2003</v>
      </c>
      <c r="E33" s="19" t="s">
        <v>2004</v>
      </c>
      <c r="F33" s="19" t="s">
        <v>2005</v>
      </c>
      <c r="G33" s="19" t="s">
        <v>925</v>
      </c>
      <c r="H33" s="19" t="s">
        <v>1911</v>
      </c>
      <c r="I33" s="19"/>
    </row>
    <row r="34" customFormat="false" ht="84.75" hidden="false" customHeight="true" outlineLevel="0" collapsed="false">
      <c r="A34" s="18" t="n">
        <f aca="false">TAKVİM!$B$36+(MATCH($G$5,{"Pazartesi","Salı","Çarşamba","Perşembe","Cuma"},0)-1)</f>
        <v>46472</v>
      </c>
      <c r="B34" s="19" t="s">
        <v>1993</v>
      </c>
      <c r="C34" s="19" t="s">
        <v>2006</v>
      </c>
      <c r="D34" s="19" t="s">
        <v>2007</v>
      </c>
      <c r="E34" s="19" t="s">
        <v>2008</v>
      </c>
      <c r="F34" s="19" t="s">
        <v>2009</v>
      </c>
      <c r="G34" s="19" t="s">
        <v>925</v>
      </c>
      <c r="H34" s="19" t="s">
        <v>1911</v>
      </c>
      <c r="I34" s="19"/>
    </row>
    <row r="35" customFormat="false" ht="84.75" hidden="false" customHeight="true" outlineLevel="0" collapsed="false">
      <c r="A35" s="18" t="n">
        <f aca="false">TAKVİM!$B$37+(MATCH($G$5,{"Pazartesi","Salı","Çarşamba","Perşembe","Cuma"},0)-1)</f>
        <v>46479</v>
      </c>
      <c r="B35" s="19" t="s">
        <v>2010</v>
      </c>
      <c r="C35" s="19" t="s">
        <v>2011</v>
      </c>
      <c r="D35" s="19" t="s">
        <v>2012</v>
      </c>
      <c r="E35" s="19" t="s">
        <v>2013</v>
      </c>
      <c r="F35" s="19" t="s">
        <v>2014</v>
      </c>
      <c r="G35" s="19" t="s">
        <v>925</v>
      </c>
      <c r="H35" s="19" t="s">
        <v>1911</v>
      </c>
      <c r="I35" s="19"/>
    </row>
    <row r="36" customFormat="false" ht="84.75" hidden="false" customHeight="true" outlineLevel="0" collapsed="false">
      <c r="A36" s="18" t="n">
        <f aca="false">TAKVİM!$B$38+(MATCH($G$5,{"Pazartesi","Salı","Çarşamba","Perşembe","Cuma"},0)-1)</f>
        <v>46486</v>
      </c>
      <c r="B36" s="19" t="s">
        <v>2010</v>
      </c>
      <c r="C36" s="19" t="s">
        <v>2015</v>
      </c>
      <c r="D36" s="19" t="s">
        <v>2016</v>
      </c>
      <c r="E36" s="19" t="s">
        <v>2017</v>
      </c>
      <c r="F36" s="19" t="s">
        <v>2018</v>
      </c>
      <c r="G36" s="19" t="s">
        <v>925</v>
      </c>
      <c r="H36" s="19" t="s">
        <v>1911</v>
      </c>
      <c r="I36" s="19"/>
    </row>
    <row r="37" customFormat="false" ht="84.75" hidden="false" customHeight="true" outlineLevel="0" collapsed="false">
      <c r="A37" s="18" t="n">
        <f aca="false">TAKVİM!$B$39+(MATCH($G$5,{"Pazartesi","Salı","Çarşamba","Perşembe","Cuma"},0)-1)</f>
        <v>46493</v>
      </c>
      <c r="B37" s="19" t="s">
        <v>2010</v>
      </c>
      <c r="C37" s="19" t="s">
        <v>2019</v>
      </c>
      <c r="D37" s="19" t="s">
        <v>2020</v>
      </c>
      <c r="E37" s="19" t="s">
        <v>2021</v>
      </c>
      <c r="F37" s="19" t="s">
        <v>2022</v>
      </c>
      <c r="G37" s="19" t="s">
        <v>925</v>
      </c>
      <c r="H37" s="19" t="s">
        <v>1911</v>
      </c>
      <c r="I37" s="19"/>
    </row>
    <row r="38" customFormat="false" ht="84.75" hidden="false" customHeight="true" outlineLevel="0" collapsed="false">
      <c r="A38" s="18" t="n">
        <f aca="false">TAKVİM!$B$40+(MATCH($G$5,{"Pazartesi","Salı","Çarşamba","Perşembe","Cuma"},0)-1)</f>
        <v>46500</v>
      </c>
      <c r="B38" s="19" t="s">
        <v>2010</v>
      </c>
      <c r="C38" s="19" t="s">
        <v>2023</v>
      </c>
      <c r="D38" s="19" t="s">
        <v>2024</v>
      </c>
      <c r="E38" s="19" t="s">
        <v>2025</v>
      </c>
      <c r="F38" s="19" t="s">
        <v>2026</v>
      </c>
      <c r="G38" s="19" t="s">
        <v>925</v>
      </c>
      <c r="H38" s="19" t="s">
        <v>1911</v>
      </c>
      <c r="I38" s="19"/>
    </row>
    <row r="39" customFormat="false" ht="84.75" hidden="false" customHeight="true" outlineLevel="0" collapsed="false">
      <c r="A39" s="18" t="n">
        <f aca="false">TAKVİM!$B$41+(MATCH($G$5,{"Pazartesi","Salı","Çarşamba","Perşembe","Cuma"},0)-1)</f>
        <v>46507</v>
      </c>
      <c r="B39" s="19" t="s">
        <v>2027</v>
      </c>
      <c r="C39" s="19" t="s">
        <v>2028</v>
      </c>
      <c r="D39" s="19" t="s">
        <v>2029</v>
      </c>
      <c r="E39" s="19" t="s">
        <v>2030</v>
      </c>
      <c r="F39" s="19" t="s">
        <v>2031</v>
      </c>
      <c r="G39" s="19" t="s">
        <v>925</v>
      </c>
      <c r="H39" s="19" t="s">
        <v>1911</v>
      </c>
      <c r="I39" s="19"/>
    </row>
    <row r="40" customFormat="false" ht="84.75" hidden="false" customHeight="true" outlineLevel="0" collapsed="false">
      <c r="A40" s="18" t="n">
        <f aca="false">TAKVİM!$B$42+(MATCH($G$5,{"Pazartesi","Salı","Çarşamba","Perşembe","Cuma"},0)-1)</f>
        <v>46514</v>
      </c>
      <c r="B40" s="19" t="s">
        <v>2027</v>
      </c>
      <c r="C40" s="19" t="s">
        <v>2032</v>
      </c>
      <c r="D40" s="19" t="s">
        <v>2033</v>
      </c>
      <c r="E40" s="19" t="s">
        <v>2034</v>
      </c>
      <c r="F40" s="19" t="s">
        <v>2035</v>
      </c>
      <c r="G40" s="19" t="s">
        <v>925</v>
      </c>
      <c r="H40" s="19" t="s">
        <v>1911</v>
      </c>
      <c r="I40" s="19"/>
    </row>
    <row r="41" customFormat="false" ht="84.75" hidden="false" customHeight="true" outlineLevel="0" collapsed="false">
      <c r="A41" s="18" t="n">
        <f aca="false">TAKVİM!$B$43+(MATCH($G$5,{"Pazartesi","Salı","Çarşamba","Perşembe","Cuma"},0)-1)</f>
        <v>46521</v>
      </c>
      <c r="B41" s="19" t="s">
        <v>2027</v>
      </c>
      <c r="C41" s="19" t="s">
        <v>2036</v>
      </c>
      <c r="D41" s="19" t="s">
        <v>2037</v>
      </c>
      <c r="E41" s="19" t="s">
        <v>2038</v>
      </c>
      <c r="F41" s="19" t="s">
        <v>2039</v>
      </c>
      <c r="G41" s="19" t="s">
        <v>925</v>
      </c>
      <c r="H41" s="19" t="s">
        <v>1911</v>
      </c>
      <c r="I41" s="19"/>
    </row>
    <row r="42" customFormat="false" ht="84.75" hidden="false" customHeight="true" outlineLevel="0" collapsed="false">
      <c r="A42" s="18" t="n">
        <f aca="false">TAKVİM!$B$44+(MATCH($G$5,{"Pazartesi","Salı","Çarşamba","Perşembe","Cuma"},0)-1)</f>
        <v>46528</v>
      </c>
      <c r="B42" s="19" t="s">
        <v>2027</v>
      </c>
      <c r="C42" s="19" t="s">
        <v>2040</v>
      </c>
      <c r="D42" s="19" t="s">
        <v>2041</v>
      </c>
      <c r="E42" s="19" t="s">
        <v>2042</v>
      </c>
      <c r="F42" s="19" t="s">
        <v>2043</v>
      </c>
      <c r="G42" s="19" t="s">
        <v>925</v>
      </c>
      <c r="H42" s="19" t="s">
        <v>1911</v>
      </c>
      <c r="I42" s="19"/>
    </row>
    <row r="43" customFormat="false" ht="84.75" hidden="false" customHeight="true" outlineLevel="0" collapsed="false">
      <c r="A43" s="18" t="n">
        <f aca="false">TAKVİM!$B$45+(MATCH($G$5,{"Pazartesi","Salı","Çarşamba","Perşembe","Cuma"},0)-1)</f>
        <v>46535</v>
      </c>
      <c r="B43" s="19" t="s">
        <v>2027</v>
      </c>
      <c r="C43" s="19" t="s">
        <v>2044</v>
      </c>
      <c r="D43" s="19" t="s">
        <v>2045</v>
      </c>
      <c r="E43" s="19" t="s">
        <v>2046</v>
      </c>
      <c r="F43" s="19" t="s">
        <v>2047</v>
      </c>
      <c r="G43" s="19" t="s">
        <v>925</v>
      </c>
      <c r="H43" s="19" t="s">
        <v>1911</v>
      </c>
      <c r="I43" s="19"/>
    </row>
    <row r="44" customFormat="false" ht="84.75" hidden="false" customHeight="true" outlineLevel="0" collapsed="false">
      <c r="A44" s="18" t="n">
        <f aca="false">TAKVİM!$B$46+(MATCH($G$5,{"Pazartesi","Salı","Çarşamba","Perşembe","Cuma"},0)-1)</f>
        <v>46542</v>
      </c>
      <c r="B44" s="19" t="s">
        <v>2027</v>
      </c>
      <c r="C44" s="19" t="s">
        <v>2040</v>
      </c>
      <c r="D44" s="19" t="s">
        <v>2048</v>
      </c>
      <c r="E44" s="19" t="s">
        <v>2049</v>
      </c>
      <c r="F44" s="19" t="s">
        <v>2050</v>
      </c>
      <c r="G44" s="19" t="s">
        <v>925</v>
      </c>
      <c r="H44" s="19" t="s">
        <v>1911</v>
      </c>
      <c r="I44" s="19"/>
    </row>
    <row r="45" customFormat="false" ht="84.75" hidden="false" customHeight="true" outlineLevel="0" collapsed="false">
      <c r="A45" s="18" t="n">
        <f aca="false">TAKVİM!$B$47+(MATCH($G$5,{"Pazartesi","Salı","Çarşamba","Perşembe","Cuma"},0)-1)</f>
        <v>46549</v>
      </c>
      <c r="B45" s="19" t="s">
        <v>2027</v>
      </c>
      <c r="C45" s="19" t="s">
        <v>2051</v>
      </c>
      <c r="D45" s="19" t="s">
        <v>2052</v>
      </c>
      <c r="E45" s="19" t="s">
        <v>2053</v>
      </c>
      <c r="F45" s="19" t="s">
        <v>2054</v>
      </c>
      <c r="G45" s="19" t="s">
        <v>925</v>
      </c>
      <c r="H45" s="19" t="s">
        <v>1911</v>
      </c>
      <c r="I45" s="19"/>
    </row>
    <row r="46" customFormat="false" ht="84.75" hidden="false" customHeight="true" outlineLevel="0" collapsed="false">
      <c r="A46" s="18" t="n">
        <f aca="false">TAKVİM!$B$48+(MATCH($G$5,{"Pazartesi","Salı","Çarşamba","Perşembe","Cuma"},0)-1)</f>
        <v>46556</v>
      </c>
      <c r="B46" s="19" t="s">
        <v>2027</v>
      </c>
      <c r="C46" s="19" t="s">
        <v>2051</v>
      </c>
      <c r="D46" s="19" t="s">
        <v>2055</v>
      </c>
      <c r="E46" s="19" t="s">
        <v>2056</v>
      </c>
      <c r="F46" s="19" t="s">
        <v>2047</v>
      </c>
      <c r="G46" s="19" t="s">
        <v>925</v>
      </c>
      <c r="H46" s="19" t="s">
        <v>1911</v>
      </c>
      <c r="I46" s="19"/>
    </row>
    <row r="47" customFormat="false" ht="84.75" hidden="false" customHeight="true" outlineLevel="0" collapsed="false">
      <c r="A47" s="18" t="n">
        <f aca="false">TAKVİM!$B$49+(MATCH($G$5,{"Pazartesi","Salı","Çarşamba","Perşembe","Cuma"},0)-1)</f>
        <v>46563</v>
      </c>
      <c r="B47" s="19" t="s">
        <v>2027</v>
      </c>
      <c r="C47" s="19" t="s">
        <v>2051</v>
      </c>
      <c r="D47" s="19" t="s">
        <v>2057</v>
      </c>
      <c r="E47" s="19" t="s">
        <v>2058</v>
      </c>
      <c r="F47" s="19" t="s">
        <v>1904</v>
      </c>
      <c r="G47" s="19" t="s">
        <v>925</v>
      </c>
      <c r="H47" s="19" t="s">
        <v>1911</v>
      </c>
      <c r="I47" s="19"/>
    </row>
    <row r="51" customFormat="false" ht="15" hidden="false" customHeight="true" outlineLevel="0" collapsed="false">
      <c r="A51" s="21" t="s">
        <v>28</v>
      </c>
      <c r="B51" s="21"/>
      <c r="C51" s="21"/>
      <c r="D51" s="21"/>
      <c r="F51" s="21" t="s">
        <v>210</v>
      </c>
      <c r="G51" s="21"/>
      <c r="H51" s="21"/>
      <c r="I51" s="21"/>
    </row>
    <row r="52" customFormat="false" ht="15" hidden="false" customHeight="true" outlineLevel="0" collapsed="false">
      <c r="A52" s="22" t="s">
        <v>211</v>
      </c>
      <c r="B52" s="22"/>
      <c r="C52" s="22"/>
      <c r="D52" s="22"/>
      <c r="F52" s="22" t="s">
        <v>212</v>
      </c>
      <c r="G52" s="22"/>
      <c r="H52" s="22"/>
      <c r="I52" s="22"/>
    </row>
    <row r="54" customFormat="false" ht="15" hidden="false" customHeight="true" outlineLevel="0" collapsed="false">
      <c r="A54" s="22" t="s">
        <v>213</v>
      </c>
      <c r="B54" s="22"/>
      <c r="C54" s="22"/>
      <c r="D54" s="22"/>
      <c r="F54" s="21" t="s">
        <v>214</v>
      </c>
      <c r="G54" s="21"/>
      <c r="H54" s="21"/>
      <c r="I54" s="21"/>
    </row>
  </sheetData>
  <mergeCells count="15">
    <mergeCell ref="C1:G1"/>
    <mergeCell ref="B3:D3"/>
    <mergeCell ref="G3:I3"/>
    <mergeCell ref="B4:D4"/>
    <mergeCell ref="G4:I4"/>
    <mergeCell ref="B5:D5"/>
    <mergeCell ref="B17:I17"/>
    <mergeCell ref="B27:I27"/>
    <mergeCell ref="B32:I32"/>
    <mergeCell ref="A51:D51"/>
    <mergeCell ref="F51:I51"/>
    <mergeCell ref="A52:D52"/>
    <mergeCell ref="F52:I52"/>
    <mergeCell ref="A54:D54"/>
    <mergeCell ref="F54:I54"/>
  </mergeCells>
  <dataValidations count="1">
    <dataValidation allowBlank="false" errorStyle="stop" operator="between" showDropDown="false" showErrorMessage="false" showInputMessage="false" sqref="G5" type="list">
      <formula1>"Pazartesi,Salı,Çarşamba,Perşembe,Cuma"</formula1>
      <formula2>0</formula2>
    </dataValidation>
  </dataValidation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4" min="3" style="1" width="26"/>
    <col collapsed="false" customWidth="true" hidden="false" outlineLevel="0" max="5" min="5" style="1" width="34"/>
    <col collapsed="false" customWidth="true" hidden="false" outlineLevel="0" max="6" min="6" style="1" width="22"/>
    <col collapsed="false" customWidth="true" hidden="false" outlineLevel="0" max="7" min="7" style="1" width="18"/>
    <col collapsed="false" customWidth="true" hidden="false" outlineLevel="0" max="8" min="8" style="1" width="22"/>
    <col collapsed="false" customWidth="true" hidden="false" outlineLevel="0" max="9" min="9" style="1" width="18"/>
  </cols>
  <sheetData>
    <row r="1" customFormat="false" ht="75" hidden="false" customHeight="true" outlineLevel="0" collapsed="false">
      <c r="C1" s="15" t="s">
        <v>18</v>
      </c>
      <c r="D1" s="15"/>
      <c r="E1" s="15"/>
      <c r="F1" s="15"/>
      <c r="G1" s="15"/>
    </row>
    <row r="3" customFormat="false" ht="15" hidden="false" customHeight="true" outlineLevel="0" collapsed="false">
      <c r="A3" s="3" t="s">
        <v>19</v>
      </c>
      <c r="B3" s="16" t="s">
        <v>2059</v>
      </c>
      <c r="C3" s="16"/>
      <c r="D3" s="16"/>
      <c r="F3" s="3" t="s">
        <v>21</v>
      </c>
      <c r="G3" s="16" t="s">
        <v>564</v>
      </c>
      <c r="H3" s="16"/>
      <c r="I3" s="16"/>
    </row>
    <row r="4" customFormat="false" ht="15" hidden="false" customHeight="true" outlineLevel="0" collapsed="false">
      <c r="A4" s="3" t="s">
        <v>23</v>
      </c>
      <c r="B4" s="16" t="s">
        <v>1580</v>
      </c>
      <c r="C4" s="16"/>
      <c r="D4" s="16"/>
      <c r="F4" s="3" t="s">
        <v>25</v>
      </c>
      <c r="G4" s="16" t="s">
        <v>26</v>
      </c>
      <c r="H4" s="16"/>
      <c r="I4" s="16"/>
    </row>
    <row r="5" customFormat="false" ht="15" hidden="false" customHeight="true" outlineLevel="0" collapsed="false">
      <c r="A5" s="3" t="s">
        <v>27</v>
      </c>
      <c r="B5" s="16" t="s">
        <v>28</v>
      </c>
      <c r="C5" s="16"/>
      <c r="D5" s="16"/>
      <c r="F5" s="3" t="s">
        <v>29</v>
      </c>
      <c r="G5" s="4" t="s">
        <v>30</v>
      </c>
    </row>
    <row r="7" customFormat="false" ht="23.25" hidden="false" customHeight="true" outlineLevel="0" collapsed="false">
      <c r="A7" s="17" t="s">
        <v>31</v>
      </c>
      <c r="B7" s="17" t="s">
        <v>32</v>
      </c>
      <c r="C7" s="17" t="s">
        <v>33</v>
      </c>
      <c r="D7" s="17" t="s">
        <v>34</v>
      </c>
      <c r="E7" s="17" t="s">
        <v>35</v>
      </c>
      <c r="F7" s="17" t="s">
        <v>36</v>
      </c>
      <c r="G7" s="17" t="s">
        <v>37</v>
      </c>
      <c r="H7" s="17" t="s">
        <v>38</v>
      </c>
      <c r="I7" s="17" t="s">
        <v>39</v>
      </c>
    </row>
    <row r="8" customFormat="false" ht="95.25" hidden="false" customHeight="true" outlineLevel="0" collapsed="false">
      <c r="A8" s="18" t="n">
        <f aca="false">TAKVİM!$B$10+(MATCH($G$5,{"Pazartesi","Salı","Çarşamba","Perşembe","Cuma"},0)-1)</f>
        <v>46283</v>
      </c>
      <c r="B8" s="19" t="s">
        <v>2060</v>
      </c>
      <c r="C8" s="19" t="s">
        <v>2061</v>
      </c>
      <c r="D8" s="19" t="s">
        <v>2062</v>
      </c>
      <c r="E8" s="19" t="s">
        <v>2063</v>
      </c>
      <c r="F8" s="19" t="s">
        <v>2064</v>
      </c>
      <c r="G8" s="19" t="s">
        <v>925</v>
      </c>
      <c r="H8" s="19" t="s">
        <v>2065</v>
      </c>
      <c r="I8" s="19"/>
    </row>
    <row r="9" customFormat="false" ht="84.75" hidden="false" customHeight="true" outlineLevel="0" collapsed="false">
      <c r="A9" s="18" t="n">
        <f aca="false">TAKVİM!$B$11+(MATCH($G$5,{"Pazartesi","Salı","Çarşamba","Perşembe","Cuma"},0)-1)</f>
        <v>46290</v>
      </c>
      <c r="B9" s="19" t="s">
        <v>2066</v>
      </c>
      <c r="C9" s="19" t="s">
        <v>2067</v>
      </c>
      <c r="D9" s="19" t="s">
        <v>2068</v>
      </c>
      <c r="E9" s="19" t="s">
        <v>2069</v>
      </c>
      <c r="F9" s="19" t="s">
        <v>2070</v>
      </c>
      <c r="G9" s="19" t="s">
        <v>925</v>
      </c>
      <c r="H9" s="19" t="s">
        <v>2065</v>
      </c>
      <c r="I9" s="19"/>
    </row>
    <row r="10" customFormat="false" ht="74.25" hidden="false" customHeight="true" outlineLevel="0" collapsed="false">
      <c r="A10" s="18" t="n">
        <f aca="false">TAKVİM!$B$12+(MATCH($G$5,{"Pazartesi","Salı","Çarşamba","Perşembe","Cuma"},0)-1)</f>
        <v>46297</v>
      </c>
      <c r="B10" s="19" t="s">
        <v>2066</v>
      </c>
      <c r="C10" s="19" t="s">
        <v>2071</v>
      </c>
      <c r="D10" s="19" t="s">
        <v>2072</v>
      </c>
      <c r="E10" s="19" t="s">
        <v>2073</v>
      </c>
      <c r="F10" s="19" t="s">
        <v>2074</v>
      </c>
      <c r="G10" s="19" t="s">
        <v>925</v>
      </c>
      <c r="H10" s="19" t="s">
        <v>2065</v>
      </c>
      <c r="I10" s="19"/>
    </row>
    <row r="11" customFormat="false" ht="84.75" hidden="false" customHeight="true" outlineLevel="0" collapsed="false">
      <c r="A11" s="18" t="n">
        <f aca="false">TAKVİM!$B$13+(MATCH($G$5,{"Pazartesi","Salı","Çarşamba","Perşembe","Cuma"},0)-1)</f>
        <v>46304</v>
      </c>
      <c r="B11" s="19" t="s">
        <v>2075</v>
      </c>
      <c r="C11" s="19" t="s">
        <v>2076</v>
      </c>
      <c r="D11" s="19" t="s">
        <v>2077</v>
      </c>
      <c r="E11" s="19" t="s">
        <v>2078</v>
      </c>
      <c r="F11" s="19" t="s">
        <v>2079</v>
      </c>
      <c r="G11" s="19" t="s">
        <v>925</v>
      </c>
      <c r="H11" s="19" t="s">
        <v>2065</v>
      </c>
      <c r="I11" s="19"/>
    </row>
    <row r="12" customFormat="false" ht="84.75" hidden="false" customHeight="true" outlineLevel="0" collapsed="false">
      <c r="A12" s="18" t="n">
        <f aca="false">TAKVİM!$B$14+(MATCH($G$5,{"Pazartesi","Salı","Çarşamba","Perşembe","Cuma"},0)-1)</f>
        <v>46311</v>
      </c>
      <c r="B12" s="19" t="s">
        <v>2075</v>
      </c>
      <c r="C12" s="19" t="s">
        <v>2080</v>
      </c>
      <c r="D12" s="19" t="s">
        <v>2081</v>
      </c>
      <c r="E12" s="19" t="s">
        <v>2082</v>
      </c>
      <c r="F12" s="19" t="s">
        <v>2083</v>
      </c>
      <c r="G12" s="19" t="s">
        <v>925</v>
      </c>
      <c r="H12" s="19" t="s">
        <v>2065</v>
      </c>
      <c r="I12" s="19"/>
    </row>
    <row r="13" customFormat="false" ht="74.25" hidden="false" customHeight="true" outlineLevel="0" collapsed="false">
      <c r="A13" s="18" t="n">
        <f aca="false">TAKVİM!$B$15+(MATCH($G$5,{"Pazartesi","Salı","Çarşamba","Perşembe","Cuma"},0)-1)</f>
        <v>46318</v>
      </c>
      <c r="B13" s="19" t="s">
        <v>2084</v>
      </c>
      <c r="C13" s="19" t="s">
        <v>2085</v>
      </c>
      <c r="D13" s="19" t="s">
        <v>2086</v>
      </c>
      <c r="E13" s="19" t="s">
        <v>2087</v>
      </c>
      <c r="F13" s="19" t="s">
        <v>2088</v>
      </c>
      <c r="G13" s="19" t="s">
        <v>925</v>
      </c>
      <c r="H13" s="19" t="s">
        <v>2065</v>
      </c>
      <c r="I13" s="19"/>
    </row>
    <row r="14" customFormat="false" ht="74.25" hidden="false" customHeight="true" outlineLevel="0" collapsed="false">
      <c r="A14" s="18" t="n">
        <f aca="false">TAKVİM!$B$16+(MATCH($G$5,{"Pazartesi","Salı","Çarşamba","Perşembe","Cuma"},0)-1)</f>
        <v>46325</v>
      </c>
      <c r="B14" s="19" t="s">
        <v>2084</v>
      </c>
      <c r="C14" s="19" t="s">
        <v>2089</v>
      </c>
      <c r="D14" s="19" t="s">
        <v>2090</v>
      </c>
      <c r="E14" s="19" t="s">
        <v>2091</v>
      </c>
      <c r="F14" s="19" t="s">
        <v>2092</v>
      </c>
      <c r="G14" s="19" t="s">
        <v>925</v>
      </c>
      <c r="H14" s="19" t="s">
        <v>2065</v>
      </c>
      <c r="I14" s="19"/>
    </row>
    <row r="15" customFormat="false" ht="74.25" hidden="false" customHeight="true" outlineLevel="0" collapsed="false">
      <c r="A15" s="18" t="n">
        <f aca="false">TAKVİM!$B$17+(MATCH($G$5,{"Pazartesi","Salı","Çarşamba","Perşembe","Cuma"},0)-1)</f>
        <v>46332</v>
      </c>
      <c r="B15" s="19" t="s">
        <v>2093</v>
      </c>
      <c r="C15" s="19" t="s">
        <v>2094</v>
      </c>
      <c r="D15" s="19" t="s">
        <v>2095</v>
      </c>
      <c r="E15" s="19" t="s">
        <v>2096</v>
      </c>
      <c r="F15" s="19" t="s">
        <v>2097</v>
      </c>
      <c r="G15" s="19" t="s">
        <v>925</v>
      </c>
      <c r="H15" s="19" t="s">
        <v>2065</v>
      </c>
      <c r="I15" s="19"/>
    </row>
    <row r="16" customFormat="false" ht="74.25" hidden="false" customHeight="true" outlineLevel="0" collapsed="false">
      <c r="A16" s="18" t="n">
        <f aca="false">TAKVİM!$B$18+(MATCH($G$5,{"Pazartesi","Salı","Çarşamba","Perşembe","Cuma"},0)-1)</f>
        <v>46339</v>
      </c>
      <c r="B16" s="19" t="s">
        <v>2093</v>
      </c>
      <c r="C16" s="19" t="s">
        <v>2098</v>
      </c>
      <c r="D16" s="19" t="s">
        <v>2099</v>
      </c>
      <c r="E16" s="19" t="s">
        <v>2100</v>
      </c>
      <c r="F16" s="19" t="s">
        <v>2101</v>
      </c>
      <c r="G16" s="19" t="s">
        <v>925</v>
      </c>
      <c r="H16" s="19" t="s">
        <v>2065</v>
      </c>
      <c r="I16" s="19"/>
    </row>
    <row r="17" customFormat="false" ht="15" hidden="false" customHeight="true" outlineLevel="0" collapsed="false">
      <c r="A17" s="20" t="str">
        <f aca="false">TAKVİM!$C$19</f>
        <v>16-20 Kasım</v>
      </c>
      <c r="B17" s="20" t="s">
        <v>15</v>
      </c>
      <c r="C17" s="20"/>
      <c r="D17" s="20"/>
      <c r="E17" s="20"/>
      <c r="F17" s="20"/>
      <c r="G17" s="20"/>
      <c r="H17" s="20"/>
      <c r="I17" s="20"/>
    </row>
    <row r="18" customFormat="false" ht="84.75" hidden="false" customHeight="true" outlineLevel="0" collapsed="false">
      <c r="A18" s="18" t="n">
        <f aca="false">TAKVİM!$B$20+(MATCH($G$5,{"Pazartesi","Salı","Çarşamba","Perşembe","Cuma"},0)-1)</f>
        <v>46353</v>
      </c>
      <c r="B18" s="19" t="s">
        <v>2102</v>
      </c>
      <c r="C18" s="19" t="s">
        <v>2103</v>
      </c>
      <c r="D18" s="19" t="s">
        <v>2104</v>
      </c>
      <c r="E18" s="19" t="s">
        <v>2105</v>
      </c>
      <c r="F18" s="19" t="s">
        <v>2106</v>
      </c>
      <c r="G18" s="19" t="s">
        <v>925</v>
      </c>
      <c r="H18" s="19" t="s">
        <v>2065</v>
      </c>
      <c r="I18" s="19"/>
    </row>
    <row r="19" customFormat="false" ht="84.75" hidden="false" customHeight="true" outlineLevel="0" collapsed="false">
      <c r="A19" s="18" t="n">
        <f aca="false">TAKVİM!$B$21+(MATCH($G$5,{"Pazartesi","Salı","Çarşamba","Perşembe","Cuma"},0)-1)</f>
        <v>46360</v>
      </c>
      <c r="B19" s="19" t="s">
        <v>2102</v>
      </c>
      <c r="C19" s="19" t="s">
        <v>2107</v>
      </c>
      <c r="D19" s="19" t="s">
        <v>2108</v>
      </c>
      <c r="E19" s="19" t="s">
        <v>2109</v>
      </c>
      <c r="F19" s="19" t="s">
        <v>2110</v>
      </c>
      <c r="G19" s="19" t="s">
        <v>925</v>
      </c>
      <c r="H19" s="19" t="s">
        <v>2065</v>
      </c>
      <c r="I19" s="19"/>
    </row>
    <row r="20" customFormat="false" ht="84.75" hidden="false" customHeight="true" outlineLevel="0" collapsed="false">
      <c r="A20" s="18" t="n">
        <f aca="false">TAKVİM!$B$22+(MATCH($G$5,{"Pazartesi","Salı","Çarşamba","Perşembe","Cuma"},0)-1)</f>
        <v>46367</v>
      </c>
      <c r="B20" s="19" t="s">
        <v>2102</v>
      </c>
      <c r="C20" s="19" t="s">
        <v>2111</v>
      </c>
      <c r="D20" s="19" t="s">
        <v>2112</v>
      </c>
      <c r="E20" s="19" t="s">
        <v>2113</v>
      </c>
      <c r="F20" s="19" t="s">
        <v>2114</v>
      </c>
      <c r="G20" s="19" t="s">
        <v>925</v>
      </c>
      <c r="H20" s="19" t="s">
        <v>2065</v>
      </c>
      <c r="I20" s="19"/>
    </row>
    <row r="21" customFormat="false" ht="105.75" hidden="false" customHeight="true" outlineLevel="0" collapsed="false">
      <c r="A21" s="18" t="n">
        <f aca="false">TAKVİM!$B$23+(MATCH($G$5,{"Pazartesi","Salı","Çarşamba","Perşembe","Cuma"},0)-1)</f>
        <v>46374</v>
      </c>
      <c r="B21" s="19" t="s">
        <v>2115</v>
      </c>
      <c r="C21" s="19" t="s">
        <v>2116</v>
      </c>
      <c r="D21" s="19" t="s">
        <v>2117</v>
      </c>
      <c r="E21" s="19" t="s">
        <v>2118</v>
      </c>
      <c r="F21" s="19" t="s">
        <v>2119</v>
      </c>
      <c r="G21" s="19" t="s">
        <v>925</v>
      </c>
      <c r="H21" s="19" t="s">
        <v>2065</v>
      </c>
      <c r="I21" s="19"/>
    </row>
    <row r="22" customFormat="false" ht="84.75" hidden="false" customHeight="true" outlineLevel="0" collapsed="false">
      <c r="A22" s="18" t="n">
        <f aca="false">TAKVİM!$B$24+(MATCH($G$5,{"Pazartesi","Salı","Çarşamba","Perşembe","Cuma"},0)-1)</f>
        <v>46381</v>
      </c>
      <c r="B22" s="19" t="s">
        <v>2120</v>
      </c>
      <c r="C22" s="19" t="s">
        <v>2121</v>
      </c>
      <c r="D22" s="19" t="s">
        <v>2122</v>
      </c>
      <c r="E22" s="19" t="s">
        <v>2123</v>
      </c>
      <c r="F22" s="19" t="s">
        <v>2124</v>
      </c>
      <c r="G22" s="19" t="s">
        <v>925</v>
      </c>
      <c r="H22" s="19" t="s">
        <v>2065</v>
      </c>
      <c r="I22" s="19"/>
    </row>
    <row r="23" customFormat="false" ht="84.75" hidden="false" customHeight="true" outlineLevel="0" collapsed="false">
      <c r="A23" s="18" t="n">
        <f aca="false">TAKVİM!$B$25+(MATCH($G$5,{"Pazartesi","Salı","Çarşamba","Perşembe","Cuma"},0)-1)</f>
        <v>46388</v>
      </c>
      <c r="B23" s="19" t="s">
        <v>2125</v>
      </c>
      <c r="C23" s="19" t="s">
        <v>2126</v>
      </c>
      <c r="D23" s="19" t="s">
        <v>2127</v>
      </c>
      <c r="E23" s="19" t="s">
        <v>2128</v>
      </c>
      <c r="F23" s="19" t="s">
        <v>2129</v>
      </c>
      <c r="G23" s="19" t="s">
        <v>925</v>
      </c>
      <c r="H23" s="19" t="s">
        <v>2065</v>
      </c>
      <c r="I23" s="19"/>
    </row>
    <row r="24" customFormat="false" ht="84.75" hidden="false" customHeight="true" outlineLevel="0" collapsed="false">
      <c r="A24" s="18" t="n">
        <f aca="false">TAKVİM!$B$26+(MATCH($G$5,{"Pazartesi","Salı","Çarşamba","Perşembe","Cuma"},0)-1)</f>
        <v>46395</v>
      </c>
      <c r="B24" s="19" t="s">
        <v>2130</v>
      </c>
      <c r="C24" s="19" t="s">
        <v>2131</v>
      </c>
      <c r="D24" s="19" t="s">
        <v>2132</v>
      </c>
      <c r="E24" s="19" t="s">
        <v>2133</v>
      </c>
      <c r="F24" s="19" t="s">
        <v>654</v>
      </c>
      <c r="G24" s="19" t="s">
        <v>925</v>
      </c>
      <c r="H24" s="19" t="s">
        <v>2065</v>
      </c>
      <c r="I24" s="19"/>
    </row>
    <row r="25" customFormat="false" ht="84.75" hidden="false" customHeight="true" outlineLevel="0" collapsed="false">
      <c r="A25" s="18" t="n">
        <f aca="false">TAKVİM!$B$27+(MATCH($G$5,{"Pazartesi","Salı","Çarşamba","Perşembe","Cuma"},0)-1)</f>
        <v>46402</v>
      </c>
      <c r="B25" s="19" t="s">
        <v>2130</v>
      </c>
      <c r="C25" s="19" t="s">
        <v>2134</v>
      </c>
      <c r="D25" s="19" t="s">
        <v>2135</v>
      </c>
      <c r="E25" s="19" t="s">
        <v>2136</v>
      </c>
      <c r="F25" s="19" t="s">
        <v>2137</v>
      </c>
      <c r="G25" s="19" t="s">
        <v>925</v>
      </c>
      <c r="H25" s="19" t="s">
        <v>2065</v>
      </c>
      <c r="I25" s="19"/>
    </row>
    <row r="26" customFormat="false" ht="95.25" hidden="false" customHeight="true" outlineLevel="0" collapsed="false">
      <c r="A26" s="18" t="n">
        <f aca="false">TAKVİM!$B$28+(MATCH($G$5,{"Pazartesi","Salı","Çarşamba","Perşembe","Cuma"},0)-1)</f>
        <v>46409</v>
      </c>
      <c r="B26" s="19" t="s">
        <v>2138</v>
      </c>
      <c r="C26" s="19" t="s">
        <v>2139</v>
      </c>
      <c r="D26" s="19" t="s">
        <v>2140</v>
      </c>
      <c r="E26" s="19" t="s">
        <v>2141</v>
      </c>
      <c r="F26" s="19" t="s">
        <v>2142</v>
      </c>
      <c r="G26" s="19" t="s">
        <v>925</v>
      </c>
      <c r="H26" s="19" t="s">
        <v>2065</v>
      </c>
      <c r="I26" s="19"/>
    </row>
    <row r="27" customFormat="false" ht="15" hidden="false" customHeight="true" outlineLevel="0" collapsed="false">
      <c r="A27" s="20" t="str">
        <f aca="false">TAKVİM!$C$29</f>
        <v>25-29 Ocak</v>
      </c>
      <c r="B27" s="20" t="s">
        <v>16</v>
      </c>
      <c r="C27" s="20"/>
      <c r="D27" s="20"/>
      <c r="E27" s="20"/>
      <c r="F27" s="20"/>
      <c r="G27" s="20"/>
      <c r="H27" s="20"/>
      <c r="I27" s="20"/>
    </row>
    <row r="28" customFormat="false" ht="74.25" hidden="false" customHeight="true" outlineLevel="0" collapsed="false">
      <c r="A28" s="18" t="n">
        <f aca="false">TAKVİM!$B$30+(MATCH($G$5,{"Pazartesi","Salı","Çarşamba","Perşembe","Cuma"},0)-1)</f>
        <v>46430</v>
      </c>
      <c r="B28" s="19" t="s">
        <v>2143</v>
      </c>
      <c r="C28" s="19" t="s">
        <v>2144</v>
      </c>
      <c r="D28" s="19" t="s">
        <v>2145</v>
      </c>
      <c r="E28" s="19" t="s">
        <v>2146</v>
      </c>
      <c r="F28" s="19" t="s">
        <v>2147</v>
      </c>
      <c r="G28" s="19" t="s">
        <v>925</v>
      </c>
      <c r="H28" s="19" t="s">
        <v>2065</v>
      </c>
      <c r="I28" s="19"/>
    </row>
    <row r="29" customFormat="false" ht="84.75" hidden="false" customHeight="true" outlineLevel="0" collapsed="false">
      <c r="A29" s="18" t="n">
        <f aca="false">TAKVİM!$B$31+(MATCH($G$5,{"Pazartesi","Salı","Çarşamba","Perşembe","Cuma"},0)-1)</f>
        <v>46437</v>
      </c>
      <c r="B29" s="19" t="s">
        <v>2148</v>
      </c>
      <c r="C29" s="19" t="s">
        <v>2149</v>
      </c>
      <c r="D29" s="19" t="s">
        <v>2150</v>
      </c>
      <c r="E29" s="19" t="s">
        <v>2151</v>
      </c>
      <c r="F29" s="19" t="s">
        <v>2152</v>
      </c>
      <c r="G29" s="19" t="s">
        <v>925</v>
      </c>
      <c r="H29" s="19" t="s">
        <v>2065</v>
      </c>
      <c r="I29" s="19"/>
    </row>
    <row r="30" customFormat="false" ht="84.75" hidden="false" customHeight="true" outlineLevel="0" collapsed="false">
      <c r="A30" s="18" t="n">
        <f aca="false">TAKVİM!$B$32+(MATCH($G$5,{"Pazartesi","Salı","Çarşamba","Perşembe","Cuma"},0)-1)</f>
        <v>46444</v>
      </c>
      <c r="B30" s="19" t="s">
        <v>2148</v>
      </c>
      <c r="C30" s="19" t="s">
        <v>2153</v>
      </c>
      <c r="D30" s="19" t="s">
        <v>2154</v>
      </c>
      <c r="E30" s="19" t="s">
        <v>2155</v>
      </c>
      <c r="F30" s="19" t="s">
        <v>2156</v>
      </c>
      <c r="G30" s="19" t="s">
        <v>925</v>
      </c>
      <c r="H30" s="19" t="s">
        <v>2065</v>
      </c>
      <c r="I30" s="19"/>
    </row>
    <row r="31" customFormat="false" ht="84.75" hidden="false" customHeight="true" outlineLevel="0" collapsed="false">
      <c r="A31" s="18" t="n">
        <f aca="false">TAKVİM!$B$33+(MATCH($G$5,{"Pazartesi","Salı","Çarşamba","Perşembe","Cuma"},0)-1)</f>
        <v>46451</v>
      </c>
      <c r="B31" s="19" t="s">
        <v>2157</v>
      </c>
      <c r="C31" s="19" t="s">
        <v>2158</v>
      </c>
      <c r="D31" s="19" t="s">
        <v>2159</v>
      </c>
      <c r="E31" s="19" t="s">
        <v>2160</v>
      </c>
      <c r="F31" s="19" t="s">
        <v>2161</v>
      </c>
      <c r="G31" s="19" t="s">
        <v>925</v>
      </c>
      <c r="H31" s="19" t="s">
        <v>2065</v>
      </c>
      <c r="I31" s="19"/>
    </row>
    <row r="32" customFormat="false" ht="15" hidden="false" customHeight="true" outlineLevel="0" collapsed="false">
      <c r="A32" s="20" t="str">
        <f aca="false">TAKVİM!$C$34</f>
        <v>08-12 Mart</v>
      </c>
      <c r="B32" s="20" t="s">
        <v>17</v>
      </c>
      <c r="C32" s="20"/>
      <c r="D32" s="20"/>
      <c r="E32" s="20"/>
      <c r="F32" s="20"/>
      <c r="G32" s="20"/>
      <c r="H32" s="20"/>
      <c r="I32" s="20"/>
    </row>
    <row r="33" customFormat="false" ht="84.75" hidden="false" customHeight="true" outlineLevel="0" collapsed="false">
      <c r="A33" s="18" t="n">
        <f aca="false">TAKVİM!$B$35+(MATCH($G$5,{"Pazartesi","Salı","Çarşamba","Perşembe","Cuma"},0)-1)</f>
        <v>46465</v>
      </c>
      <c r="B33" s="19" t="s">
        <v>2157</v>
      </c>
      <c r="C33" s="19" t="s">
        <v>2162</v>
      </c>
      <c r="D33" s="19" t="s">
        <v>2163</v>
      </c>
      <c r="E33" s="19" t="s">
        <v>2164</v>
      </c>
      <c r="F33" s="19" t="s">
        <v>2165</v>
      </c>
      <c r="G33" s="19" t="s">
        <v>925</v>
      </c>
      <c r="H33" s="19" t="s">
        <v>2065</v>
      </c>
      <c r="I33" s="19"/>
    </row>
    <row r="34" customFormat="false" ht="95.25" hidden="false" customHeight="true" outlineLevel="0" collapsed="false">
      <c r="A34" s="18" t="n">
        <f aca="false">TAKVİM!$B$36+(MATCH($G$5,{"Pazartesi","Salı","Çarşamba","Perşembe","Cuma"},0)-1)</f>
        <v>46472</v>
      </c>
      <c r="B34" s="19" t="s">
        <v>2166</v>
      </c>
      <c r="C34" s="19" t="s">
        <v>2167</v>
      </c>
      <c r="D34" s="19" t="s">
        <v>2168</v>
      </c>
      <c r="E34" s="19" t="s">
        <v>2169</v>
      </c>
      <c r="F34" s="19" t="s">
        <v>2170</v>
      </c>
      <c r="G34" s="19" t="s">
        <v>925</v>
      </c>
      <c r="H34" s="19" t="s">
        <v>2065</v>
      </c>
      <c r="I34" s="19"/>
    </row>
    <row r="35" customFormat="false" ht="84.75" hidden="false" customHeight="true" outlineLevel="0" collapsed="false">
      <c r="A35" s="18" t="n">
        <f aca="false">TAKVİM!$B$37+(MATCH($G$5,{"Pazartesi","Salı","Çarşamba","Perşembe","Cuma"},0)-1)</f>
        <v>46479</v>
      </c>
      <c r="B35" s="19" t="s">
        <v>2171</v>
      </c>
      <c r="C35" s="19" t="s">
        <v>2172</v>
      </c>
      <c r="D35" s="19" t="s">
        <v>2173</v>
      </c>
      <c r="E35" s="19" t="s">
        <v>2174</v>
      </c>
      <c r="F35" s="19" t="s">
        <v>2175</v>
      </c>
      <c r="G35" s="19" t="s">
        <v>925</v>
      </c>
      <c r="H35" s="19" t="s">
        <v>2065</v>
      </c>
      <c r="I35" s="19"/>
    </row>
    <row r="36" customFormat="false" ht="84.75" hidden="false" customHeight="true" outlineLevel="0" collapsed="false">
      <c r="A36" s="18" t="n">
        <f aca="false">TAKVİM!$B$38+(MATCH($G$5,{"Pazartesi","Salı","Çarşamba","Perşembe","Cuma"},0)-1)</f>
        <v>46486</v>
      </c>
      <c r="B36" s="19" t="s">
        <v>2171</v>
      </c>
      <c r="C36" s="19" t="s">
        <v>2176</v>
      </c>
      <c r="D36" s="19" t="s">
        <v>2177</v>
      </c>
      <c r="E36" s="19" t="s">
        <v>2178</v>
      </c>
      <c r="F36" s="19" t="s">
        <v>2179</v>
      </c>
      <c r="G36" s="19" t="s">
        <v>925</v>
      </c>
      <c r="H36" s="19" t="s">
        <v>2065</v>
      </c>
      <c r="I36" s="19"/>
    </row>
    <row r="37" customFormat="false" ht="84.75" hidden="false" customHeight="true" outlineLevel="0" collapsed="false">
      <c r="A37" s="18" t="n">
        <f aca="false">TAKVİM!$B$39+(MATCH($G$5,{"Pazartesi","Salı","Çarşamba","Perşembe","Cuma"},0)-1)</f>
        <v>46493</v>
      </c>
      <c r="B37" s="19" t="s">
        <v>2171</v>
      </c>
      <c r="C37" s="19" t="s">
        <v>2180</v>
      </c>
      <c r="D37" s="19" t="s">
        <v>2181</v>
      </c>
      <c r="E37" s="19" t="s">
        <v>2182</v>
      </c>
      <c r="F37" s="19" t="s">
        <v>2179</v>
      </c>
      <c r="G37" s="19" t="s">
        <v>925</v>
      </c>
      <c r="H37" s="19" t="s">
        <v>2065</v>
      </c>
      <c r="I37" s="19"/>
    </row>
    <row r="38" customFormat="false" ht="84.75" hidden="false" customHeight="true" outlineLevel="0" collapsed="false">
      <c r="A38" s="18" t="n">
        <f aca="false">TAKVİM!$B$40+(MATCH($G$5,{"Pazartesi","Salı","Çarşamba","Perşembe","Cuma"},0)-1)</f>
        <v>46500</v>
      </c>
      <c r="B38" s="19" t="s">
        <v>2171</v>
      </c>
      <c r="C38" s="19" t="s">
        <v>2183</v>
      </c>
      <c r="D38" s="19" t="s">
        <v>2184</v>
      </c>
      <c r="E38" s="19" t="s">
        <v>2185</v>
      </c>
      <c r="F38" s="19" t="s">
        <v>2186</v>
      </c>
      <c r="G38" s="19" t="s">
        <v>925</v>
      </c>
      <c r="H38" s="19" t="s">
        <v>2065</v>
      </c>
      <c r="I38" s="19"/>
    </row>
    <row r="39" customFormat="false" ht="84.75" hidden="false" customHeight="true" outlineLevel="0" collapsed="false">
      <c r="A39" s="18" t="n">
        <f aca="false">TAKVİM!$B$41+(MATCH($G$5,{"Pazartesi","Salı","Çarşamba","Perşembe","Cuma"},0)-1)</f>
        <v>46507</v>
      </c>
      <c r="B39" s="19" t="s">
        <v>2171</v>
      </c>
      <c r="C39" s="19" t="s">
        <v>2172</v>
      </c>
      <c r="D39" s="19" t="s">
        <v>2187</v>
      </c>
      <c r="E39" s="19" t="s">
        <v>2188</v>
      </c>
      <c r="F39" s="19" t="s">
        <v>2179</v>
      </c>
      <c r="G39" s="19" t="s">
        <v>925</v>
      </c>
      <c r="H39" s="19" t="s">
        <v>2065</v>
      </c>
      <c r="I39" s="19"/>
    </row>
    <row r="40" customFormat="false" ht="84.75" hidden="false" customHeight="true" outlineLevel="0" collapsed="false">
      <c r="A40" s="18" t="n">
        <f aca="false">TAKVİM!$B$42+(MATCH($G$5,{"Pazartesi","Salı","Çarşamba","Perşembe","Cuma"},0)-1)</f>
        <v>46514</v>
      </c>
      <c r="B40" s="19" t="s">
        <v>2171</v>
      </c>
      <c r="C40" s="19" t="s">
        <v>2176</v>
      </c>
      <c r="D40" s="19" t="s">
        <v>2189</v>
      </c>
      <c r="E40" s="19" t="s">
        <v>2190</v>
      </c>
      <c r="F40" s="19" t="s">
        <v>2179</v>
      </c>
      <c r="G40" s="19" t="s">
        <v>925</v>
      </c>
      <c r="H40" s="19" t="s">
        <v>2065</v>
      </c>
      <c r="I40" s="19"/>
    </row>
    <row r="41" customFormat="false" ht="84.75" hidden="false" customHeight="true" outlineLevel="0" collapsed="false">
      <c r="A41" s="18" t="n">
        <f aca="false">TAKVİM!$B$43+(MATCH($G$5,{"Pazartesi","Salı","Çarşamba","Perşembe","Cuma"},0)-1)</f>
        <v>46521</v>
      </c>
      <c r="B41" s="19" t="s">
        <v>2171</v>
      </c>
      <c r="C41" s="19" t="s">
        <v>2191</v>
      </c>
      <c r="D41" s="19" t="s">
        <v>2192</v>
      </c>
      <c r="E41" s="19" t="s">
        <v>2193</v>
      </c>
      <c r="F41" s="19" t="s">
        <v>2194</v>
      </c>
      <c r="G41" s="19" t="s">
        <v>925</v>
      </c>
      <c r="H41" s="19" t="s">
        <v>2065</v>
      </c>
      <c r="I41" s="19"/>
    </row>
    <row r="42" customFormat="false" ht="105.75" hidden="false" customHeight="true" outlineLevel="0" collapsed="false">
      <c r="A42" s="18" t="n">
        <f aca="false">TAKVİM!$B$44+(MATCH($G$5,{"Pazartesi","Salı","Çarşamba","Perşembe","Cuma"},0)-1)</f>
        <v>46528</v>
      </c>
      <c r="B42" s="19" t="s">
        <v>2195</v>
      </c>
      <c r="C42" s="19" t="s">
        <v>2196</v>
      </c>
      <c r="D42" s="19" t="s">
        <v>2197</v>
      </c>
      <c r="E42" s="19" t="s">
        <v>2198</v>
      </c>
      <c r="F42" s="19" t="s">
        <v>2199</v>
      </c>
      <c r="G42" s="19" t="s">
        <v>925</v>
      </c>
      <c r="H42" s="19" t="s">
        <v>2065</v>
      </c>
      <c r="I42" s="19"/>
    </row>
    <row r="43" customFormat="false" ht="84.75" hidden="false" customHeight="true" outlineLevel="0" collapsed="false">
      <c r="A43" s="18" t="n">
        <f aca="false">TAKVİM!$B$45+(MATCH($G$5,{"Pazartesi","Salı","Çarşamba","Perşembe","Cuma"},0)-1)</f>
        <v>46535</v>
      </c>
      <c r="B43" s="19" t="s">
        <v>2200</v>
      </c>
      <c r="C43" s="19" t="s">
        <v>2201</v>
      </c>
      <c r="D43" s="19" t="s">
        <v>2202</v>
      </c>
      <c r="E43" s="19" t="s">
        <v>2203</v>
      </c>
      <c r="F43" s="19" t="s">
        <v>2204</v>
      </c>
      <c r="G43" s="19" t="s">
        <v>925</v>
      </c>
      <c r="H43" s="19" t="s">
        <v>2065</v>
      </c>
      <c r="I43" s="19"/>
    </row>
    <row r="44" customFormat="false" ht="84.75" hidden="false" customHeight="true" outlineLevel="0" collapsed="false">
      <c r="A44" s="18" t="n">
        <f aca="false">TAKVİM!$B$46+(MATCH($G$5,{"Pazartesi","Salı","Çarşamba","Perşembe","Cuma"},0)-1)</f>
        <v>46542</v>
      </c>
      <c r="B44" s="19" t="s">
        <v>2200</v>
      </c>
      <c r="C44" s="19" t="s">
        <v>2205</v>
      </c>
      <c r="D44" s="19" t="s">
        <v>2206</v>
      </c>
      <c r="E44" s="19" t="s">
        <v>2207</v>
      </c>
      <c r="F44" s="19" t="s">
        <v>2208</v>
      </c>
      <c r="G44" s="19" t="s">
        <v>925</v>
      </c>
      <c r="H44" s="19" t="s">
        <v>2065</v>
      </c>
      <c r="I44" s="19"/>
    </row>
    <row r="45" customFormat="false" ht="84.75" hidden="false" customHeight="true" outlineLevel="0" collapsed="false">
      <c r="A45" s="18" t="n">
        <f aca="false">TAKVİM!$B$47+(MATCH($G$5,{"Pazartesi","Salı","Çarşamba","Perşembe","Cuma"},0)-1)</f>
        <v>46549</v>
      </c>
      <c r="B45" s="19" t="s">
        <v>2200</v>
      </c>
      <c r="C45" s="19" t="s">
        <v>2209</v>
      </c>
      <c r="D45" s="19" t="s">
        <v>2210</v>
      </c>
      <c r="E45" s="19" t="s">
        <v>2211</v>
      </c>
      <c r="F45" s="19" t="s">
        <v>2212</v>
      </c>
      <c r="G45" s="19" t="s">
        <v>925</v>
      </c>
      <c r="H45" s="19" t="s">
        <v>2065</v>
      </c>
      <c r="I45" s="19"/>
    </row>
    <row r="46" customFormat="false" ht="84.75" hidden="false" customHeight="true" outlineLevel="0" collapsed="false">
      <c r="A46" s="18" t="n">
        <f aca="false">TAKVİM!$B$48+(MATCH($G$5,{"Pazartesi","Salı","Çarşamba","Perşembe","Cuma"},0)-1)</f>
        <v>46556</v>
      </c>
      <c r="B46" s="19" t="s">
        <v>2200</v>
      </c>
      <c r="C46" s="19" t="s">
        <v>2205</v>
      </c>
      <c r="D46" s="19" t="s">
        <v>2213</v>
      </c>
      <c r="E46" s="19" t="s">
        <v>2214</v>
      </c>
      <c r="F46" s="19" t="s">
        <v>2047</v>
      </c>
      <c r="G46" s="19" t="s">
        <v>925</v>
      </c>
      <c r="H46" s="19" t="s">
        <v>2065</v>
      </c>
      <c r="I46" s="19"/>
    </row>
    <row r="47" customFormat="false" ht="84.75" hidden="false" customHeight="true" outlineLevel="0" collapsed="false">
      <c r="A47" s="18" t="n">
        <f aca="false">TAKVİM!$B$49+(MATCH($G$5,{"Pazartesi","Salı","Çarşamba","Perşembe","Cuma"},0)-1)</f>
        <v>46563</v>
      </c>
      <c r="B47" s="19" t="s">
        <v>2200</v>
      </c>
      <c r="C47" s="19" t="s">
        <v>2205</v>
      </c>
      <c r="D47" s="19" t="s">
        <v>2215</v>
      </c>
      <c r="E47" s="19" t="s">
        <v>2216</v>
      </c>
      <c r="F47" s="19" t="s">
        <v>1904</v>
      </c>
      <c r="G47" s="19" t="s">
        <v>925</v>
      </c>
      <c r="H47" s="19" t="s">
        <v>2065</v>
      </c>
      <c r="I47" s="19"/>
    </row>
    <row r="51" customFormat="false" ht="15" hidden="false" customHeight="true" outlineLevel="0" collapsed="false">
      <c r="A51" s="21" t="s">
        <v>28</v>
      </c>
      <c r="B51" s="21"/>
      <c r="C51" s="21"/>
      <c r="D51" s="21"/>
      <c r="F51" s="21" t="s">
        <v>210</v>
      </c>
      <c r="G51" s="21"/>
      <c r="H51" s="21"/>
      <c r="I51" s="21"/>
    </row>
    <row r="52" customFormat="false" ht="15" hidden="false" customHeight="true" outlineLevel="0" collapsed="false">
      <c r="A52" s="22" t="s">
        <v>211</v>
      </c>
      <c r="B52" s="22"/>
      <c r="C52" s="22"/>
      <c r="D52" s="22"/>
      <c r="F52" s="22" t="s">
        <v>212</v>
      </c>
      <c r="G52" s="22"/>
      <c r="H52" s="22"/>
      <c r="I52" s="22"/>
    </row>
    <row r="54" customFormat="false" ht="15" hidden="false" customHeight="true" outlineLevel="0" collapsed="false">
      <c r="A54" s="22" t="s">
        <v>213</v>
      </c>
      <c r="B54" s="22"/>
      <c r="C54" s="22"/>
      <c r="D54" s="22"/>
      <c r="F54" s="21" t="s">
        <v>214</v>
      </c>
      <c r="G54" s="21"/>
      <c r="H54" s="21"/>
      <c r="I54" s="21"/>
    </row>
  </sheetData>
  <mergeCells count="15">
    <mergeCell ref="C1:G1"/>
    <mergeCell ref="B3:D3"/>
    <mergeCell ref="G3:I3"/>
    <mergeCell ref="B4:D4"/>
    <mergeCell ref="G4:I4"/>
    <mergeCell ref="B5:D5"/>
    <mergeCell ref="B17:I17"/>
    <mergeCell ref="B27:I27"/>
    <mergeCell ref="B32:I32"/>
    <mergeCell ref="A51:D51"/>
    <mergeCell ref="F51:I51"/>
    <mergeCell ref="A52:D52"/>
    <mergeCell ref="F52:I52"/>
    <mergeCell ref="A54:D54"/>
    <mergeCell ref="F54:I54"/>
  </mergeCells>
  <dataValidations count="1">
    <dataValidation allowBlank="false" errorStyle="stop" operator="between" showDropDown="false" showErrorMessage="false" showInputMessage="false" sqref="G5" type="list">
      <formula1>"Pazartesi,Salı,Çarşamba,Perşembe,Cuma"</formula1>
      <formula2>0</formula2>
    </dataValidation>
  </dataValidation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4" min="3" style="1" width="26"/>
    <col collapsed="false" customWidth="true" hidden="false" outlineLevel="0" max="5" min="5" style="1" width="34"/>
    <col collapsed="false" customWidth="true" hidden="false" outlineLevel="0" max="6" min="6" style="1" width="22"/>
    <col collapsed="false" customWidth="true" hidden="false" outlineLevel="0" max="7" min="7" style="1" width="18"/>
    <col collapsed="false" customWidth="true" hidden="false" outlineLevel="0" max="8" min="8" style="1" width="22"/>
    <col collapsed="false" customWidth="true" hidden="false" outlineLevel="0" max="9" min="9" style="1" width="18"/>
  </cols>
  <sheetData>
    <row r="1" customFormat="false" ht="75" hidden="false" customHeight="true" outlineLevel="0" collapsed="false">
      <c r="C1" s="15" t="s">
        <v>18</v>
      </c>
      <c r="D1" s="15"/>
      <c r="E1" s="15"/>
      <c r="F1" s="15"/>
      <c r="G1" s="15"/>
    </row>
    <row r="3" customFormat="false" ht="15" hidden="false" customHeight="true" outlineLevel="0" collapsed="false">
      <c r="A3" s="3" t="s">
        <v>19</v>
      </c>
      <c r="B3" s="16" t="s">
        <v>2217</v>
      </c>
      <c r="C3" s="16"/>
      <c r="D3" s="16"/>
      <c r="F3" s="3" t="s">
        <v>21</v>
      </c>
      <c r="G3" s="16" t="s">
        <v>1244</v>
      </c>
      <c r="H3" s="16"/>
      <c r="I3" s="16"/>
    </row>
    <row r="4" customFormat="false" ht="15" hidden="false" customHeight="true" outlineLevel="0" collapsed="false">
      <c r="A4" s="3" t="s">
        <v>23</v>
      </c>
      <c r="B4" s="16" t="s">
        <v>1245</v>
      </c>
      <c r="C4" s="16"/>
      <c r="D4" s="16"/>
      <c r="F4" s="3" t="s">
        <v>25</v>
      </c>
      <c r="G4" s="16" t="s">
        <v>2218</v>
      </c>
      <c r="H4" s="16"/>
      <c r="I4" s="16"/>
    </row>
    <row r="5" customFormat="false" ht="15" hidden="false" customHeight="true" outlineLevel="0" collapsed="false">
      <c r="A5" s="3" t="s">
        <v>27</v>
      </c>
      <c r="B5" s="16" t="s">
        <v>28</v>
      </c>
      <c r="C5" s="16"/>
      <c r="D5" s="16"/>
      <c r="F5" s="3" t="s">
        <v>29</v>
      </c>
      <c r="G5" s="4" t="s">
        <v>30</v>
      </c>
    </row>
    <row r="7" customFormat="false" ht="23.25" hidden="false" customHeight="true" outlineLevel="0" collapsed="false">
      <c r="A7" s="17" t="s">
        <v>31</v>
      </c>
      <c r="B7" s="17" t="s">
        <v>32</v>
      </c>
      <c r="C7" s="17" t="s">
        <v>33</v>
      </c>
      <c r="D7" s="17" t="s">
        <v>34</v>
      </c>
      <c r="E7" s="17" t="s">
        <v>35</v>
      </c>
      <c r="F7" s="17" t="s">
        <v>36</v>
      </c>
      <c r="G7" s="17" t="s">
        <v>37</v>
      </c>
      <c r="H7" s="17" t="s">
        <v>38</v>
      </c>
      <c r="I7" s="17" t="s">
        <v>39</v>
      </c>
    </row>
    <row r="8" customFormat="false" ht="95.25" hidden="false" customHeight="true" outlineLevel="0" collapsed="false">
      <c r="A8" s="18" t="n">
        <f aca="false">TAKVİM!$B$10+(MATCH($G$5,{"Pazartesi","Salı","Çarşamba","Perşembe","Cuma"},0)-1)</f>
        <v>46283</v>
      </c>
      <c r="B8" s="19" t="s">
        <v>2219</v>
      </c>
      <c r="C8" s="19" t="s">
        <v>2220</v>
      </c>
      <c r="D8" s="19" t="s">
        <v>2221</v>
      </c>
      <c r="E8" s="19" t="s">
        <v>2222</v>
      </c>
      <c r="F8" s="19" t="s">
        <v>2223</v>
      </c>
      <c r="G8" s="19" t="s">
        <v>1251</v>
      </c>
      <c r="H8" s="19" t="s">
        <v>2224</v>
      </c>
      <c r="I8" s="19"/>
    </row>
    <row r="9" customFormat="false" ht="95.25" hidden="false" customHeight="true" outlineLevel="0" collapsed="false">
      <c r="A9" s="18" t="n">
        <f aca="false">TAKVİM!$B$11+(MATCH($G$5,{"Pazartesi","Salı","Çarşamba","Perşembe","Cuma"},0)-1)</f>
        <v>46290</v>
      </c>
      <c r="B9" s="19" t="s">
        <v>2225</v>
      </c>
      <c r="C9" s="19" t="s">
        <v>2226</v>
      </c>
      <c r="D9" s="19" t="s">
        <v>2227</v>
      </c>
      <c r="E9" s="19" t="s">
        <v>2228</v>
      </c>
      <c r="F9" s="19" t="s">
        <v>2229</v>
      </c>
      <c r="G9" s="19" t="s">
        <v>1251</v>
      </c>
      <c r="H9" s="19" t="s">
        <v>2224</v>
      </c>
      <c r="I9" s="19"/>
    </row>
    <row r="10" customFormat="false" ht="95.25" hidden="false" customHeight="true" outlineLevel="0" collapsed="false">
      <c r="A10" s="18" t="n">
        <f aca="false">TAKVİM!$B$12+(MATCH($G$5,{"Pazartesi","Salı","Çarşamba","Perşembe","Cuma"},0)-1)</f>
        <v>46297</v>
      </c>
      <c r="B10" s="19" t="s">
        <v>2230</v>
      </c>
      <c r="C10" s="19" t="s">
        <v>2231</v>
      </c>
      <c r="D10" s="19" t="s">
        <v>2232</v>
      </c>
      <c r="E10" s="19" t="s">
        <v>2233</v>
      </c>
      <c r="F10" s="19" t="s">
        <v>2234</v>
      </c>
      <c r="G10" s="19" t="s">
        <v>1251</v>
      </c>
      <c r="H10" s="19" t="s">
        <v>2224</v>
      </c>
      <c r="I10" s="19"/>
    </row>
    <row r="11" customFormat="false" ht="95.25" hidden="false" customHeight="true" outlineLevel="0" collapsed="false">
      <c r="A11" s="18" t="n">
        <f aca="false">TAKVİM!$B$13+(MATCH($G$5,{"Pazartesi","Salı","Çarşamba","Perşembe","Cuma"},0)-1)</f>
        <v>46304</v>
      </c>
      <c r="B11" s="19" t="s">
        <v>2235</v>
      </c>
      <c r="C11" s="19" t="s">
        <v>2236</v>
      </c>
      <c r="D11" s="19" t="s">
        <v>2237</v>
      </c>
      <c r="E11" s="19" t="s">
        <v>2238</v>
      </c>
      <c r="F11" s="19" t="s">
        <v>2239</v>
      </c>
      <c r="G11" s="19" t="s">
        <v>1251</v>
      </c>
      <c r="H11" s="19" t="s">
        <v>2224</v>
      </c>
      <c r="I11" s="19"/>
    </row>
    <row r="12" customFormat="false" ht="95.25" hidden="false" customHeight="true" outlineLevel="0" collapsed="false">
      <c r="A12" s="18" t="n">
        <f aca="false">TAKVİM!$B$14+(MATCH($G$5,{"Pazartesi","Salı","Çarşamba","Perşembe","Cuma"},0)-1)</f>
        <v>46311</v>
      </c>
      <c r="B12" s="19" t="s">
        <v>2240</v>
      </c>
      <c r="C12" s="19" t="s">
        <v>2241</v>
      </c>
      <c r="D12" s="19" t="s">
        <v>2242</v>
      </c>
      <c r="E12" s="19" t="s">
        <v>2243</v>
      </c>
      <c r="F12" s="19" t="s">
        <v>2244</v>
      </c>
      <c r="G12" s="19" t="s">
        <v>1251</v>
      </c>
      <c r="H12" s="19" t="s">
        <v>2224</v>
      </c>
      <c r="I12" s="19"/>
    </row>
    <row r="13" customFormat="false" ht="95.25" hidden="false" customHeight="true" outlineLevel="0" collapsed="false">
      <c r="A13" s="18" t="n">
        <f aca="false">TAKVİM!$B$15+(MATCH($G$5,{"Pazartesi","Salı","Çarşamba","Perşembe","Cuma"},0)-1)</f>
        <v>46318</v>
      </c>
      <c r="B13" s="19" t="s">
        <v>2245</v>
      </c>
      <c r="C13" s="19" t="s">
        <v>2241</v>
      </c>
      <c r="D13" s="19" t="s">
        <v>2246</v>
      </c>
      <c r="E13" s="19" t="s">
        <v>2247</v>
      </c>
      <c r="F13" s="19" t="s">
        <v>2248</v>
      </c>
      <c r="G13" s="19" t="s">
        <v>1251</v>
      </c>
      <c r="H13" s="19" t="s">
        <v>2224</v>
      </c>
      <c r="I13" s="19"/>
    </row>
    <row r="14" customFormat="false" ht="95.25" hidden="false" customHeight="true" outlineLevel="0" collapsed="false">
      <c r="A14" s="18" t="n">
        <f aca="false">TAKVİM!$B$16+(MATCH($G$5,{"Pazartesi","Salı","Çarşamba","Perşembe","Cuma"},0)-1)</f>
        <v>46325</v>
      </c>
      <c r="B14" s="19" t="s">
        <v>2249</v>
      </c>
      <c r="C14" s="19" t="s">
        <v>2250</v>
      </c>
      <c r="D14" s="19" t="s">
        <v>2251</v>
      </c>
      <c r="E14" s="19" t="s">
        <v>2252</v>
      </c>
      <c r="F14" s="19" t="s">
        <v>2253</v>
      </c>
      <c r="G14" s="19" t="s">
        <v>1251</v>
      </c>
      <c r="H14" s="19" t="s">
        <v>2224</v>
      </c>
      <c r="I14" s="19"/>
    </row>
    <row r="15" customFormat="false" ht="95.25" hidden="false" customHeight="true" outlineLevel="0" collapsed="false">
      <c r="A15" s="18" t="n">
        <f aca="false">TAKVİM!$B$17+(MATCH($G$5,{"Pazartesi","Salı","Çarşamba","Perşembe","Cuma"},0)-1)</f>
        <v>46332</v>
      </c>
      <c r="B15" s="19" t="s">
        <v>2249</v>
      </c>
      <c r="C15" s="19" t="s">
        <v>2250</v>
      </c>
      <c r="D15" s="19" t="s">
        <v>2254</v>
      </c>
      <c r="E15" s="19" t="s">
        <v>2255</v>
      </c>
      <c r="F15" s="19" t="s">
        <v>2256</v>
      </c>
      <c r="G15" s="19" t="s">
        <v>1251</v>
      </c>
      <c r="H15" s="19" t="s">
        <v>2224</v>
      </c>
      <c r="I15" s="19"/>
    </row>
    <row r="16" customFormat="false" ht="95.25" hidden="false" customHeight="true" outlineLevel="0" collapsed="false">
      <c r="A16" s="18" t="n">
        <f aca="false">TAKVİM!$B$18+(MATCH($G$5,{"Pazartesi","Salı","Çarşamba","Perşembe","Cuma"},0)-1)</f>
        <v>46339</v>
      </c>
      <c r="B16" s="19" t="s">
        <v>2257</v>
      </c>
      <c r="C16" s="19" t="s">
        <v>2258</v>
      </c>
      <c r="D16" s="19" t="s">
        <v>2259</v>
      </c>
      <c r="E16" s="19" t="s">
        <v>2260</v>
      </c>
      <c r="F16" s="19" t="s">
        <v>2261</v>
      </c>
      <c r="G16" s="19" t="s">
        <v>1251</v>
      </c>
      <c r="H16" s="19" t="s">
        <v>2224</v>
      </c>
      <c r="I16" s="19"/>
    </row>
    <row r="17" customFormat="false" ht="15" hidden="false" customHeight="true" outlineLevel="0" collapsed="false">
      <c r="A17" s="20" t="str">
        <f aca="false">TAKVİM!$C$19</f>
        <v>16-20 Kasım</v>
      </c>
      <c r="B17" s="20" t="s">
        <v>15</v>
      </c>
      <c r="C17" s="20"/>
      <c r="D17" s="20"/>
      <c r="E17" s="20"/>
      <c r="F17" s="20"/>
      <c r="G17" s="20"/>
      <c r="H17" s="20"/>
      <c r="I17" s="20"/>
    </row>
    <row r="18" customFormat="false" ht="95.25" hidden="false" customHeight="true" outlineLevel="0" collapsed="false">
      <c r="A18" s="18" t="n">
        <f aca="false">TAKVİM!$B$20+(MATCH($G$5,{"Pazartesi","Salı","Çarşamba","Perşembe","Cuma"},0)-1)</f>
        <v>46353</v>
      </c>
      <c r="B18" s="19" t="s">
        <v>2257</v>
      </c>
      <c r="C18" s="19" t="s">
        <v>2258</v>
      </c>
      <c r="D18" s="19" t="s">
        <v>2262</v>
      </c>
      <c r="E18" s="19" t="s">
        <v>2263</v>
      </c>
      <c r="F18" s="19" t="s">
        <v>2264</v>
      </c>
      <c r="G18" s="19" t="s">
        <v>1251</v>
      </c>
      <c r="H18" s="19" t="s">
        <v>2224</v>
      </c>
      <c r="I18" s="19"/>
    </row>
    <row r="19" customFormat="false" ht="95.25" hidden="false" customHeight="true" outlineLevel="0" collapsed="false">
      <c r="A19" s="18" t="n">
        <f aca="false">TAKVİM!$B$21+(MATCH($G$5,{"Pazartesi","Salı","Çarşamba","Perşembe","Cuma"},0)-1)</f>
        <v>46360</v>
      </c>
      <c r="B19" s="19" t="s">
        <v>2265</v>
      </c>
      <c r="C19" s="19" t="s">
        <v>2266</v>
      </c>
      <c r="D19" s="19" t="s">
        <v>2267</v>
      </c>
      <c r="E19" s="19" t="s">
        <v>2268</v>
      </c>
      <c r="F19" s="19" t="s">
        <v>2269</v>
      </c>
      <c r="G19" s="19" t="s">
        <v>1251</v>
      </c>
      <c r="H19" s="19" t="s">
        <v>2224</v>
      </c>
      <c r="I19" s="19"/>
    </row>
    <row r="20" customFormat="false" ht="95.25" hidden="false" customHeight="true" outlineLevel="0" collapsed="false">
      <c r="A20" s="18" t="n">
        <f aca="false">TAKVİM!$B$22+(MATCH($G$5,{"Pazartesi","Salı","Çarşamba","Perşembe","Cuma"},0)-1)</f>
        <v>46367</v>
      </c>
      <c r="B20" s="19" t="s">
        <v>2270</v>
      </c>
      <c r="C20" s="19" t="s">
        <v>2271</v>
      </c>
      <c r="D20" s="19" t="s">
        <v>2272</v>
      </c>
      <c r="E20" s="19" t="s">
        <v>2273</v>
      </c>
      <c r="F20" s="19" t="s">
        <v>2274</v>
      </c>
      <c r="G20" s="19" t="s">
        <v>1251</v>
      </c>
      <c r="H20" s="19" t="s">
        <v>2224</v>
      </c>
      <c r="I20" s="19"/>
    </row>
    <row r="21" customFormat="false" ht="95.25" hidden="false" customHeight="true" outlineLevel="0" collapsed="false">
      <c r="A21" s="18" t="n">
        <f aca="false">TAKVİM!$B$23+(MATCH($G$5,{"Pazartesi","Salı","Çarşamba","Perşembe","Cuma"},0)-1)</f>
        <v>46374</v>
      </c>
      <c r="B21" s="19" t="s">
        <v>2275</v>
      </c>
      <c r="C21" s="19" t="s">
        <v>2276</v>
      </c>
      <c r="D21" s="19" t="s">
        <v>2277</v>
      </c>
      <c r="E21" s="19" t="s">
        <v>2278</v>
      </c>
      <c r="F21" s="19" t="s">
        <v>2279</v>
      </c>
      <c r="G21" s="19" t="s">
        <v>1251</v>
      </c>
      <c r="H21" s="19" t="s">
        <v>2224</v>
      </c>
      <c r="I21" s="19"/>
    </row>
    <row r="22" customFormat="false" ht="95.25" hidden="false" customHeight="true" outlineLevel="0" collapsed="false">
      <c r="A22" s="18" t="n">
        <f aca="false">TAKVİM!$B$24+(MATCH($G$5,{"Pazartesi","Salı","Çarşamba","Perşembe","Cuma"},0)-1)</f>
        <v>46381</v>
      </c>
      <c r="B22" s="19" t="s">
        <v>2280</v>
      </c>
      <c r="C22" s="19" t="s">
        <v>2281</v>
      </c>
      <c r="D22" s="19" t="s">
        <v>2282</v>
      </c>
      <c r="E22" s="19" t="s">
        <v>2283</v>
      </c>
      <c r="F22" s="19" t="s">
        <v>2284</v>
      </c>
      <c r="G22" s="19" t="s">
        <v>1251</v>
      </c>
      <c r="H22" s="19" t="s">
        <v>2224</v>
      </c>
      <c r="I22" s="19"/>
    </row>
    <row r="23" customFormat="false" ht="95.25" hidden="false" customHeight="true" outlineLevel="0" collapsed="false">
      <c r="A23" s="18" t="n">
        <f aca="false">TAKVİM!$B$25+(MATCH($G$5,{"Pazartesi","Salı","Çarşamba","Perşembe","Cuma"},0)-1)</f>
        <v>46388</v>
      </c>
      <c r="B23" s="19" t="s">
        <v>2285</v>
      </c>
      <c r="C23" s="19" t="s">
        <v>2286</v>
      </c>
      <c r="D23" s="19" t="s">
        <v>2287</v>
      </c>
      <c r="E23" s="19" t="s">
        <v>2288</v>
      </c>
      <c r="F23" s="19" t="s">
        <v>2289</v>
      </c>
      <c r="G23" s="19" t="s">
        <v>1251</v>
      </c>
      <c r="H23" s="19" t="s">
        <v>2224</v>
      </c>
      <c r="I23" s="19"/>
    </row>
    <row r="24" customFormat="false" ht="95.25" hidden="false" customHeight="true" outlineLevel="0" collapsed="false">
      <c r="A24" s="18" t="n">
        <f aca="false">TAKVİM!$B$26+(MATCH($G$5,{"Pazartesi","Salı","Çarşamba","Perşembe","Cuma"},0)-1)</f>
        <v>46395</v>
      </c>
      <c r="B24" s="19" t="s">
        <v>2290</v>
      </c>
      <c r="C24" s="19" t="s">
        <v>2291</v>
      </c>
      <c r="D24" s="19" t="s">
        <v>2292</v>
      </c>
      <c r="E24" s="19" t="s">
        <v>2293</v>
      </c>
      <c r="F24" s="19" t="s">
        <v>2294</v>
      </c>
      <c r="G24" s="19" t="s">
        <v>1251</v>
      </c>
      <c r="H24" s="19" t="s">
        <v>2224</v>
      </c>
      <c r="I24" s="19"/>
    </row>
    <row r="25" customFormat="false" ht="105.75" hidden="false" customHeight="true" outlineLevel="0" collapsed="false">
      <c r="A25" s="18" t="n">
        <f aca="false">TAKVİM!$B$27+(MATCH($G$5,{"Pazartesi","Salı","Çarşamba","Perşembe","Cuma"},0)-1)</f>
        <v>46402</v>
      </c>
      <c r="B25" s="19" t="s">
        <v>2295</v>
      </c>
      <c r="C25" s="19" t="s">
        <v>2296</v>
      </c>
      <c r="D25" s="19" t="s">
        <v>2297</v>
      </c>
      <c r="E25" s="19" t="s">
        <v>2298</v>
      </c>
      <c r="F25" s="19" t="s">
        <v>2299</v>
      </c>
      <c r="G25" s="19" t="s">
        <v>1251</v>
      </c>
      <c r="H25" s="19" t="s">
        <v>2224</v>
      </c>
      <c r="I25" s="19"/>
    </row>
    <row r="26" customFormat="false" ht="105.75" hidden="false" customHeight="true" outlineLevel="0" collapsed="false">
      <c r="A26" s="18" t="n">
        <f aca="false">TAKVİM!$B$28+(MATCH($G$5,{"Pazartesi","Salı","Çarşamba","Perşembe","Cuma"},0)-1)</f>
        <v>46409</v>
      </c>
      <c r="B26" s="19" t="s">
        <v>2300</v>
      </c>
      <c r="C26" s="19" t="s">
        <v>2301</v>
      </c>
      <c r="D26" s="19" t="s">
        <v>2302</v>
      </c>
      <c r="E26" s="19" t="s">
        <v>2303</v>
      </c>
      <c r="F26" s="19" t="s">
        <v>2304</v>
      </c>
      <c r="G26" s="19" t="s">
        <v>1251</v>
      </c>
      <c r="H26" s="19" t="s">
        <v>2224</v>
      </c>
      <c r="I26" s="19"/>
    </row>
    <row r="27" customFormat="false" ht="15" hidden="false" customHeight="true" outlineLevel="0" collapsed="false">
      <c r="A27" s="20" t="str">
        <f aca="false">TAKVİM!$C$29</f>
        <v>25-29 Ocak</v>
      </c>
      <c r="B27" s="20" t="s">
        <v>16</v>
      </c>
      <c r="C27" s="20"/>
      <c r="D27" s="20"/>
      <c r="E27" s="20"/>
      <c r="F27" s="20"/>
      <c r="G27" s="20"/>
      <c r="H27" s="20"/>
      <c r="I27" s="20"/>
    </row>
    <row r="28" customFormat="false" ht="95.25" hidden="false" customHeight="true" outlineLevel="0" collapsed="false">
      <c r="A28" s="18" t="n">
        <f aca="false">TAKVİM!$B$30+(MATCH($G$5,{"Pazartesi","Salı","Çarşamba","Perşembe","Cuma"},0)-1)</f>
        <v>46430</v>
      </c>
      <c r="B28" s="19" t="s">
        <v>2305</v>
      </c>
      <c r="C28" s="19" t="s">
        <v>2306</v>
      </c>
      <c r="D28" s="19" t="s">
        <v>2307</v>
      </c>
      <c r="E28" s="19" t="s">
        <v>2308</v>
      </c>
      <c r="F28" s="19" t="s">
        <v>2223</v>
      </c>
      <c r="G28" s="19" t="s">
        <v>1251</v>
      </c>
      <c r="H28" s="19" t="s">
        <v>2224</v>
      </c>
      <c r="I28" s="19"/>
    </row>
    <row r="29" customFormat="false" ht="95.25" hidden="false" customHeight="true" outlineLevel="0" collapsed="false">
      <c r="A29" s="18" t="n">
        <f aca="false">TAKVİM!$B$31+(MATCH($G$5,{"Pazartesi","Salı","Çarşamba","Perşembe","Cuma"},0)-1)</f>
        <v>46437</v>
      </c>
      <c r="B29" s="19" t="s">
        <v>2309</v>
      </c>
      <c r="C29" s="19" t="s">
        <v>2310</v>
      </c>
      <c r="D29" s="19" t="s">
        <v>2311</v>
      </c>
      <c r="E29" s="19" t="s">
        <v>2312</v>
      </c>
      <c r="F29" s="19" t="s">
        <v>2229</v>
      </c>
      <c r="G29" s="19" t="s">
        <v>1251</v>
      </c>
      <c r="H29" s="19" t="s">
        <v>2224</v>
      </c>
      <c r="I29" s="19"/>
    </row>
    <row r="30" customFormat="false" ht="95.25" hidden="false" customHeight="true" outlineLevel="0" collapsed="false">
      <c r="A30" s="18" t="n">
        <f aca="false">TAKVİM!$B$32+(MATCH($G$5,{"Pazartesi","Salı","Çarşamba","Perşembe","Cuma"},0)-1)</f>
        <v>46444</v>
      </c>
      <c r="B30" s="19" t="s">
        <v>2313</v>
      </c>
      <c r="C30" s="19" t="s">
        <v>2314</v>
      </c>
      <c r="D30" s="19" t="s">
        <v>2315</v>
      </c>
      <c r="E30" s="19" t="s">
        <v>2316</v>
      </c>
      <c r="F30" s="19" t="s">
        <v>2234</v>
      </c>
      <c r="G30" s="19" t="s">
        <v>1251</v>
      </c>
      <c r="H30" s="19" t="s">
        <v>2224</v>
      </c>
      <c r="I30" s="19"/>
    </row>
    <row r="31" customFormat="false" ht="105.75" hidden="false" customHeight="true" outlineLevel="0" collapsed="false">
      <c r="A31" s="18" t="n">
        <f aca="false">TAKVİM!$B$33+(MATCH($G$5,{"Pazartesi","Salı","Çarşamba","Perşembe","Cuma"},0)-1)</f>
        <v>46451</v>
      </c>
      <c r="B31" s="19" t="s">
        <v>2317</v>
      </c>
      <c r="C31" s="19" t="s">
        <v>2318</v>
      </c>
      <c r="D31" s="19" t="s">
        <v>2319</v>
      </c>
      <c r="E31" s="19" t="s">
        <v>2320</v>
      </c>
      <c r="F31" s="19" t="s">
        <v>2321</v>
      </c>
      <c r="G31" s="19" t="s">
        <v>1251</v>
      </c>
      <c r="H31" s="19" t="s">
        <v>2224</v>
      </c>
      <c r="I31" s="19"/>
    </row>
    <row r="32" customFormat="false" ht="15" hidden="false" customHeight="true" outlineLevel="0" collapsed="false">
      <c r="A32" s="20" t="str">
        <f aca="false">TAKVİM!$C$34</f>
        <v>08-12 Mart</v>
      </c>
      <c r="B32" s="20" t="s">
        <v>17</v>
      </c>
      <c r="C32" s="20"/>
      <c r="D32" s="20"/>
      <c r="E32" s="20"/>
      <c r="F32" s="20"/>
      <c r="G32" s="20"/>
      <c r="H32" s="20"/>
      <c r="I32" s="20"/>
    </row>
    <row r="33" customFormat="false" ht="95.25" hidden="false" customHeight="true" outlineLevel="0" collapsed="false">
      <c r="A33" s="18" t="n">
        <f aca="false">TAKVİM!$B$35+(MATCH($G$5,{"Pazartesi","Salı","Çarşamba","Perşembe","Cuma"},0)-1)</f>
        <v>46465</v>
      </c>
      <c r="B33" s="19" t="s">
        <v>2322</v>
      </c>
      <c r="C33" s="19" t="s">
        <v>2323</v>
      </c>
      <c r="D33" s="19" t="s">
        <v>2324</v>
      </c>
      <c r="E33" s="19" t="s">
        <v>2325</v>
      </c>
      <c r="F33" s="19" t="s">
        <v>2326</v>
      </c>
      <c r="G33" s="19" t="s">
        <v>1251</v>
      </c>
      <c r="H33" s="19" t="s">
        <v>2224</v>
      </c>
      <c r="I33" s="19"/>
    </row>
    <row r="34" customFormat="false" ht="95.25" hidden="false" customHeight="true" outlineLevel="0" collapsed="false">
      <c r="A34" s="18" t="n">
        <f aca="false">TAKVİM!$B$36+(MATCH($G$5,{"Pazartesi","Salı","Çarşamba","Perşembe","Cuma"},0)-1)</f>
        <v>46472</v>
      </c>
      <c r="B34" s="19" t="s">
        <v>2327</v>
      </c>
      <c r="C34" s="19" t="s">
        <v>2328</v>
      </c>
      <c r="D34" s="19" t="s">
        <v>2329</v>
      </c>
      <c r="E34" s="19" t="s">
        <v>2330</v>
      </c>
      <c r="F34" s="19" t="s">
        <v>2331</v>
      </c>
      <c r="G34" s="19" t="s">
        <v>1251</v>
      </c>
      <c r="H34" s="19" t="s">
        <v>2224</v>
      </c>
      <c r="I34" s="19"/>
    </row>
    <row r="35" customFormat="false" ht="95.25" hidden="false" customHeight="true" outlineLevel="0" collapsed="false">
      <c r="A35" s="18" t="n">
        <f aca="false">TAKVİM!$B$37+(MATCH($G$5,{"Pazartesi","Salı","Çarşamba","Perşembe","Cuma"},0)-1)</f>
        <v>46479</v>
      </c>
      <c r="B35" s="19" t="s">
        <v>2332</v>
      </c>
      <c r="C35" s="19" t="s">
        <v>2333</v>
      </c>
      <c r="D35" s="19" t="s">
        <v>2334</v>
      </c>
      <c r="E35" s="19" t="s">
        <v>2335</v>
      </c>
      <c r="F35" s="19" t="s">
        <v>2336</v>
      </c>
      <c r="G35" s="19" t="s">
        <v>1251</v>
      </c>
      <c r="H35" s="19" t="s">
        <v>2224</v>
      </c>
      <c r="I35" s="19"/>
    </row>
    <row r="36" customFormat="false" ht="95.25" hidden="false" customHeight="true" outlineLevel="0" collapsed="false">
      <c r="A36" s="18" t="n">
        <f aca="false">TAKVİM!$B$38+(MATCH($G$5,{"Pazartesi","Salı","Çarşamba","Perşembe","Cuma"},0)-1)</f>
        <v>46486</v>
      </c>
      <c r="B36" s="19" t="s">
        <v>2337</v>
      </c>
      <c r="C36" s="19" t="s">
        <v>2338</v>
      </c>
      <c r="D36" s="19" t="s">
        <v>2339</v>
      </c>
      <c r="E36" s="19" t="s">
        <v>2340</v>
      </c>
      <c r="F36" s="19" t="s">
        <v>2269</v>
      </c>
      <c r="G36" s="19" t="s">
        <v>1251</v>
      </c>
      <c r="H36" s="19" t="s">
        <v>2224</v>
      </c>
      <c r="I36" s="19"/>
    </row>
    <row r="37" customFormat="false" ht="95.25" hidden="false" customHeight="true" outlineLevel="0" collapsed="false">
      <c r="A37" s="18" t="n">
        <f aca="false">TAKVİM!$B$39+(MATCH($G$5,{"Pazartesi","Salı","Çarşamba","Perşembe","Cuma"},0)-1)</f>
        <v>46493</v>
      </c>
      <c r="B37" s="19" t="s">
        <v>2341</v>
      </c>
      <c r="C37" s="19" t="s">
        <v>2342</v>
      </c>
      <c r="D37" s="19" t="s">
        <v>2343</v>
      </c>
      <c r="E37" s="19" t="s">
        <v>2344</v>
      </c>
      <c r="F37" s="19" t="s">
        <v>2345</v>
      </c>
      <c r="G37" s="19" t="s">
        <v>1251</v>
      </c>
      <c r="H37" s="19" t="s">
        <v>2224</v>
      </c>
      <c r="I37" s="19"/>
    </row>
    <row r="38" customFormat="false" ht="95.25" hidden="false" customHeight="true" outlineLevel="0" collapsed="false">
      <c r="A38" s="18" t="n">
        <f aca="false">TAKVİM!$B$40+(MATCH($G$5,{"Pazartesi","Salı","Çarşamba","Perşembe","Cuma"},0)-1)</f>
        <v>46500</v>
      </c>
      <c r="B38" s="19" t="s">
        <v>2346</v>
      </c>
      <c r="C38" s="19" t="s">
        <v>2347</v>
      </c>
      <c r="D38" s="19" t="s">
        <v>2348</v>
      </c>
      <c r="E38" s="19" t="s">
        <v>2349</v>
      </c>
      <c r="F38" s="19" t="s">
        <v>2350</v>
      </c>
      <c r="G38" s="19" t="s">
        <v>1251</v>
      </c>
      <c r="H38" s="19" t="s">
        <v>2224</v>
      </c>
      <c r="I38" s="19"/>
    </row>
    <row r="39" customFormat="false" ht="95.25" hidden="false" customHeight="true" outlineLevel="0" collapsed="false">
      <c r="A39" s="18" t="n">
        <f aca="false">TAKVİM!$B$41+(MATCH($G$5,{"Pazartesi","Salı","Çarşamba","Perşembe","Cuma"},0)-1)</f>
        <v>46507</v>
      </c>
      <c r="B39" s="19" t="s">
        <v>2351</v>
      </c>
      <c r="C39" s="19" t="s">
        <v>2352</v>
      </c>
      <c r="D39" s="19" t="s">
        <v>2353</v>
      </c>
      <c r="E39" s="19" t="s">
        <v>2354</v>
      </c>
      <c r="F39" s="19" t="s">
        <v>2355</v>
      </c>
      <c r="G39" s="19" t="s">
        <v>1251</v>
      </c>
      <c r="H39" s="19" t="s">
        <v>2224</v>
      </c>
      <c r="I39" s="19"/>
    </row>
    <row r="40" customFormat="false" ht="95.25" hidden="false" customHeight="true" outlineLevel="0" collapsed="false">
      <c r="A40" s="18" t="n">
        <f aca="false">TAKVİM!$B$42+(MATCH($G$5,{"Pazartesi","Salı","Çarşamba","Perşembe","Cuma"},0)-1)</f>
        <v>46514</v>
      </c>
      <c r="B40" s="19" t="s">
        <v>2356</v>
      </c>
      <c r="C40" s="19" t="s">
        <v>2357</v>
      </c>
      <c r="D40" s="19" t="s">
        <v>2358</v>
      </c>
      <c r="E40" s="19" t="s">
        <v>2359</v>
      </c>
      <c r="F40" s="19" t="s">
        <v>2360</v>
      </c>
      <c r="G40" s="19" t="s">
        <v>1251</v>
      </c>
      <c r="H40" s="19" t="s">
        <v>2224</v>
      </c>
      <c r="I40" s="19"/>
    </row>
    <row r="41" customFormat="false" ht="95.25" hidden="false" customHeight="true" outlineLevel="0" collapsed="false">
      <c r="A41" s="18" t="n">
        <f aca="false">TAKVİM!$B$43+(MATCH($G$5,{"Pazartesi","Salı","Çarşamba","Perşembe","Cuma"},0)-1)</f>
        <v>46521</v>
      </c>
      <c r="B41" s="19" t="s">
        <v>2361</v>
      </c>
      <c r="C41" s="19" t="s">
        <v>2362</v>
      </c>
      <c r="D41" s="19" t="s">
        <v>2363</v>
      </c>
      <c r="E41" s="19" t="s">
        <v>2364</v>
      </c>
      <c r="F41" s="19" t="s">
        <v>2365</v>
      </c>
      <c r="G41" s="19" t="s">
        <v>1251</v>
      </c>
      <c r="H41" s="19" t="s">
        <v>2224</v>
      </c>
      <c r="I41" s="19"/>
    </row>
    <row r="42" customFormat="false" ht="105.75" hidden="false" customHeight="true" outlineLevel="0" collapsed="false">
      <c r="A42" s="18" t="n">
        <f aca="false">TAKVİM!$B$44+(MATCH($G$5,{"Pazartesi","Salı","Çarşamba","Perşembe","Cuma"},0)-1)</f>
        <v>46528</v>
      </c>
      <c r="B42" s="19" t="s">
        <v>2366</v>
      </c>
      <c r="C42" s="19" t="s">
        <v>2367</v>
      </c>
      <c r="D42" s="19" t="s">
        <v>2368</v>
      </c>
      <c r="E42" s="19" t="s">
        <v>2369</v>
      </c>
      <c r="F42" s="19" t="s">
        <v>2370</v>
      </c>
      <c r="G42" s="19" t="s">
        <v>1251</v>
      </c>
      <c r="H42" s="19" t="s">
        <v>2224</v>
      </c>
      <c r="I42" s="19"/>
    </row>
    <row r="43" customFormat="false" ht="95.25" hidden="false" customHeight="true" outlineLevel="0" collapsed="false">
      <c r="A43" s="18" t="n">
        <f aca="false">TAKVİM!$B$45+(MATCH($G$5,{"Pazartesi","Salı","Çarşamba","Perşembe","Cuma"},0)-1)</f>
        <v>46535</v>
      </c>
      <c r="B43" s="19" t="s">
        <v>2371</v>
      </c>
      <c r="C43" s="19" t="s">
        <v>2372</v>
      </c>
      <c r="D43" s="19" t="s">
        <v>2373</v>
      </c>
      <c r="E43" s="19" t="s">
        <v>2374</v>
      </c>
      <c r="F43" s="19" t="s">
        <v>2370</v>
      </c>
      <c r="G43" s="19" t="s">
        <v>1251</v>
      </c>
      <c r="H43" s="19" t="s">
        <v>2224</v>
      </c>
      <c r="I43" s="19"/>
    </row>
    <row r="44" customFormat="false" ht="95.25" hidden="false" customHeight="true" outlineLevel="0" collapsed="false">
      <c r="A44" s="18" t="n">
        <f aca="false">TAKVİM!$B$46+(MATCH($G$5,{"Pazartesi","Salı","Çarşamba","Perşembe","Cuma"},0)-1)</f>
        <v>46542</v>
      </c>
      <c r="B44" s="19" t="s">
        <v>2375</v>
      </c>
      <c r="C44" s="19" t="s">
        <v>2376</v>
      </c>
      <c r="D44" s="19" t="s">
        <v>2377</v>
      </c>
      <c r="E44" s="19" t="s">
        <v>2378</v>
      </c>
      <c r="F44" s="19" t="s">
        <v>2379</v>
      </c>
      <c r="G44" s="19" t="s">
        <v>1251</v>
      </c>
      <c r="H44" s="19" t="s">
        <v>2224</v>
      </c>
      <c r="I44" s="19"/>
    </row>
    <row r="45" customFormat="false" ht="105.75" hidden="false" customHeight="true" outlineLevel="0" collapsed="false">
      <c r="A45" s="18" t="n">
        <f aca="false">TAKVİM!$B$47+(MATCH($G$5,{"Pazartesi","Salı","Çarşamba","Perşembe","Cuma"},0)-1)</f>
        <v>46549</v>
      </c>
      <c r="B45" s="19" t="s">
        <v>2380</v>
      </c>
      <c r="C45" s="19" t="s">
        <v>2381</v>
      </c>
      <c r="D45" s="19" t="s">
        <v>2382</v>
      </c>
      <c r="E45" s="19" t="s">
        <v>2383</v>
      </c>
      <c r="F45" s="19" t="s">
        <v>2299</v>
      </c>
      <c r="G45" s="19" t="s">
        <v>1251</v>
      </c>
      <c r="H45" s="19" t="s">
        <v>2224</v>
      </c>
      <c r="I45" s="19"/>
    </row>
    <row r="46" customFormat="false" ht="105.75" hidden="false" customHeight="true" outlineLevel="0" collapsed="false">
      <c r="A46" s="18" t="n">
        <f aca="false">TAKVİM!$B$48+(MATCH($G$5,{"Pazartesi","Salı","Çarşamba","Perşembe","Cuma"},0)-1)</f>
        <v>46556</v>
      </c>
      <c r="B46" s="19" t="s">
        <v>2384</v>
      </c>
      <c r="C46" s="19" t="s">
        <v>2385</v>
      </c>
      <c r="D46" s="19" t="s">
        <v>2386</v>
      </c>
      <c r="E46" s="19" t="s">
        <v>2387</v>
      </c>
      <c r="F46" s="19" t="s">
        <v>2388</v>
      </c>
      <c r="G46" s="19" t="s">
        <v>1251</v>
      </c>
      <c r="H46" s="19" t="s">
        <v>2224</v>
      </c>
      <c r="I46" s="19"/>
    </row>
    <row r="47" customFormat="false" ht="105.75" hidden="false" customHeight="true" outlineLevel="0" collapsed="false">
      <c r="A47" s="18" t="n">
        <f aca="false">TAKVİM!$B$49+(MATCH($G$5,{"Pazartesi","Salı","Çarşamba","Perşembe","Cuma"},0)-1)</f>
        <v>46563</v>
      </c>
      <c r="B47" s="19" t="s">
        <v>2384</v>
      </c>
      <c r="C47" s="19" t="s">
        <v>2389</v>
      </c>
      <c r="D47" s="19" t="s">
        <v>2390</v>
      </c>
      <c r="E47" s="19" t="s">
        <v>2391</v>
      </c>
      <c r="F47" s="19" t="s">
        <v>2392</v>
      </c>
      <c r="G47" s="19" t="s">
        <v>1251</v>
      </c>
      <c r="H47" s="19" t="s">
        <v>2224</v>
      </c>
      <c r="I47" s="19"/>
    </row>
    <row r="51" customFormat="false" ht="15" hidden="false" customHeight="true" outlineLevel="0" collapsed="false">
      <c r="A51" s="21" t="s">
        <v>28</v>
      </c>
      <c r="B51" s="21"/>
      <c r="C51" s="21"/>
      <c r="D51" s="21"/>
      <c r="F51" s="21" t="s">
        <v>210</v>
      </c>
      <c r="G51" s="21"/>
      <c r="H51" s="21"/>
      <c r="I51" s="21"/>
    </row>
    <row r="52" customFormat="false" ht="15" hidden="false" customHeight="true" outlineLevel="0" collapsed="false">
      <c r="A52" s="22" t="s">
        <v>211</v>
      </c>
      <c r="B52" s="22"/>
      <c r="C52" s="22"/>
      <c r="D52" s="22"/>
      <c r="F52" s="22" t="s">
        <v>212</v>
      </c>
      <c r="G52" s="22"/>
      <c r="H52" s="22"/>
      <c r="I52" s="22"/>
    </row>
    <row r="54" customFormat="false" ht="15" hidden="false" customHeight="true" outlineLevel="0" collapsed="false">
      <c r="A54" s="22" t="s">
        <v>213</v>
      </c>
      <c r="B54" s="22"/>
      <c r="C54" s="22"/>
      <c r="D54" s="22"/>
      <c r="F54" s="21" t="s">
        <v>214</v>
      </c>
      <c r="G54" s="21"/>
      <c r="H54" s="21"/>
      <c r="I54" s="21"/>
    </row>
  </sheetData>
  <mergeCells count="15">
    <mergeCell ref="C1:G1"/>
    <mergeCell ref="B3:D3"/>
    <mergeCell ref="G3:I3"/>
    <mergeCell ref="B4:D4"/>
    <mergeCell ref="G4:I4"/>
    <mergeCell ref="B5:D5"/>
    <mergeCell ref="B17:I17"/>
    <mergeCell ref="B27:I27"/>
    <mergeCell ref="B32:I32"/>
    <mergeCell ref="A51:D51"/>
    <mergeCell ref="F51:I51"/>
    <mergeCell ref="A52:D52"/>
    <mergeCell ref="F52:I52"/>
    <mergeCell ref="A54:D54"/>
    <mergeCell ref="F54:I54"/>
  </mergeCells>
  <dataValidations count="1">
    <dataValidation allowBlank="false" errorStyle="stop" operator="between" showDropDown="false" showErrorMessage="false" showInputMessage="false" sqref="G5" type="list">
      <formula1>"Pazartesi,Salı,Çarşamba,Perşembe,Cuma"</formula1>
      <formula2>0</formula2>
    </dataValidation>
  </dataValidation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4" min="3" style="1" width="26"/>
    <col collapsed="false" customWidth="true" hidden="false" outlineLevel="0" max="5" min="5" style="1" width="34"/>
    <col collapsed="false" customWidth="true" hidden="false" outlineLevel="0" max="6" min="6" style="1" width="22"/>
    <col collapsed="false" customWidth="true" hidden="false" outlineLevel="0" max="7" min="7" style="1" width="18"/>
    <col collapsed="false" customWidth="true" hidden="false" outlineLevel="0" max="8" min="8" style="1" width="22"/>
    <col collapsed="false" customWidth="true" hidden="false" outlineLevel="0" max="9" min="9" style="1" width="18"/>
  </cols>
  <sheetData>
    <row r="1" customFormat="false" ht="75" hidden="false" customHeight="true" outlineLevel="0" collapsed="false">
      <c r="C1" s="15" t="s">
        <v>18</v>
      </c>
      <c r="D1" s="15"/>
      <c r="E1" s="15"/>
      <c r="F1" s="15"/>
      <c r="G1" s="15"/>
    </row>
    <row r="3" customFormat="false" ht="15" hidden="false" customHeight="true" outlineLevel="0" collapsed="false">
      <c r="A3" s="3" t="s">
        <v>19</v>
      </c>
      <c r="B3" s="16" t="s">
        <v>2393</v>
      </c>
      <c r="C3" s="16"/>
      <c r="D3" s="16"/>
      <c r="F3" s="3" t="s">
        <v>21</v>
      </c>
      <c r="G3" s="16" t="s">
        <v>1244</v>
      </c>
      <c r="H3" s="16"/>
      <c r="I3" s="16"/>
    </row>
    <row r="4" customFormat="false" ht="15" hidden="false" customHeight="true" outlineLevel="0" collapsed="false">
      <c r="A4" s="3" t="s">
        <v>23</v>
      </c>
      <c r="B4" s="16" t="s">
        <v>1245</v>
      </c>
      <c r="C4" s="16"/>
      <c r="D4" s="16"/>
      <c r="F4" s="3" t="s">
        <v>25</v>
      </c>
      <c r="G4" s="16" t="s">
        <v>216</v>
      </c>
      <c r="H4" s="16"/>
      <c r="I4" s="16"/>
    </row>
    <row r="5" customFormat="false" ht="15" hidden="false" customHeight="true" outlineLevel="0" collapsed="false">
      <c r="A5" s="3" t="s">
        <v>27</v>
      </c>
      <c r="B5" s="16" t="s">
        <v>28</v>
      </c>
      <c r="C5" s="16"/>
      <c r="D5" s="16"/>
      <c r="F5" s="3" t="s">
        <v>29</v>
      </c>
      <c r="G5" s="4" t="s">
        <v>30</v>
      </c>
    </row>
    <row r="7" customFormat="false" ht="23.25" hidden="false" customHeight="true" outlineLevel="0" collapsed="false">
      <c r="A7" s="17" t="s">
        <v>31</v>
      </c>
      <c r="B7" s="17" t="s">
        <v>32</v>
      </c>
      <c r="C7" s="17" t="s">
        <v>33</v>
      </c>
      <c r="D7" s="17" t="s">
        <v>34</v>
      </c>
      <c r="E7" s="17" t="s">
        <v>35</v>
      </c>
      <c r="F7" s="17" t="s">
        <v>36</v>
      </c>
      <c r="G7" s="17" t="s">
        <v>37</v>
      </c>
      <c r="H7" s="17" t="s">
        <v>38</v>
      </c>
      <c r="I7" s="17" t="s">
        <v>39</v>
      </c>
    </row>
    <row r="8" customFormat="false" ht="74.25" hidden="false" customHeight="true" outlineLevel="0" collapsed="false">
      <c r="A8" s="18" t="n">
        <f aca="false">TAKVİM!$B$10+(MATCH($G$5,{"Pazartesi","Salı","Çarşamba","Perşembe","Cuma"},0)-1)</f>
        <v>46283</v>
      </c>
      <c r="B8" s="19" t="s">
        <v>2394</v>
      </c>
      <c r="C8" s="19" t="s">
        <v>2395</v>
      </c>
      <c r="D8" s="19" t="s">
        <v>2396</v>
      </c>
      <c r="E8" s="19" t="s">
        <v>2397</v>
      </c>
      <c r="F8" s="19" t="s">
        <v>2398</v>
      </c>
      <c r="G8" s="19" t="s">
        <v>1251</v>
      </c>
      <c r="H8" s="19" t="s">
        <v>2399</v>
      </c>
      <c r="I8" s="19"/>
    </row>
    <row r="9" customFormat="false" ht="74.25" hidden="false" customHeight="true" outlineLevel="0" collapsed="false">
      <c r="A9" s="18" t="n">
        <f aca="false">TAKVİM!$B$11+(MATCH($G$5,{"Pazartesi","Salı","Çarşamba","Perşembe","Cuma"},0)-1)</f>
        <v>46290</v>
      </c>
      <c r="B9" s="19" t="s">
        <v>2394</v>
      </c>
      <c r="C9" s="19" t="s">
        <v>2400</v>
      </c>
      <c r="D9" s="19" t="s">
        <v>2401</v>
      </c>
      <c r="E9" s="19" t="s">
        <v>2402</v>
      </c>
      <c r="F9" s="19" t="s">
        <v>2403</v>
      </c>
      <c r="G9" s="19" t="s">
        <v>1251</v>
      </c>
      <c r="H9" s="19" t="s">
        <v>2399</v>
      </c>
      <c r="I9" s="19"/>
    </row>
    <row r="10" customFormat="false" ht="74.25" hidden="false" customHeight="true" outlineLevel="0" collapsed="false">
      <c r="A10" s="18" t="n">
        <f aca="false">TAKVİM!$B$12+(MATCH($G$5,{"Pazartesi","Salı","Çarşamba","Perşembe","Cuma"},0)-1)</f>
        <v>46297</v>
      </c>
      <c r="B10" s="19" t="s">
        <v>2394</v>
      </c>
      <c r="C10" s="19" t="s">
        <v>2404</v>
      </c>
      <c r="D10" s="19" t="s">
        <v>2405</v>
      </c>
      <c r="E10" s="19" t="s">
        <v>2406</v>
      </c>
      <c r="F10" s="19" t="s">
        <v>2407</v>
      </c>
      <c r="G10" s="19" t="s">
        <v>1251</v>
      </c>
      <c r="H10" s="19" t="s">
        <v>2399</v>
      </c>
      <c r="I10" s="19"/>
    </row>
    <row r="11" customFormat="false" ht="84.75" hidden="false" customHeight="true" outlineLevel="0" collapsed="false">
      <c r="A11" s="18" t="n">
        <f aca="false">TAKVİM!$B$13+(MATCH($G$5,{"Pazartesi","Salı","Çarşamba","Perşembe","Cuma"},0)-1)</f>
        <v>46304</v>
      </c>
      <c r="B11" s="19" t="s">
        <v>2408</v>
      </c>
      <c r="C11" s="19" t="s">
        <v>2409</v>
      </c>
      <c r="D11" s="19" t="s">
        <v>2410</v>
      </c>
      <c r="E11" s="19" t="s">
        <v>2411</v>
      </c>
      <c r="F11" s="19" t="s">
        <v>2412</v>
      </c>
      <c r="G11" s="19" t="s">
        <v>1251</v>
      </c>
      <c r="H11" s="19" t="s">
        <v>2399</v>
      </c>
      <c r="I11" s="19"/>
    </row>
    <row r="12" customFormat="false" ht="84.75" hidden="false" customHeight="true" outlineLevel="0" collapsed="false">
      <c r="A12" s="18" t="n">
        <f aca="false">TAKVİM!$B$14+(MATCH($G$5,{"Pazartesi","Salı","Çarşamba","Perşembe","Cuma"},0)-1)</f>
        <v>46311</v>
      </c>
      <c r="B12" s="19" t="s">
        <v>2408</v>
      </c>
      <c r="C12" s="19" t="s">
        <v>2413</v>
      </c>
      <c r="D12" s="19" t="s">
        <v>2414</v>
      </c>
      <c r="E12" s="19" t="s">
        <v>2415</v>
      </c>
      <c r="F12" s="19" t="s">
        <v>2416</v>
      </c>
      <c r="G12" s="19" t="s">
        <v>1251</v>
      </c>
      <c r="H12" s="19" t="s">
        <v>2399</v>
      </c>
      <c r="I12" s="19"/>
    </row>
    <row r="13" customFormat="false" ht="84.75" hidden="false" customHeight="true" outlineLevel="0" collapsed="false">
      <c r="A13" s="18" t="n">
        <f aca="false">TAKVİM!$B$15+(MATCH($G$5,{"Pazartesi","Salı","Çarşamba","Perşembe","Cuma"},0)-1)</f>
        <v>46318</v>
      </c>
      <c r="B13" s="19" t="s">
        <v>2408</v>
      </c>
      <c r="C13" s="19" t="s">
        <v>2417</v>
      </c>
      <c r="D13" s="19" t="s">
        <v>2418</v>
      </c>
      <c r="E13" s="19" t="s">
        <v>2419</v>
      </c>
      <c r="F13" s="19" t="s">
        <v>2420</v>
      </c>
      <c r="G13" s="19" t="s">
        <v>1251</v>
      </c>
      <c r="H13" s="19" t="s">
        <v>2399</v>
      </c>
      <c r="I13" s="19"/>
    </row>
    <row r="14" customFormat="false" ht="74.25" hidden="false" customHeight="true" outlineLevel="0" collapsed="false">
      <c r="A14" s="18" t="n">
        <f aca="false">TAKVİM!$B$16+(MATCH($G$5,{"Pazartesi","Salı","Çarşamba","Perşembe","Cuma"},0)-1)</f>
        <v>46325</v>
      </c>
      <c r="B14" s="19" t="s">
        <v>2421</v>
      </c>
      <c r="C14" s="19" t="s">
        <v>2422</v>
      </c>
      <c r="D14" s="19" t="s">
        <v>2423</v>
      </c>
      <c r="E14" s="19" t="s">
        <v>2424</v>
      </c>
      <c r="F14" s="19" t="s">
        <v>2425</v>
      </c>
      <c r="G14" s="19" t="s">
        <v>1251</v>
      </c>
      <c r="H14" s="19" t="s">
        <v>2399</v>
      </c>
      <c r="I14" s="19"/>
    </row>
    <row r="15" customFormat="false" ht="74.25" hidden="false" customHeight="true" outlineLevel="0" collapsed="false">
      <c r="A15" s="18" t="n">
        <f aca="false">TAKVİM!$B$17+(MATCH($G$5,{"Pazartesi","Salı","Çarşamba","Perşembe","Cuma"},0)-1)</f>
        <v>46332</v>
      </c>
      <c r="B15" s="19" t="s">
        <v>2421</v>
      </c>
      <c r="C15" s="19" t="s">
        <v>2426</v>
      </c>
      <c r="D15" s="19" t="s">
        <v>2427</v>
      </c>
      <c r="E15" s="19" t="s">
        <v>2428</v>
      </c>
      <c r="F15" s="19" t="s">
        <v>2429</v>
      </c>
      <c r="G15" s="19" t="s">
        <v>1251</v>
      </c>
      <c r="H15" s="19" t="s">
        <v>2399</v>
      </c>
      <c r="I15" s="19"/>
    </row>
    <row r="16" customFormat="false" ht="74.25" hidden="false" customHeight="true" outlineLevel="0" collapsed="false">
      <c r="A16" s="18" t="n">
        <f aca="false">TAKVİM!$B$18+(MATCH($G$5,{"Pazartesi","Salı","Çarşamba","Perşembe","Cuma"},0)-1)</f>
        <v>46339</v>
      </c>
      <c r="B16" s="19" t="s">
        <v>2430</v>
      </c>
      <c r="C16" s="19" t="s">
        <v>2431</v>
      </c>
      <c r="D16" s="19" t="s">
        <v>2432</v>
      </c>
      <c r="E16" s="19" t="s">
        <v>2433</v>
      </c>
      <c r="F16" s="19" t="s">
        <v>2434</v>
      </c>
      <c r="G16" s="19" t="s">
        <v>1251</v>
      </c>
      <c r="H16" s="19" t="s">
        <v>2399</v>
      </c>
      <c r="I16" s="19"/>
    </row>
    <row r="17" customFormat="false" ht="15" hidden="false" customHeight="true" outlineLevel="0" collapsed="false">
      <c r="A17" s="20" t="str">
        <f aca="false">TAKVİM!$C$19</f>
        <v>16-20 Kasım</v>
      </c>
      <c r="B17" s="20" t="s">
        <v>15</v>
      </c>
      <c r="C17" s="20"/>
      <c r="D17" s="20"/>
      <c r="E17" s="20"/>
      <c r="F17" s="20"/>
      <c r="G17" s="20"/>
      <c r="H17" s="20"/>
      <c r="I17" s="20"/>
    </row>
    <row r="18" customFormat="false" ht="74.25" hidden="false" customHeight="true" outlineLevel="0" collapsed="false">
      <c r="A18" s="18" t="n">
        <f aca="false">TAKVİM!$B$20+(MATCH($G$5,{"Pazartesi","Salı","Çarşamba","Perşembe","Cuma"},0)-1)</f>
        <v>46353</v>
      </c>
      <c r="B18" s="19" t="s">
        <v>2430</v>
      </c>
      <c r="C18" s="19" t="s">
        <v>2435</v>
      </c>
      <c r="D18" s="19" t="s">
        <v>2436</v>
      </c>
      <c r="E18" s="19" t="s">
        <v>2437</v>
      </c>
      <c r="F18" s="19" t="s">
        <v>2438</v>
      </c>
      <c r="G18" s="19" t="s">
        <v>1251</v>
      </c>
      <c r="H18" s="19" t="s">
        <v>2399</v>
      </c>
      <c r="I18" s="19"/>
    </row>
    <row r="19" customFormat="false" ht="74.25" hidden="false" customHeight="true" outlineLevel="0" collapsed="false">
      <c r="A19" s="18" t="n">
        <f aca="false">TAKVİM!$B$21+(MATCH($G$5,{"Pazartesi","Salı","Çarşamba","Perşembe","Cuma"},0)-1)</f>
        <v>46360</v>
      </c>
      <c r="B19" s="19" t="s">
        <v>2439</v>
      </c>
      <c r="C19" s="19" t="s">
        <v>2440</v>
      </c>
      <c r="D19" s="19" t="s">
        <v>2441</v>
      </c>
      <c r="E19" s="19" t="s">
        <v>2442</v>
      </c>
      <c r="F19" s="19" t="s">
        <v>2443</v>
      </c>
      <c r="G19" s="19" t="s">
        <v>1251</v>
      </c>
      <c r="H19" s="19" t="s">
        <v>2399</v>
      </c>
      <c r="I19" s="19"/>
    </row>
    <row r="20" customFormat="false" ht="74.25" hidden="false" customHeight="true" outlineLevel="0" collapsed="false">
      <c r="A20" s="18" t="n">
        <f aca="false">TAKVİM!$B$22+(MATCH($G$5,{"Pazartesi","Salı","Çarşamba","Perşembe","Cuma"},0)-1)</f>
        <v>46367</v>
      </c>
      <c r="B20" s="19" t="s">
        <v>2439</v>
      </c>
      <c r="C20" s="19" t="s">
        <v>2444</v>
      </c>
      <c r="D20" s="19" t="s">
        <v>2445</v>
      </c>
      <c r="E20" s="19" t="s">
        <v>2446</v>
      </c>
      <c r="F20" s="19" t="s">
        <v>2447</v>
      </c>
      <c r="G20" s="19" t="s">
        <v>1251</v>
      </c>
      <c r="H20" s="19" t="s">
        <v>2399</v>
      </c>
      <c r="I20" s="19"/>
    </row>
    <row r="21" customFormat="false" ht="74.25" hidden="false" customHeight="true" outlineLevel="0" collapsed="false">
      <c r="A21" s="18" t="n">
        <f aca="false">TAKVİM!$B$23+(MATCH($G$5,{"Pazartesi","Salı","Çarşamba","Perşembe","Cuma"},0)-1)</f>
        <v>46374</v>
      </c>
      <c r="B21" s="19" t="s">
        <v>2448</v>
      </c>
      <c r="C21" s="19" t="s">
        <v>2449</v>
      </c>
      <c r="D21" s="19" t="s">
        <v>2450</v>
      </c>
      <c r="E21" s="19" t="s">
        <v>2451</v>
      </c>
      <c r="F21" s="19" t="s">
        <v>2452</v>
      </c>
      <c r="G21" s="19" t="s">
        <v>1251</v>
      </c>
      <c r="H21" s="19" t="s">
        <v>2399</v>
      </c>
      <c r="I21" s="19"/>
    </row>
    <row r="22" customFormat="false" ht="74.25" hidden="false" customHeight="true" outlineLevel="0" collapsed="false">
      <c r="A22" s="18" t="n">
        <f aca="false">TAKVİM!$B$24+(MATCH($G$5,{"Pazartesi","Salı","Çarşamba","Perşembe","Cuma"},0)-1)</f>
        <v>46381</v>
      </c>
      <c r="B22" s="19" t="s">
        <v>2448</v>
      </c>
      <c r="C22" s="19" t="s">
        <v>2453</v>
      </c>
      <c r="D22" s="19" t="s">
        <v>2454</v>
      </c>
      <c r="E22" s="19" t="s">
        <v>2455</v>
      </c>
      <c r="F22" s="19" t="s">
        <v>2456</v>
      </c>
      <c r="G22" s="19" t="s">
        <v>1251</v>
      </c>
      <c r="H22" s="19" t="s">
        <v>2399</v>
      </c>
      <c r="I22" s="19"/>
    </row>
    <row r="23" customFormat="false" ht="74.25" hidden="false" customHeight="true" outlineLevel="0" collapsed="false">
      <c r="A23" s="18" t="n">
        <f aca="false">TAKVİM!$B$25+(MATCH($G$5,{"Pazartesi","Salı","Çarşamba","Perşembe","Cuma"},0)-1)</f>
        <v>46388</v>
      </c>
      <c r="B23" s="19" t="s">
        <v>2457</v>
      </c>
      <c r="C23" s="19" t="s">
        <v>2458</v>
      </c>
      <c r="D23" s="19" t="s">
        <v>2459</v>
      </c>
      <c r="E23" s="19" t="s">
        <v>2460</v>
      </c>
      <c r="F23" s="19" t="s">
        <v>654</v>
      </c>
      <c r="G23" s="19" t="s">
        <v>1251</v>
      </c>
      <c r="H23" s="19" t="s">
        <v>2399</v>
      </c>
      <c r="I23" s="19"/>
    </row>
    <row r="24" customFormat="false" ht="74.25" hidden="false" customHeight="true" outlineLevel="0" collapsed="false">
      <c r="A24" s="18" t="n">
        <f aca="false">TAKVİM!$B$26+(MATCH($G$5,{"Pazartesi","Salı","Çarşamba","Perşembe","Cuma"},0)-1)</f>
        <v>46395</v>
      </c>
      <c r="B24" s="19" t="s">
        <v>2457</v>
      </c>
      <c r="C24" s="19" t="s">
        <v>2461</v>
      </c>
      <c r="D24" s="19" t="s">
        <v>2462</v>
      </c>
      <c r="E24" s="19" t="s">
        <v>2463</v>
      </c>
      <c r="F24" s="19" t="s">
        <v>2464</v>
      </c>
      <c r="G24" s="19" t="s">
        <v>1251</v>
      </c>
      <c r="H24" s="19" t="s">
        <v>2399</v>
      </c>
      <c r="I24" s="19"/>
    </row>
    <row r="25" customFormat="false" ht="84.75" hidden="false" customHeight="true" outlineLevel="0" collapsed="false">
      <c r="A25" s="18" t="n">
        <f aca="false">TAKVİM!$B$27+(MATCH($G$5,{"Pazartesi","Salı","Çarşamba","Perşembe","Cuma"},0)-1)</f>
        <v>46402</v>
      </c>
      <c r="B25" s="19" t="s">
        <v>2465</v>
      </c>
      <c r="C25" s="19" t="s">
        <v>2466</v>
      </c>
      <c r="D25" s="19" t="s">
        <v>2467</v>
      </c>
      <c r="E25" s="19" t="s">
        <v>2468</v>
      </c>
      <c r="F25" s="19" t="s">
        <v>2469</v>
      </c>
      <c r="G25" s="19" t="s">
        <v>1251</v>
      </c>
      <c r="H25" s="19" t="s">
        <v>2399</v>
      </c>
      <c r="I25" s="19"/>
    </row>
    <row r="26" customFormat="false" ht="84.75" hidden="false" customHeight="true" outlineLevel="0" collapsed="false">
      <c r="A26" s="18" t="n">
        <f aca="false">TAKVİM!$B$28+(MATCH($G$5,{"Pazartesi","Salı","Çarşamba","Perşembe","Cuma"},0)-1)</f>
        <v>46409</v>
      </c>
      <c r="B26" s="19" t="s">
        <v>2465</v>
      </c>
      <c r="C26" s="19" t="s">
        <v>2470</v>
      </c>
      <c r="D26" s="19" t="s">
        <v>2471</v>
      </c>
      <c r="E26" s="19" t="s">
        <v>2472</v>
      </c>
      <c r="F26" s="19" t="s">
        <v>2473</v>
      </c>
      <c r="G26" s="19" t="s">
        <v>1251</v>
      </c>
      <c r="H26" s="19" t="s">
        <v>2399</v>
      </c>
      <c r="I26" s="19"/>
    </row>
    <row r="27" customFormat="false" ht="15" hidden="false" customHeight="true" outlineLevel="0" collapsed="false">
      <c r="A27" s="20" t="str">
        <f aca="false">TAKVİM!$C$29</f>
        <v>25-29 Ocak</v>
      </c>
      <c r="B27" s="20" t="s">
        <v>16</v>
      </c>
      <c r="C27" s="20"/>
      <c r="D27" s="20"/>
      <c r="E27" s="20"/>
      <c r="F27" s="20"/>
      <c r="G27" s="20"/>
      <c r="H27" s="20"/>
      <c r="I27" s="20"/>
    </row>
    <row r="28" customFormat="false" ht="74.25" hidden="false" customHeight="true" outlineLevel="0" collapsed="false">
      <c r="A28" s="18" t="n">
        <f aca="false">TAKVİM!$B$30+(MATCH($G$5,{"Pazartesi","Salı","Çarşamba","Perşembe","Cuma"},0)-1)</f>
        <v>46430</v>
      </c>
      <c r="B28" s="19" t="s">
        <v>2474</v>
      </c>
      <c r="C28" s="19" t="s">
        <v>2475</v>
      </c>
      <c r="D28" s="19" t="s">
        <v>2476</v>
      </c>
      <c r="E28" s="19" t="s">
        <v>2477</v>
      </c>
      <c r="F28" s="19" t="s">
        <v>2478</v>
      </c>
      <c r="G28" s="19" t="s">
        <v>1251</v>
      </c>
      <c r="H28" s="19" t="s">
        <v>2399</v>
      </c>
      <c r="I28" s="19"/>
    </row>
    <row r="29" customFormat="false" ht="74.25" hidden="false" customHeight="true" outlineLevel="0" collapsed="false">
      <c r="A29" s="18" t="n">
        <f aca="false">TAKVİM!$B$31+(MATCH($G$5,{"Pazartesi","Salı","Çarşamba","Perşembe","Cuma"},0)-1)</f>
        <v>46437</v>
      </c>
      <c r="B29" s="19" t="s">
        <v>2474</v>
      </c>
      <c r="C29" s="19" t="s">
        <v>2479</v>
      </c>
      <c r="D29" s="19" t="s">
        <v>2480</v>
      </c>
      <c r="E29" s="19" t="s">
        <v>2481</v>
      </c>
      <c r="F29" s="19" t="s">
        <v>2482</v>
      </c>
      <c r="G29" s="19" t="s">
        <v>1251</v>
      </c>
      <c r="H29" s="19" t="s">
        <v>2399</v>
      </c>
      <c r="I29" s="19"/>
    </row>
    <row r="30" customFormat="false" ht="74.25" hidden="false" customHeight="true" outlineLevel="0" collapsed="false">
      <c r="A30" s="18" t="n">
        <f aca="false">TAKVİM!$B$32+(MATCH($G$5,{"Pazartesi","Salı","Çarşamba","Perşembe","Cuma"},0)-1)</f>
        <v>46444</v>
      </c>
      <c r="B30" s="19" t="s">
        <v>2474</v>
      </c>
      <c r="C30" s="19" t="s">
        <v>2483</v>
      </c>
      <c r="D30" s="19" t="s">
        <v>2484</v>
      </c>
      <c r="E30" s="19" t="s">
        <v>2485</v>
      </c>
      <c r="F30" s="19" t="s">
        <v>2486</v>
      </c>
      <c r="G30" s="19" t="s">
        <v>1251</v>
      </c>
      <c r="H30" s="19" t="s">
        <v>2399</v>
      </c>
      <c r="I30" s="19"/>
    </row>
    <row r="31" customFormat="false" ht="84.75" hidden="false" customHeight="true" outlineLevel="0" collapsed="false">
      <c r="A31" s="18" t="n">
        <f aca="false">TAKVİM!$B$33+(MATCH($G$5,{"Pazartesi","Salı","Çarşamba","Perşembe","Cuma"},0)-1)</f>
        <v>46451</v>
      </c>
      <c r="B31" s="19" t="s">
        <v>2487</v>
      </c>
      <c r="C31" s="19" t="s">
        <v>2488</v>
      </c>
      <c r="D31" s="19" t="s">
        <v>2489</v>
      </c>
      <c r="E31" s="19" t="s">
        <v>2490</v>
      </c>
      <c r="F31" s="19" t="s">
        <v>2491</v>
      </c>
      <c r="G31" s="19" t="s">
        <v>1251</v>
      </c>
      <c r="H31" s="19" t="s">
        <v>2399</v>
      </c>
      <c r="I31" s="19"/>
    </row>
    <row r="32" customFormat="false" ht="15" hidden="false" customHeight="true" outlineLevel="0" collapsed="false">
      <c r="A32" s="20" t="str">
        <f aca="false">TAKVİM!$C$34</f>
        <v>08-12 Mart</v>
      </c>
      <c r="B32" s="20" t="s">
        <v>17</v>
      </c>
      <c r="C32" s="20"/>
      <c r="D32" s="20"/>
      <c r="E32" s="20"/>
      <c r="F32" s="20"/>
      <c r="G32" s="20"/>
      <c r="H32" s="20"/>
      <c r="I32" s="20"/>
    </row>
    <row r="33" customFormat="false" ht="74.25" hidden="false" customHeight="true" outlineLevel="0" collapsed="false">
      <c r="A33" s="18" t="n">
        <f aca="false">TAKVİM!$B$35+(MATCH($G$5,{"Pazartesi","Salı","Çarşamba","Perşembe","Cuma"},0)-1)</f>
        <v>46465</v>
      </c>
      <c r="B33" s="19" t="s">
        <v>2492</v>
      </c>
      <c r="C33" s="19" t="s">
        <v>2493</v>
      </c>
      <c r="D33" s="19" t="s">
        <v>2494</v>
      </c>
      <c r="E33" s="19" t="s">
        <v>2495</v>
      </c>
      <c r="F33" s="19" t="s">
        <v>2496</v>
      </c>
      <c r="G33" s="19" t="s">
        <v>1251</v>
      </c>
      <c r="H33" s="19" t="s">
        <v>2399</v>
      </c>
      <c r="I33" s="19"/>
    </row>
    <row r="34" customFormat="false" ht="74.25" hidden="false" customHeight="true" outlineLevel="0" collapsed="false">
      <c r="A34" s="18" t="n">
        <f aca="false">TAKVİM!$B$36+(MATCH($G$5,{"Pazartesi","Salı","Çarşamba","Perşembe","Cuma"},0)-1)</f>
        <v>46472</v>
      </c>
      <c r="B34" s="19" t="s">
        <v>2492</v>
      </c>
      <c r="C34" s="19" t="s">
        <v>2497</v>
      </c>
      <c r="D34" s="19" t="s">
        <v>2498</v>
      </c>
      <c r="E34" s="19" t="s">
        <v>2499</v>
      </c>
      <c r="F34" s="19" t="s">
        <v>2500</v>
      </c>
      <c r="G34" s="19" t="s">
        <v>1251</v>
      </c>
      <c r="H34" s="19" t="s">
        <v>2399</v>
      </c>
      <c r="I34" s="19"/>
    </row>
    <row r="35" customFormat="false" ht="74.25" hidden="false" customHeight="true" outlineLevel="0" collapsed="false">
      <c r="A35" s="18" t="n">
        <f aca="false">TAKVİM!$B$37+(MATCH($G$5,{"Pazartesi","Salı","Çarşamba","Perşembe","Cuma"},0)-1)</f>
        <v>46479</v>
      </c>
      <c r="B35" s="19" t="s">
        <v>2501</v>
      </c>
      <c r="C35" s="19" t="s">
        <v>2502</v>
      </c>
      <c r="D35" s="19" t="s">
        <v>2503</v>
      </c>
      <c r="E35" s="19" t="s">
        <v>2504</v>
      </c>
      <c r="F35" s="19" t="s">
        <v>2505</v>
      </c>
      <c r="G35" s="19" t="s">
        <v>1251</v>
      </c>
      <c r="H35" s="19" t="s">
        <v>2399</v>
      </c>
      <c r="I35" s="19"/>
    </row>
    <row r="36" customFormat="false" ht="74.25" hidden="false" customHeight="true" outlineLevel="0" collapsed="false">
      <c r="A36" s="18" t="n">
        <f aca="false">TAKVİM!$B$38+(MATCH($G$5,{"Pazartesi","Salı","Çarşamba","Perşembe","Cuma"},0)-1)</f>
        <v>46486</v>
      </c>
      <c r="B36" s="19" t="s">
        <v>2501</v>
      </c>
      <c r="C36" s="19" t="s">
        <v>2506</v>
      </c>
      <c r="D36" s="19" t="s">
        <v>2507</v>
      </c>
      <c r="E36" s="19" t="s">
        <v>2508</v>
      </c>
      <c r="F36" s="19" t="s">
        <v>2509</v>
      </c>
      <c r="G36" s="19" t="s">
        <v>1251</v>
      </c>
      <c r="H36" s="19" t="s">
        <v>2399</v>
      </c>
      <c r="I36" s="19"/>
    </row>
    <row r="37" customFormat="false" ht="74.25" hidden="false" customHeight="true" outlineLevel="0" collapsed="false">
      <c r="A37" s="18" t="n">
        <f aca="false">TAKVİM!$B$39+(MATCH($G$5,{"Pazartesi","Salı","Çarşamba","Perşembe","Cuma"},0)-1)</f>
        <v>46493</v>
      </c>
      <c r="B37" s="19" t="s">
        <v>2510</v>
      </c>
      <c r="C37" s="19" t="s">
        <v>2511</v>
      </c>
      <c r="D37" s="19" t="s">
        <v>2512</v>
      </c>
      <c r="E37" s="19" t="s">
        <v>2513</v>
      </c>
      <c r="F37" s="19" t="s">
        <v>2514</v>
      </c>
      <c r="G37" s="19" t="s">
        <v>1251</v>
      </c>
      <c r="H37" s="19" t="s">
        <v>2399</v>
      </c>
      <c r="I37" s="19"/>
    </row>
    <row r="38" customFormat="false" ht="74.25" hidden="false" customHeight="true" outlineLevel="0" collapsed="false">
      <c r="A38" s="18" t="n">
        <f aca="false">TAKVİM!$B$40+(MATCH($G$5,{"Pazartesi","Salı","Çarşamba","Perşembe","Cuma"},0)-1)</f>
        <v>46500</v>
      </c>
      <c r="B38" s="19" t="s">
        <v>2515</v>
      </c>
      <c r="C38" s="19" t="s">
        <v>2516</v>
      </c>
      <c r="D38" s="19" t="s">
        <v>2517</v>
      </c>
      <c r="E38" s="19" t="s">
        <v>2518</v>
      </c>
      <c r="F38" s="19" t="s">
        <v>2519</v>
      </c>
      <c r="G38" s="19" t="s">
        <v>1251</v>
      </c>
      <c r="H38" s="19" t="s">
        <v>2399</v>
      </c>
      <c r="I38" s="19"/>
    </row>
    <row r="39" customFormat="false" ht="74.25" hidden="false" customHeight="true" outlineLevel="0" collapsed="false">
      <c r="A39" s="18" t="n">
        <f aca="false">TAKVİM!$B$41+(MATCH($G$5,{"Pazartesi","Salı","Çarşamba","Perşembe","Cuma"},0)-1)</f>
        <v>46507</v>
      </c>
      <c r="B39" s="19" t="s">
        <v>2520</v>
      </c>
      <c r="C39" s="19" t="s">
        <v>2521</v>
      </c>
      <c r="D39" s="19" t="s">
        <v>2522</v>
      </c>
      <c r="E39" s="19" t="s">
        <v>2523</v>
      </c>
      <c r="F39" s="19" t="s">
        <v>2524</v>
      </c>
      <c r="G39" s="19" t="s">
        <v>1251</v>
      </c>
      <c r="H39" s="19" t="s">
        <v>2399</v>
      </c>
      <c r="I39" s="19"/>
    </row>
    <row r="40" customFormat="false" ht="74.25" hidden="false" customHeight="true" outlineLevel="0" collapsed="false">
      <c r="A40" s="18" t="n">
        <f aca="false">TAKVİM!$B$42+(MATCH($G$5,{"Pazartesi","Salı","Çarşamba","Perşembe","Cuma"},0)-1)</f>
        <v>46514</v>
      </c>
      <c r="B40" s="19" t="s">
        <v>2520</v>
      </c>
      <c r="C40" s="19" t="s">
        <v>2525</v>
      </c>
      <c r="D40" s="19" t="s">
        <v>2526</v>
      </c>
      <c r="E40" s="19" t="s">
        <v>2527</v>
      </c>
      <c r="F40" s="19" t="s">
        <v>2528</v>
      </c>
      <c r="G40" s="19" t="s">
        <v>1251</v>
      </c>
      <c r="H40" s="19" t="s">
        <v>2399</v>
      </c>
      <c r="I40" s="19"/>
    </row>
    <row r="41" customFormat="false" ht="74.25" hidden="false" customHeight="true" outlineLevel="0" collapsed="false">
      <c r="A41" s="18" t="n">
        <f aca="false">TAKVİM!$B$43+(MATCH($G$5,{"Pazartesi","Salı","Çarşamba","Perşembe","Cuma"},0)-1)</f>
        <v>46521</v>
      </c>
      <c r="B41" s="19" t="s">
        <v>2529</v>
      </c>
      <c r="C41" s="19" t="s">
        <v>2530</v>
      </c>
      <c r="D41" s="19" t="s">
        <v>2531</v>
      </c>
      <c r="E41" s="19" t="s">
        <v>2532</v>
      </c>
      <c r="F41" s="19" t="s">
        <v>2533</v>
      </c>
      <c r="G41" s="19" t="s">
        <v>1251</v>
      </c>
      <c r="H41" s="19" t="s">
        <v>2399</v>
      </c>
      <c r="I41" s="19"/>
    </row>
    <row r="42" customFormat="false" ht="74.25" hidden="false" customHeight="true" outlineLevel="0" collapsed="false">
      <c r="A42" s="18" t="n">
        <f aca="false">TAKVİM!$B$44+(MATCH($G$5,{"Pazartesi","Salı","Çarşamba","Perşembe","Cuma"},0)-1)</f>
        <v>46528</v>
      </c>
      <c r="B42" s="19" t="s">
        <v>2529</v>
      </c>
      <c r="C42" s="19" t="s">
        <v>2534</v>
      </c>
      <c r="D42" s="19" t="s">
        <v>2535</v>
      </c>
      <c r="E42" s="19" t="s">
        <v>2536</v>
      </c>
      <c r="F42" s="19" t="s">
        <v>2537</v>
      </c>
      <c r="G42" s="19" t="s">
        <v>1251</v>
      </c>
      <c r="H42" s="19" t="s">
        <v>2399</v>
      </c>
      <c r="I42" s="19"/>
    </row>
    <row r="43" customFormat="false" ht="74.25" hidden="false" customHeight="true" outlineLevel="0" collapsed="false">
      <c r="A43" s="18" t="n">
        <f aca="false">TAKVİM!$B$45+(MATCH($G$5,{"Pazartesi","Salı","Çarşamba","Perşembe","Cuma"},0)-1)</f>
        <v>46535</v>
      </c>
      <c r="B43" s="19" t="s">
        <v>2538</v>
      </c>
      <c r="C43" s="19" t="s">
        <v>2539</v>
      </c>
      <c r="D43" s="19" t="s">
        <v>2540</v>
      </c>
      <c r="E43" s="19" t="s">
        <v>2541</v>
      </c>
      <c r="F43" s="19" t="s">
        <v>2542</v>
      </c>
      <c r="G43" s="19" t="s">
        <v>1251</v>
      </c>
      <c r="H43" s="19" t="s">
        <v>2399</v>
      </c>
      <c r="I43" s="19"/>
    </row>
    <row r="44" customFormat="false" ht="74.25" hidden="false" customHeight="true" outlineLevel="0" collapsed="false">
      <c r="A44" s="18" t="n">
        <f aca="false">TAKVİM!$B$46+(MATCH($G$5,{"Pazartesi","Salı","Çarşamba","Perşembe","Cuma"},0)-1)</f>
        <v>46542</v>
      </c>
      <c r="B44" s="19" t="s">
        <v>2538</v>
      </c>
      <c r="C44" s="19" t="s">
        <v>2543</v>
      </c>
      <c r="D44" s="19" t="s">
        <v>2544</v>
      </c>
      <c r="E44" s="19" t="s">
        <v>2545</v>
      </c>
      <c r="F44" s="19" t="s">
        <v>2546</v>
      </c>
      <c r="G44" s="19" t="s">
        <v>1251</v>
      </c>
      <c r="H44" s="19" t="s">
        <v>2399</v>
      </c>
      <c r="I44" s="19"/>
    </row>
    <row r="45" customFormat="false" ht="74.25" hidden="false" customHeight="true" outlineLevel="0" collapsed="false">
      <c r="A45" s="18" t="n">
        <f aca="false">TAKVİM!$B$47+(MATCH($G$5,{"Pazartesi","Salı","Çarşamba","Perşembe","Cuma"},0)-1)</f>
        <v>46549</v>
      </c>
      <c r="B45" s="19" t="s">
        <v>2547</v>
      </c>
      <c r="C45" s="19" t="s">
        <v>2548</v>
      </c>
      <c r="D45" s="19" t="s">
        <v>2549</v>
      </c>
      <c r="E45" s="19" t="s">
        <v>2550</v>
      </c>
      <c r="F45" s="19" t="s">
        <v>2551</v>
      </c>
      <c r="G45" s="19" t="s">
        <v>1251</v>
      </c>
      <c r="H45" s="19" t="s">
        <v>2399</v>
      </c>
      <c r="I45" s="19"/>
    </row>
    <row r="46" customFormat="false" ht="74.25" hidden="false" customHeight="true" outlineLevel="0" collapsed="false">
      <c r="A46" s="18" t="n">
        <f aca="false">TAKVİM!$B$48+(MATCH($G$5,{"Pazartesi","Salı","Çarşamba","Perşembe","Cuma"},0)-1)</f>
        <v>46556</v>
      </c>
      <c r="B46" s="19" t="s">
        <v>2547</v>
      </c>
      <c r="C46" s="19" t="s">
        <v>2552</v>
      </c>
      <c r="D46" s="19" t="s">
        <v>2553</v>
      </c>
      <c r="E46" s="19" t="s">
        <v>2554</v>
      </c>
      <c r="F46" s="19" t="s">
        <v>2555</v>
      </c>
      <c r="G46" s="19" t="s">
        <v>1251</v>
      </c>
      <c r="H46" s="19" t="s">
        <v>2399</v>
      </c>
      <c r="I46" s="19"/>
    </row>
    <row r="47" customFormat="false" ht="74.25" hidden="false" customHeight="true" outlineLevel="0" collapsed="false">
      <c r="A47" s="18" t="n">
        <f aca="false">TAKVİM!$B$49+(MATCH($G$5,{"Pazartesi","Salı","Çarşamba","Perşembe","Cuma"},0)-1)</f>
        <v>46563</v>
      </c>
      <c r="B47" s="19" t="s">
        <v>2556</v>
      </c>
      <c r="C47" s="19" t="s">
        <v>2557</v>
      </c>
      <c r="D47" s="19" t="s">
        <v>2558</v>
      </c>
      <c r="E47" s="19" t="s">
        <v>2559</v>
      </c>
      <c r="F47" s="19" t="s">
        <v>2560</v>
      </c>
      <c r="G47" s="19" t="s">
        <v>1251</v>
      </c>
      <c r="H47" s="19" t="s">
        <v>2399</v>
      </c>
      <c r="I47" s="19"/>
    </row>
    <row r="51" customFormat="false" ht="15" hidden="false" customHeight="true" outlineLevel="0" collapsed="false">
      <c r="A51" s="21" t="s">
        <v>28</v>
      </c>
      <c r="B51" s="21"/>
      <c r="C51" s="21"/>
      <c r="D51" s="21"/>
      <c r="F51" s="21" t="s">
        <v>210</v>
      </c>
      <c r="G51" s="21"/>
      <c r="H51" s="21"/>
      <c r="I51" s="21"/>
    </row>
    <row r="52" customFormat="false" ht="15" hidden="false" customHeight="true" outlineLevel="0" collapsed="false">
      <c r="A52" s="22" t="s">
        <v>211</v>
      </c>
      <c r="B52" s="22"/>
      <c r="C52" s="22"/>
      <c r="D52" s="22"/>
      <c r="F52" s="22" t="s">
        <v>212</v>
      </c>
      <c r="G52" s="22"/>
      <c r="H52" s="22"/>
      <c r="I52" s="22"/>
    </row>
    <row r="54" customFormat="false" ht="15" hidden="false" customHeight="true" outlineLevel="0" collapsed="false">
      <c r="A54" s="22" t="s">
        <v>213</v>
      </c>
      <c r="B54" s="22"/>
      <c r="C54" s="22"/>
      <c r="D54" s="22"/>
      <c r="F54" s="21" t="s">
        <v>214</v>
      </c>
      <c r="G54" s="21"/>
      <c r="H54" s="21"/>
      <c r="I54" s="21"/>
    </row>
  </sheetData>
  <mergeCells count="15">
    <mergeCell ref="C1:G1"/>
    <mergeCell ref="B3:D3"/>
    <mergeCell ref="G3:I3"/>
    <mergeCell ref="B4:D4"/>
    <mergeCell ref="G4:I4"/>
    <mergeCell ref="B5:D5"/>
    <mergeCell ref="B17:I17"/>
    <mergeCell ref="B27:I27"/>
    <mergeCell ref="B32:I32"/>
    <mergeCell ref="A51:D51"/>
    <mergeCell ref="F51:I51"/>
    <mergeCell ref="A52:D52"/>
    <mergeCell ref="F52:I52"/>
    <mergeCell ref="A54:D54"/>
    <mergeCell ref="F54:I54"/>
  </mergeCells>
  <dataValidations count="1">
    <dataValidation allowBlank="false" errorStyle="stop" operator="between" showDropDown="false" showErrorMessage="false" showInputMessage="false" sqref="G5" type="list">
      <formula1>"Pazartesi,Salı,Çarşamba,Perşembe,Cuma"</formula1>
      <formula2>0</formula2>
    </dataValidation>
  </dataValidation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4" min="3" style="1" width="26"/>
    <col collapsed="false" customWidth="true" hidden="false" outlineLevel="0" max="5" min="5" style="1" width="34"/>
    <col collapsed="false" customWidth="true" hidden="false" outlineLevel="0" max="6" min="6" style="1" width="22"/>
    <col collapsed="false" customWidth="true" hidden="false" outlineLevel="0" max="7" min="7" style="1" width="18"/>
    <col collapsed="false" customWidth="true" hidden="false" outlineLevel="0" max="8" min="8" style="1" width="22"/>
    <col collapsed="false" customWidth="true" hidden="false" outlineLevel="0" max="9" min="9" style="1" width="18"/>
  </cols>
  <sheetData>
    <row r="1" customFormat="false" ht="75" hidden="false" customHeight="true" outlineLevel="0" collapsed="false">
      <c r="C1" s="15" t="s">
        <v>18</v>
      </c>
      <c r="D1" s="15"/>
      <c r="E1" s="15"/>
      <c r="F1" s="15"/>
      <c r="G1" s="15"/>
    </row>
    <row r="3" customFormat="false" ht="15" hidden="false" customHeight="true" outlineLevel="0" collapsed="false">
      <c r="A3" s="3" t="s">
        <v>19</v>
      </c>
      <c r="B3" s="16" t="s">
        <v>2561</v>
      </c>
      <c r="C3" s="16"/>
      <c r="D3" s="16"/>
      <c r="F3" s="3" t="s">
        <v>21</v>
      </c>
      <c r="G3" s="16" t="s">
        <v>1244</v>
      </c>
      <c r="H3" s="16"/>
      <c r="I3" s="16"/>
    </row>
    <row r="4" customFormat="false" ht="15" hidden="false" customHeight="true" outlineLevel="0" collapsed="false">
      <c r="A4" s="3" t="s">
        <v>23</v>
      </c>
      <c r="B4" s="16" t="s">
        <v>1245</v>
      </c>
      <c r="C4" s="16"/>
      <c r="D4" s="16"/>
      <c r="F4" s="3" t="s">
        <v>25</v>
      </c>
      <c r="G4" s="16" t="s">
        <v>2218</v>
      </c>
      <c r="H4" s="16"/>
      <c r="I4" s="16"/>
    </row>
    <row r="5" customFormat="false" ht="15" hidden="false" customHeight="true" outlineLevel="0" collapsed="false">
      <c r="A5" s="3" t="s">
        <v>27</v>
      </c>
      <c r="B5" s="16" t="s">
        <v>28</v>
      </c>
      <c r="C5" s="16"/>
      <c r="D5" s="16"/>
      <c r="F5" s="3" t="s">
        <v>29</v>
      </c>
      <c r="G5" s="4" t="s">
        <v>30</v>
      </c>
    </row>
    <row r="7" customFormat="false" ht="23.25" hidden="false" customHeight="true" outlineLevel="0" collapsed="false">
      <c r="A7" s="17" t="s">
        <v>31</v>
      </c>
      <c r="B7" s="17" t="s">
        <v>32</v>
      </c>
      <c r="C7" s="17" t="s">
        <v>33</v>
      </c>
      <c r="D7" s="17" t="s">
        <v>34</v>
      </c>
      <c r="E7" s="17" t="s">
        <v>35</v>
      </c>
      <c r="F7" s="17" t="s">
        <v>36</v>
      </c>
      <c r="G7" s="17" t="s">
        <v>37</v>
      </c>
      <c r="H7" s="17" t="s">
        <v>38</v>
      </c>
      <c r="I7" s="17" t="s">
        <v>39</v>
      </c>
    </row>
    <row r="8" customFormat="false" ht="84.75" hidden="false" customHeight="true" outlineLevel="0" collapsed="false">
      <c r="A8" s="18" t="n">
        <f aca="false">TAKVİM!$B$10+(MATCH($G$5,{"Pazartesi","Salı","Çarşamba","Perşembe","Cuma"},0)-1)</f>
        <v>46283</v>
      </c>
      <c r="B8" s="19" t="s">
        <v>2562</v>
      </c>
      <c r="C8" s="19" t="s">
        <v>2563</v>
      </c>
      <c r="D8" s="19" t="s">
        <v>2564</v>
      </c>
      <c r="E8" s="19" t="s">
        <v>2565</v>
      </c>
      <c r="F8" s="19" t="s">
        <v>2566</v>
      </c>
      <c r="G8" s="19" t="s">
        <v>1251</v>
      </c>
      <c r="H8" s="19" t="s">
        <v>2567</v>
      </c>
      <c r="I8" s="19"/>
    </row>
    <row r="9" customFormat="false" ht="84.75" hidden="false" customHeight="true" outlineLevel="0" collapsed="false">
      <c r="A9" s="18" t="n">
        <f aca="false">TAKVİM!$B$11+(MATCH($G$5,{"Pazartesi","Salı","Çarşamba","Perşembe","Cuma"},0)-1)</f>
        <v>46290</v>
      </c>
      <c r="B9" s="19" t="s">
        <v>2568</v>
      </c>
      <c r="C9" s="19" t="s">
        <v>2563</v>
      </c>
      <c r="D9" s="19" t="s">
        <v>2569</v>
      </c>
      <c r="E9" s="19" t="s">
        <v>2570</v>
      </c>
      <c r="F9" s="19" t="s">
        <v>2571</v>
      </c>
      <c r="G9" s="19" t="s">
        <v>1251</v>
      </c>
      <c r="H9" s="19" t="s">
        <v>2567</v>
      </c>
      <c r="I9" s="19"/>
    </row>
    <row r="10" customFormat="false" ht="95.25" hidden="false" customHeight="true" outlineLevel="0" collapsed="false">
      <c r="A10" s="18" t="n">
        <f aca="false">TAKVİM!$B$12+(MATCH($G$5,{"Pazartesi","Salı","Çarşamba","Perşembe","Cuma"},0)-1)</f>
        <v>46297</v>
      </c>
      <c r="B10" s="19" t="s">
        <v>2572</v>
      </c>
      <c r="C10" s="19" t="s">
        <v>2573</v>
      </c>
      <c r="D10" s="19" t="s">
        <v>2574</v>
      </c>
      <c r="E10" s="19" t="s">
        <v>2575</v>
      </c>
      <c r="F10" s="19" t="s">
        <v>2576</v>
      </c>
      <c r="G10" s="19" t="s">
        <v>1251</v>
      </c>
      <c r="H10" s="19" t="s">
        <v>2567</v>
      </c>
      <c r="I10" s="19"/>
    </row>
    <row r="11" customFormat="false" ht="95.25" hidden="false" customHeight="true" outlineLevel="0" collapsed="false">
      <c r="A11" s="18" t="n">
        <f aca="false">TAKVİM!$B$13+(MATCH($G$5,{"Pazartesi","Salı","Çarşamba","Perşembe","Cuma"},0)-1)</f>
        <v>46304</v>
      </c>
      <c r="B11" s="19" t="s">
        <v>2577</v>
      </c>
      <c r="C11" s="19" t="s">
        <v>2573</v>
      </c>
      <c r="D11" s="19" t="s">
        <v>2578</v>
      </c>
      <c r="E11" s="19" t="s">
        <v>2579</v>
      </c>
      <c r="F11" s="19" t="s">
        <v>2580</v>
      </c>
      <c r="G11" s="19" t="s">
        <v>1251</v>
      </c>
      <c r="H11" s="19" t="s">
        <v>2567</v>
      </c>
      <c r="I11" s="19"/>
    </row>
    <row r="12" customFormat="false" ht="95.25" hidden="false" customHeight="true" outlineLevel="0" collapsed="false">
      <c r="A12" s="18" t="n">
        <f aca="false">TAKVİM!$B$14+(MATCH($G$5,{"Pazartesi","Salı","Çarşamba","Perşembe","Cuma"},0)-1)</f>
        <v>46311</v>
      </c>
      <c r="B12" s="19" t="s">
        <v>2581</v>
      </c>
      <c r="C12" s="19" t="s">
        <v>2573</v>
      </c>
      <c r="D12" s="19" t="s">
        <v>2582</v>
      </c>
      <c r="E12" s="19" t="s">
        <v>2583</v>
      </c>
      <c r="F12" s="19" t="s">
        <v>2584</v>
      </c>
      <c r="G12" s="19" t="s">
        <v>1251</v>
      </c>
      <c r="H12" s="19" t="s">
        <v>2567</v>
      </c>
      <c r="I12" s="19"/>
    </row>
    <row r="13" customFormat="false" ht="95.25" hidden="false" customHeight="true" outlineLevel="0" collapsed="false">
      <c r="A13" s="18" t="n">
        <f aca="false">TAKVİM!$B$15+(MATCH($G$5,{"Pazartesi","Salı","Çarşamba","Perşembe","Cuma"},0)-1)</f>
        <v>46318</v>
      </c>
      <c r="B13" s="19" t="s">
        <v>2585</v>
      </c>
      <c r="C13" s="19" t="s">
        <v>2573</v>
      </c>
      <c r="D13" s="19" t="s">
        <v>2586</v>
      </c>
      <c r="E13" s="19" t="s">
        <v>2587</v>
      </c>
      <c r="F13" s="19" t="s">
        <v>2588</v>
      </c>
      <c r="G13" s="19" t="s">
        <v>1251</v>
      </c>
      <c r="H13" s="19" t="s">
        <v>2567</v>
      </c>
      <c r="I13" s="19"/>
    </row>
    <row r="14" customFormat="false" ht="84.75" hidden="false" customHeight="true" outlineLevel="0" collapsed="false">
      <c r="A14" s="18" t="n">
        <f aca="false">TAKVİM!$B$16+(MATCH($G$5,{"Pazartesi","Salı","Çarşamba","Perşembe","Cuma"},0)-1)</f>
        <v>46325</v>
      </c>
      <c r="B14" s="19" t="s">
        <v>2589</v>
      </c>
      <c r="C14" s="19" t="s">
        <v>2590</v>
      </c>
      <c r="D14" s="19" t="s">
        <v>2591</v>
      </c>
      <c r="E14" s="19" t="s">
        <v>2592</v>
      </c>
      <c r="F14" s="19" t="s">
        <v>2593</v>
      </c>
      <c r="G14" s="19" t="s">
        <v>1251</v>
      </c>
      <c r="H14" s="19" t="s">
        <v>2567</v>
      </c>
      <c r="I14" s="19"/>
    </row>
    <row r="15" customFormat="false" ht="84.75" hidden="false" customHeight="true" outlineLevel="0" collapsed="false">
      <c r="A15" s="18" t="n">
        <f aca="false">TAKVİM!$B$17+(MATCH($G$5,{"Pazartesi","Salı","Çarşamba","Perşembe","Cuma"},0)-1)</f>
        <v>46332</v>
      </c>
      <c r="B15" s="19" t="s">
        <v>2594</v>
      </c>
      <c r="C15" s="19" t="s">
        <v>2590</v>
      </c>
      <c r="D15" s="19" t="s">
        <v>2595</v>
      </c>
      <c r="E15" s="19" t="s">
        <v>2596</v>
      </c>
      <c r="F15" s="19" t="s">
        <v>2597</v>
      </c>
      <c r="G15" s="19" t="s">
        <v>1251</v>
      </c>
      <c r="H15" s="19" t="s">
        <v>2567</v>
      </c>
      <c r="I15" s="19"/>
    </row>
    <row r="16" customFormat="false" ht="84.75" hidden="false" customHeight="true" outlineLevel="0" collapsed="false">
      <c r="A16" s="18" t="n">
        <f aca="false">TAKVİM!$B$18+(MATCH($G$5,{"Pazartesi","Salı","Çarşamba","Perşembe","Cuma"},0)-1)</f>
        <v>46339</v>
      </c>
      <c r="B16" s="19" t="s">
        <v>2598</v>
      </c>
      <c r="C16" s="19" t="s">
        <v>2590</v>
      </c>
      <c r="D16" s="19" t="s">
        <v>2599</v>
      </c>
      <c r="E16" s="19" t="s">
        <v>2600</v>
      </c>
      <c r="F16" s="19" t="s">
        <v>2601</v>
      </c>
      <c r="G16" s="19" t="s">
        <v>1251</v>
      </c>
      <c r="H16" s="19" t="s">
        <v>2567</v>
      </c>
      <c r="I16" s="19"/>
    </row>
    <row r="17" customFormat="false" ht="15" hidden="false" customHeight="true" outlineLevel="0" collapsed="false">
      <c r="A17" s="20" t="str">
        <f aca="false">TAKVİM!$C$19</f>
        <v>16-20 Kasım</v>
      </c>
      <c r="B17" s="20" t="s">
        <v>15</v>
      </c>
      <c r="C17" s="20"/>
      <c r="D17" s="20"/>
      <c r="E17" s="20"/>
      <c r="F17" s="20"/>
      <c r="G17" s="20"/>
      <c r="H17" s="20"/>
      <c r="I17" s="20"/>
    </row>
    <row r="18" customFormat="false" ht="84.75" hidden="false" customHeight="true" outlineLevel="0" collapsed="false">
      <c r="A18" s="18" t="n">
        <f aca="false">TAKVİM!$B$20+(MATCH($G$5,{"Pazartesi","Salı","Çarşamba","Perşembe","Cuma"},0)-1)</f>
        <v>46353</v>
      </c>
      <c r="B18" s="19" t="s">
        <v>2602</v>
      </c>
      <c r="C18" s="19" t="s">
        <v>2590</v>
      </c>
      <c r="D18" s="19" t="s">
        <v>2603</v>
      </c>
      <c r="E18" s="19" t="s">
        <v>2604</v>
      </c>
      <c r="F18" s="19" t="s">
        <v>2605</v>
      </c>
      <c r="G18" s="19" t="s">
        <v>1251</v>
      </c>
      <c r="H18" s="19" t="s">
        <v>2567</v>
      </c>
      <c r="I18" s="19"/>
    </row>
    <row r="19" customFormat="false" ht="95.25" hidden="false" customHeight="true" outlineLevel="0" collapsed="false">
      <c r="A19" s="18" t="n">
        <f aca="false">TAKVİM!$B$21+(MATCH($G$5,{"Pazartesi","Salı","Çarşamba","Perşembe","Cuma"},0)-1)</f>
        <v>46360</v>
      </c>
      <c r="B19" s="19" t="s">
        <v>2606</v>
      </c>
      <c r="C19" s="19" t="s">
        <v>2590</v>
      </c>
      <c r="D19" s="19" t="s">
        <v>2607</v>
      </c>
      <c r="E19" s="19" t="s">
        <v>2608</v>
      </c>
      <c r="F19" s="19" t="s">
        <v>2609</v>
      </c>
      <c r="G19" s="19" t="s">
        <v>1251</v>
      </c>
      <c r="H19" s="19" t="s">
        <v>2567</v>
      </c>
      <c r="I19" s="19"/>
    </row>
    <row r="20" customFormat="false" ht="84.75" hidden="false" customHeight="true" outlineLevel="0" collapsed="false">
      <c r="A20" s="18" t="n">
        <f aca="false">TAKVİM!$B$22+(MATCH($G$5,{"Pazartesi","Salı","Çarşamba","Perşembe","Cuma"},0)-1)</f>
        <v>46367</v>
      </c>
      <c r="B20" s="19" t="s">
        <v>2610</v>
      </c>
      <c r="C20" s="19" t="s">
        <v>2590</v>
      </c>
      <c r="D20" s="19" t="s">
        <v>2611</v>
      </c>
      <c r="E20" s="19" t="s">
        <v>2612</v>
      </c>
      <c r="F20" s="19" t="s">
        <v>2613</v>
      </c>
      <c r="G20" s="19" t="s">
        <v>1251</v>
      </c>
      <c r="H20" s="19" t="s">
        <v>2567</v>
      </c>
      <c r="I20" s="19"/>
    </row>
    <row r="21" customFormat="false" ht="95.25" hidden="false" customHeight="true" outlineLevel="0" collapsed="false">
      <c r="A21" s="18" t="n">
        <f aca="false">TAKVİM!$B$23+(MATCH($G$5,{"Pazartesi","Salı","Çarşamba","Perşembe","Cuma"},0)-1)</f>
        <v>46374</v>
      </c>
      <c r="B21" s="19" t="s">
        <v>2614</v>
      </c>
      <c r="C21" s="19" t="s">
        <v>2590</v>
      </c>
      <c r="D21" s="19" t="s">
        <v>2615</v>
      </c>
      <c r="E21" s="19" t="s">
        <v>2616</v>
      </c>
      <c r="F21" s="19" t="s">
        <v>2617</v>
      </c>
      <c r="G21" s="19" t="s">
        <v>1251</v>
      </c>
      <c r="H21" s="19" t="s">
        <v>2567</v>
      </c>
      <c r="I21" s="19"/>
    </row>
    <row r="22" customFormat="false" ht="84.75" hidden="false" customHeight="true" outlineLevel="0" collapsed="false">
      <c r="A22" s="18" t="n">
        <f aca="false">TAKVİM!$B$24+(MATCH($G$5,{"Pazartesi","Salı","Çarşamba","Perşembe","Cuma"},0)-1)</f>
        <v>46381</v>
      </c>
      <c r="B22" s="19" t="s">
        <v>2618</v>
      </c>
      <c r="C22" s="19" t="s">
        <v>2619</v>
      </c>
      <c r="D22" s="19" t="s">
        <v>2620</v>
      </c>
      <c r="E22" s="19" t="s">
        <v>2621</v>
      </c>
      <c r="F22" s="19" t="s">
        <v>2622</v>
      </c>
      <c r="G22" s="19" t="s">
        <v>1251</v>
      </c>
      <c r="H22" s="19" t="s">
        <v>2623</v>
      </c>
      <c r="I22" s="19"/>
    </row>
    <row r="23" customFormat="false" ht="84.75" hidden="false" customHeight="true" outlineLevel="0" collapsed="false">
      <c r="A23" s="18" t="n">
        <f aca="false">TAKVİM!$B$25+(MATCH($G$5,{"Pazartesi","Salı","Çarşamba","Perşembe","Cuma"},0)-1)</f>
        <v>46388</v>
      </c>
      <c r="B23" s="19" t="s">
        <v>2624</v>
      </c>
      <c r="C23" s="19" t="s">
        <v>2619</v>
      </c>
      <c r="D23" s="19" t="s">
        <v>2625</v>
      </c>
      <c r="E23" s="19" t="s">
        <v>2626</v>
      </c>
      <c r="F23" s="19" t="s">
        <v>2627</v>
      </c>
      <c r="G23" s="19" t="s">
        <v>1251</v>
      </c>
      <c r="H23" s="19" t="s">
        <v>2623</v>
      </c>
      <c r="I23" s="19"/>
    </row>
    <row r="24" customFormat="false" ht="84.75" hidden="false" customHeight="true" outlineLevel="0" collapsed="false">
      <c r="A24" s="18" t="n">
        <f aca="false">TAKVİM!$B$26+(MATCH($G$5,{"Pazartesi","Salı","Çarşamba","Perşembe","Cuma"},0)-1)</f>
        <v>46395</v>
      </c>
      <c r="B24" s="19" t="s">
        <v>2628</v>
      </c>
      <c r="C24" s="19" t="s">
        <v>2619</v>
      </c>
      <c r="D24" s="19" t="s">
        <v>2629</v>
      </c>
      <c r="E24" s="19" t="s">
        <v>2630</v>
      </c>
      <c r="F24" s="19" t="s">
        <v>2631</v>
      </c>
      <c r="G24" s="19" t="s">
        <v>1251</v>
      </c>
      <c r="H24" s="19" t="s">
        <v>2623</v>
      </c>
      <c r="I24" s="19"/>
    </row>
    <row r="25" customFormat="false" ht="84.75" hidden="false" customHeight="true" outlineLevel="0" collapsed="false">
      <c r="A25" s="18" t="n">
        <f aca="false">TAKVİM!$B$27+(MATCH($G$5,{"Pazartesi","Salı","Çarşamba","Perşembe","Cuma"},0)-1)</f>
        <v>46402</v>
      </c>
      <c r="B25" s="19" t="s">
        <v>2632</v>
      </c>
      <c r="C25" s="19" t="s">
        <v>2633</v>
      </c>
      <c r="D25" s="19" t="s">
        <v>2634</v>
      </c>
      <c r="E25" s="19" t="s">
        <v>2635</v>
      </c>
      <c r="F25" s="19" t="s">
        <v>2636</v>
      </c>
      <c r="G25" s="19" t="s">
        <v>1251</v>
      </c>
      <c r="H25" s="19" t="s">
        <v>2623</v>
      </c>
      <c r="I25" s="19"/>
    </row>
    <row r="26" customFormat="false" ht="95.25" hidden="false" customHeight="true" outlineLevel="0" collapsed="false">
      <c r="A26" s="18" t="n">
        <f aca="false">TAKVİM!$B$28+(MATCH($G$5,{"Pazartesi","Salı","Çarşamba","Perşembe","Cuma"},0)-1)</f>
        <v>46409</v>
      </c>
      <c r="B26" s="19" t="s">
        <v>2637</v>
      </c>
      <c r="C26" s="19" t="s">
        <v>2633</v>
      </c>
      <c r="D26" s="19" t="s">
        <v>2638</v>
      </c>
      <c r="E26" s="19" t="s">
        <v>2639</v>
      </c>
      <c r="F26" s="19" t="s">
        <v>2640</v>
      </c>
      <c r="G26" s="19" t="s">
        <v>1251</v>
      </c>
      <c r="H26" s="19" t="s">
        <v>2623</v>
      </c>
      <c r="I26" s="19"/>
    </row>
    <row r="27" customFormat="false" ht="15" hidden="false" customHeight="true" outlineLevel="0" collapsed="false">
      <c r="A27" s="20" t="str">
        <f aca="false">TAKVİM!$C$29</f>
        <v>25-29 Ocak</v>
      </c>
      <c r="B27" s="20" t="s">
        <v>16</v>
      </c>
      <c r="C27" s="20"/>
      <c r="D27" s="20"/>
      <c r="E27" s="20"/>
      <c r="F27" s="20"/>
      <c r="G27" s="20"/>
      <c r="H27" s="20"/>
      <c r="I27" s="20"/>
    </row>
    <row r="28" customFormat="false" ht="105.75" hidden="false" customHeight="true" outlineLevel="0" collapsed="false">
      <c r="A28" s="18" t="n">
        <f aca="false">TAKVİM!$B$30+(MATCH($G$5,{"Pazartesi","Salı","Çarşamba","Perşembe","Cuma"},0)-1)</f>
        <v>46430</v>
      </c>
      <c r="B28" s="19" t="s">
        <v>2641</v>
      </c>
      <c r="C28" s="19" t="s">
        <v>2633</v>
      </c>
      <c r="D28" s="19" t="s">
        <v>2642</v>
      </c>
      <c r="E28" s="19" t="s">
        <v>2643</v>
      </c>
      <c r="F28" s="19" t="s">
        <v>2644</v>
      </c>
      <c r="G28" s="19" t="s">
        <v>1251</v>
      </c>
      <c r="H28" s="19" t="s">
        <v>2623</v>
      </c>
      <c r="I28" s="19"/>
    </row>
    <row r="29" customFormat="false" ht="84.75" hidden="false" customHeight="true" outlineLevel="0" collapsed="false">
      <c r="A29" s="18" t="n">
        <f aca="false">TAKVİM!$B$31+(MATCH($G$5,{"Pazartesi","Salı","Çarşamba","Perşembe","Cuma"},0)-1)</f>
        <v>46437</v>
      </c>
      <c r="B29" s="19" t="s">
        <v>2645</v>
      </c>
      <c r="C29" s="19" t="s">
        <v>2646</v>
      </c>
      <c r="D29" s="19" t="s">
        <v>2647</v>
      </c>
      <c r="E29" s="19" t="s">
        <v>2648</v>
      </c>
      <c r="F29" s="19" t="s">
        <v>2649</v>
      </c>
      <c r="G29" s="19" t="s">
        <v>1251</v>
      </c>
      <c r="H29" s="19" t="s">
        <v>2623</v>
      </c>
      <c r="I29" s="19"/>
    </row>
    <row r="30" customFormat="false" ht="95.25" hidden="false" customHeight="true" outlineLevel="0" collapsed="false">
      <c r="A30" s="18" t="n">
        <f aca="false">TAKVİM!$B$32+(MATCH($G$5,{"Pazartesi","Salı","Çarşamba","Perşembe","Cuma"},0)-1)</f>
        <v>46444</v>
      </c>
      <c r="B30" s="19" t="s">
        <v>2650</v>
      </c>
      <c r="C30" s="19" t="s">
        <v>2646</v>
      </c>
      <c r="D30" s="19" t="s">
        <v>2651</v>
      </c>
      <c r="E30" s="19" t="s">
        <v>2652</v>
      </c>
      <c r="F30" s="19" t="s">
        <v>2653</v>
      </c>
      <c r="G30" s="19" t="s">
        <v>1251</v>
      </c>
      <c r="H30" s="19" t="s">
        <v>2623</v>
      </c>
      <c r="I30" s="19"/>
    </row>
    <row r="31" customFormat="false" ht="84.75" hidden="false" customHeight="true" outlineLevel="0" collapsed="false">
      <c r="A31" s="18" t="n">
        <f aca="false">TAKVİM!$B$33+(MATCH($G$5,{"Pazartesi","Salı","Çarşamba","Perşembe","Cuma"},0)-1)</f>
        <v>46451</v>
      </c>
      <c r="B31" s="19" t="s">
        <v>2654</v>
      </c>
      <c r="C31" s="19" t="s">
        <v>2646</v>
      </c>
      <c r="D31" s="19" t="s">
        <v>2655</v>
      </c>
      <c r="E31" s="19" t="s">
        <v>2656</v>
      </c>
      <c r="F31" s="19" t="s">
        <v>2657</v>
      </c>
      <c r="G31" s="19" t="s">
        <v>1251</v>
      </c>
      <c r="H31" s="19" t="s">
        <v>2623</v>
      </c>
      <c r="I31" s="19"/>
    </row>
    <row r="32" customFormat="false" ht="15" hidden="false" customHeight="true" outlineLevel="0" collapsed="false">
      <c r="A32" s="20" t="str">
        <f aca="false">TAKVİM!$C$34</f>
        <v>08-12 Mart</v>
      </c>
      <c r="B32" s="20" t="s">
        <v>17</v>
      </c>
      <c r="C32" s="20"/>
      <c r="D32" s="20"/>
      <c r="E32" s="20"/>
      <c r="F32" s="20"/>
      <c r="G32" s="20"/>
      <c r="H32" s="20"/>
      <c r="I32" s="20"/>
    </row>
    <row r="33" customFormat="false" ht="84.75" hidden="false" customHeight="true" outlineLevel="0" collapsed="false">
      <c r="A33" s="18" t="n">
        <f aca="false">TAKVİM!$B$35+(MATCH($G$5,{"Pazartesi","Salı","Çarşamba","Perşembe","Cuma"},0)-1)</f>
        <v>46465</v>
      </c>
      <c r="B33" s="19" t="s">
        <v>2658</v>
      </c>
      <c r="C33" s="19" t="s">
        <v>2646</v>
      </c>
      <c r="D33" s="19" t="s">
        <v>2659</v>
      </c>
      <c r="E33" s="19" t="s">
        <v>2660</v>
      </c>
      <c r="F33" s="19" t="s">
        <v>2661</v>
      </c>
      <c r="G33" s="19" t="s">
        <v>1251</v>
      </c>
      <c r="H33" s="19" t="s">
        <v>2623</v>
      </c>
      <c r="I33" s="19"/>
    </row>
    <row r="34" customFormat="false" ht="95.25" hidden="false" customHeight="true" outlineLevel="0" collapsed="false">
      <c r="A34" s="18" t="n">
        <f aca="false">TAKVİM!$B$36+(MATCH($G$5,{"Pazartesi","Salı","Çarşamba","Perşembe","Cuma"},0)-1)</f>
        <v>46472</v>
      </c>
      <c r="B34" s="19" t="s">
        <v>2662</v>
      </c>
      <c r="C34" s="19" t="s">
        <v>2646</v>
      </c>
      <c r="D34" s="19" t="s">
        <v>2663</v>
      </c>
      <c r="E34" s="19" t="s">
        <v>2664</v>
      </c>
      <c r="F34" s="19" t="s">
        <v>2665</v>
      </c>
      <c r="G34" s="19" t="s">
        <v>1251</v>
      </c>
      <c r="H34" s="19" t="s">
        <v>2623</v>
      </c>
      <c r="I34" s="19"/>
    </row>
    <row r="35" customFormat="false" ht="84.75" hidden="false" customHeight="true" outlineLevel="0" collapsed="false">
      <c r="A35" s="18" t="n">
        <f aca="false">TAKVİM!$B$37+(MATCH($G$5,{"Pazartesi","Salı","Çarşamba","Perşembe","Cuma"},0)-1)</f>
        <v>46479</v>
      </c>
      <c r="B35" s="19" t="s">
        <v>2666</v>
      </c>
      <c r="C35" s="19" t="s">
        <v>2646</v>
      </c>
      <c r="D35" s="19" t="s">
        <v>2667</v>
      </c>
      <c r="E35" s="19" t="s">
        <v>2668</v>
      </c>
      <c r="F35" s="19" t="s">
        <v>2669</v>
      </c>
      <c r="G35" s="19" t="s">
        <v>1251</v>
      </c>
      <c r="H35" s="19" t="s">
        <v>2623</v>
      </c>
      <c r="I35" s="19"/>
    </row>
    <row r="36" customFormat="false" ht="95.25" hidden="false" customHeight="true" outlineLevel="0" collapsed="false">
      <c r="A36" s="18" t="n">
        <f aca="false">TAKVİM!$B$38+(MATCH($G$5,{"Pazartesi","Salı","Çarşamba","Perşembe","Cuma"},0)-1)</f>
        <v>46486</v>
      </c>
      <c r="B36" s="19" t="s">
        <v>2670</v>
      </c>
      <c r="C36" s="19" t="s">
        <v>2671</v>
      </c>
      <c r="D36" s="19" t="s">
        <v>2672</v>
      </c>
      <c r="E36" s="19" t="s">
        <v>2673</v>
      </c>
      <c r="F36" s="19" t="s">
        <v>2674</v>
      </c>
      <c r="G36" s="19" t="s">
        <v>1251</v>
      </c>
      <c r="H36" s="19" t="s">
        <v>2675</v>
      </c>
      <c r="I36" s="19"/>
    </row>
    <row r="37" customFormat="false" ht="95.25" hidden="false" customHeight="true" outlineLevel="0" collapsed="false">
      <c r="A37" s="18" t="n">
        <f aca="false">TAKVİM!$B$39+(MATCH($G$5,{"Pazartesi","Salı","Çarşamba","Perşembe","Cuma"},0)-1)</f>
        <v>46493</v>
      </c>
      <c r="B37" s="19" t="s">
        <v>2676</v>
      </c>
      <c r="C37" s="19" t="s">
        <v>2671</v>
      </c>
      <c r="D37" s="19" t="s">
        <v>2677</v>
      </c>
      <c r="E37" s="19" t="s">
        <v>2678</v>
      </c>
      <c r="F37" s="19" t="s">
        <v>2679</v>
      </c>
      <c r="G37" s="19" t="s">
        <v>1251</v>
      </c>
      <c r="H37" s="19" t="s">
        <v>2675</v>
      </c>
      <c r="I37" s="19"/>
    </row>
    <row r="38" customFormat="false" ht="95.25" hidden="false" customHeight="true" outlineLevel="0" collapsed="false">
      <c r="A38" s="18" t="n">
        <f aca="false">TAKVİM!$B$40+(MATCH($G$5,{"Pazartesi","Salı","Çarşamba","Perşembe","Cuma"},0)-1)</f>
        <v>46500</v>
      </c>
      <c r="B38" s="19" t="s">
        <v>2680</v>
      </c>
      <c r="C38" s="19" t="s">
        <v>2671</v>
      </c>
      <c r="D38" s="19" t="s">
        <v>2681</v>
      </c>
      <c r="E38" s="19" t="s">
        <v>2682</v>
      </c>
      <c r="F38" s="19" t="s">
        <v>2683</v>
      </c>
      <c r="G38" s="19" t="s">
        <v>1251</v>
      </c>
      <c r="H38" s="19" t="s">
        <v>2675</v>
      </c>
      <c r="I38" s="19"/>
    </row>
    <row r="39" customFormat="false" ht="95.25" hidden="false" customHeight="true" outlineLevel="0" collapsed="false">
      <c r="A39" s="18" t="n">
        <f aca="false">TAKVİM!$B$41+(MATCH($G$5,{"Pazartesi","Salı","Çarşamba","Perşembe","Cuma"},0)-1)</f>
        <v>46507</v>
      </c>
      <c r="B39" s="19" t="s">
        <v>2684</v>
      </c>
      <c r="C39" s="19" t="s">
        <v>2671</v>
      </c>
      <c r="D39" s="19" t="s">
        <v>2685</v>
      </c>
      <c r="E39" s="19" t="s">
        <v>2686</v>
      </c>
      <c r="F39" s="19" t="s">
        <v>2687</v>
      </c>
      <c r="G39" s="19" t="s">
        <v>1251</v>
      </c>
      <c r="H39" s="19" t="s">
        <v>2675</v>
      </c>
      <c r="I39" s="19"/>
    </row>
    <row r="40" customFormat="false" ht="95.25" hidden="false" customHeight="true" outlineLevel="0" collapsed="false">
      <c r="A40" s="18" t="n">
        <f aca="false">TAKVİM!$B$42+(MATCH($G$5,{"Pazartesi","Salı","Çarşamba","Perşembe","Cuma"},0)-1)</f>
        <v>46514</v>
      </c>
      <c r="B40" s="19" t="s">
        <v>2688</v>
      </c>
      <c r="C40" s="19" t="s">
        <v>2671</v>
      </c>
      <c r="D40" s="19" t="s">
        <v>2689</v>
      </c>
      <c r="E40" s="19" t="s">
        <v>2690</v>
      </c>
      <c r="F40" s="19" t="s">
        <v>2691</v>
      </c>
      <c r="G40" s="19" t="s">
        <v>1251</v>
      </c>
      <c r="H40" s="19" t="s">
        <v>2675</v>
      </c>
      <c r="I40" s="19"/>
    </row>
    <row r="41" customFormat="false" ht="95.25" hidden="false" customHeight="true" outlineLevel="0" collapsed="false">
      <c r="A41" s="18" t="n">
        <f aca="false">TAKVİM!$B$43+(MATCH($G$5,{"Pazartesi","Salı","Çarşamba","Perşembe","Cuma"},0)-1)</f>
        <v>46521</v>
      </c>
      <c r="B41" s="19" t="s">
        <v>2692</v>
      </c>
      <c r="C41" s="19" t="s">
        <v>2671</v>
      </c>
      <c r="D41" s="19" t="s">
        <v>2693</v>
      </c>
      <c r="E41" s="19" t="s">
        <v>2694</v>
      </c>
      <c r="F41" s="19" t="s">
        <v>2695</v>
      </c>
      <c r="G41" s="19" t="s">
        <v>1251</v>
      </c>
      <c r="H41" s="19" t="s">
        <v>2675</v>
      </c>
      <c r="I41" s="19"/>
    </row>
    <row r="42" customFormat="false" ht="95.25" hidden="false" customHeight="true" outlineLevel="0" collapsed="false">
      <c r="A42" s="18" t="n">
        <f aca="false">TAKVİM!$B$44+(MATCH($G$5,{"Pazartesi","Salı","Çarşamba","Perşembe","Cuma"},0)-1)</f>
        <v>46528</v>
      </c>
      <c r="B42" s="19" t="s">
        <v>2696</v>
      </c>
      <c r="C42" s="19" t="s">
        <v>2671</v>
      </c>
      <c r="D42" s="19" t="s">
        <v>2697</v>
      </c>
      <c r="E42" s="19" t="s">
        <v>2698</v>
      </c>
      <c r="F42" s="19" t="s">
        <v>2699</v>
      </c>
      <c r="G42" s="19" t="s">
        <v>1251</v>
      </c>
      <c r="H42" s="19" t="s">
        <v>2675</v>
      </c>
      <c r="I42" s="19"/>
    </row>
    <row r="43" customFormat="false" ht="95.25" hidden="false" customHeight="true" outlineLevel="0" collapsed="false">
      <c r="A43" s="18" t="n">
        <f aca="false">TAKVİM!$B$45+(MATCH($G$5,{"Pazartesi","Salı","Çarşamba","Perşembe","Cuma"},0)-1)</f>
        <v>46535</v>
      </c>
      <c r="B43" s="19" t="s">
        <v>2700</v>
      </c>
      <c r="C43" s="19" t="s">
        <v>2671</v>
      </c>
      <c r="D43" s="19" t="s">
        <v>2701</v>
      </c>
      <c r="E43" s="19" t="s">
        <v>2702</v>
      </c>
      <c r="F43" s="19" t="s">
        <v>2703</v>
      </c>
      <c r="G43" s="19" t="s">
        <v>1251</v>
      </c>
      <c r="H43" s="19" t="s">
        <v>2675</v>
      </c>
      <c r="I43" s="19"/>
    </row>
    <row r="44" customFormat="false" ht="95.25" hidden="false" customHeight="true" outlineLevel="0" collapsed="false">
      <c r="A44" s="18" t="n">
        <f aca="false">TAKVİM!$B$46+(MATCH($G$5,{"Pazartesi","Salı","Çarşamba","Perşembe","Cuma"},0)-1)</f>
        <v>46542</v>
      </c>
      <c r="B44" s="19" t="s">
        <v>2704</v>
      </c>
      <c r="C44" s="19" t="s">
        <v>2671</v>
      </c>
      <c r="D44" s="19" t="s">
        <v>2705</v>
      </c>
      <c r="E44" s="19" t="s">
        <v>2706</v>
      </c>
      <c r="F44" s="19" t="s">
        <v>2707</v>
      </c>
      <c r="G44" s="19" t="s">
        <v>1251</v>
      </c>
      <c r="H44" s="19" t="s">
        <v>2675</v>
      </c>
      <c r="I44" s="19"/>
    </row>
    <row r="45" customFormat="false" ht="95.25" hidden="false" customHeight="true" outlineLevel="0" collapsed="false">
      <c r="A45" s="18" t="n">
        <f aca="false">TAKVİM!$B$47+(MATCH($G$5,{"Pazartesi","Salı","Çarşamba","Perşembe","Cuma"},0)-1)</f>
        <v>46549</v>
      </c>
      <c r="B45" s="19" t="s">
        <v>2708</v>
      </c>
      <c r="C45" s="19" t="s">
        <v>2709</v>
      </c>
      <c r="D45" s="19" t="s">
        <v>2710</v>
      </c>
      <c r="E45" s="19" t="s">
        <v>2711</v>
      </c>
      <c r="F45" s="19" t="s">
        <v>2712</v>
      </c>
      <c r="G45" s="19" t="s">
        <v>1251</v>
      </c>
      <c r="H45" s="19" t="s">
        <v>2675</v>
      </c>
      <c r="I45" s="19"/>
    </row>
    <row r="46" customFormat="false" ht="95.25" hidden="false" customHeight="true" outlineLevel="0" collapsed="false">
      <c r="A46" s="18" t="n">
        <f aca="false">TAKVİM!$B$48+(MATCH($G$5,{"Pazartesi","Salı","Çarşamba","Perşembe","Cuma"},0)-1)</f>
        <v>46556</v>
      </c>
      <c r="B46" s="19" t="s">
        <v>2713</v>
      </c>
      <c r="C46" s="19" t="s">
        <v>2709</v>
      </c>
      <c r="D46" s="19" t="s">
        <v>2714</v>
      </c>
      <c r="E46" s="19" t="s">
        <v>2715</v>
      </c>
      <c r="F46" s="19" t="s">
        <v>2716</v>
      </c>
      <c r="G46" s="19" t="s">
        <v>1251</v>
      </c>
      <c r="H46" s="19" t="s">
        <v>2675</v>
      </c>
      <c r="I46" s="19"/>
    </row>
    <row r="47" customFormat="false" ht="95.25" hidden="false" customHeight="true" outlineLevel="0" collapsed="false">
      <c r="A47" s="18" t="n">
        <f aca="false">TAKVİM!$B$49+(MATCH($G$5,{"Pazartesi","Salı","Çarşamba","Perşembe","Cuma"},0)-1)</f>
        <v>46563</v>
      </c>
      <c r="B47" s="19" t="s">
        <v>2717</v>
      </c>
      <c r="C47" s="19" t="s">
        <v>2709</v>
      </c>
      <c r="D47" s="19" t="s">
        <v>2718</v>
      </c>
      <c r="E47" s="19" t="s">
        <v>2719</v>
      </c>
      <c r="F47" s="19" t="s">
        <v>2720</v>
      </c>
      <c r="G47" s="19" t="s">
        <v>1251</v>
      </c>
      <c r="H47" s="19" t="s">
        <v>2675</v>
      </c>
      <c r="I47" s="19"/>
    </row>
    <row r="51" customFormat="false" ht="15" hidden="false" customHeight="true" outlineLevel="0" collapsed="false">
      <c r="A51" s="21" t="s">
        <v>28</v>
      </c>
      <c r="B51" s="21"/>
      <c r="C51" s="21"/>
      <c r="D51" s="21"/>
      <c r="F51" s="21" t="s">
        <v>210</v>
      </c>
      <c r="G51" s="21"/>
      <c r="H51" s="21"/>
      <c r="I51" s="21"/>
    </row>
    <row r="52" customFormat="false" ht="15" hidden="false" customHeight="true" outlineLevel="0" collapsed="false">
      <c r="A52" s="22" t="s">
        <v>211</v>
      </c>
      <c r="B52" s="22"/>
      <c r="C52" s="22"/>
      <c r="D52" s="22"/>
      <c r="F52" s="22" t="s">
        <v>212</v>
      </c>
      <c r="G52" s="22"/>
      <c r="H52" s="22"/>
      <c r="I52" s="22"/>
    </row>
    <row r="54" customFormat="false" ht="15" hidden="false" customHeight="true" outlineLevel="0" collapsed="false">
      <c r="A54" s="22" t="s">
        <v>213</v>
      </c>
      <c r="B54" s="22"/>
      <c r="C54" s="22"/>
      <c r="D54" s="22"/>
      <c r="F54" s="21" t="s">
        <v>214</v>
      </c>
      <c r="G54" s="21"/>
      <c r="H54" s="21"/>
      <c r="I54" s="21"/>
    </row>
  </sheetData>
  <mergeCells count="15">
    <mergeCell ref="C1:G1"/>
    <mergeCell ref="B3:D3"/>
    <mergeCell ref="G3:I3"/>
    <mergeCell ref="B4:D4"/>
    <mergeCell ref="G4:I4"/>
    <mergeCell ref="B5:D5"/>
    <mergeCell ref="B17:I17"/>
    <mergeCell ref="B27:I27"/>
    <mergeCell ref="B32:I32"/>
    <mergeCell ref="A51:D51"/>
    <mergeCell ref="F51:I51"/>
    <mergeCell ref="A52:D52"/>
    <mergeCell ref="F52:I52"/>
    <mergeCell ref="A54:D54"/>
    <mergeCell ref="F54:I54"/>
  </mergeCells>
  <dataValidations count="1">
    <dataValidation allowBlank="false" errorStyle="stop" operator="between" showDropDown="false" showErrorMessage="false" showInputMessage="false" sqref="G5" type="list">
      <formula1>"Pazartesi,Salı,Çarşamba,Perşembe,Cuma"</formula1>
      <formula2>0</formula2>
    </dataValidation>
  </dataValidation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4" min="3" style="1" width="26"/>
    <col collapsed="false" customWidth="true" hidden="false" outlineLevel="0" max="5" min="5" style="1" width="34"/>
    <col collapsed="false" customWidth="true" hidden="false" outlineLevel="0" max="6" min="6" style="1" width="22"/>
    <col collapsed="false" customWidth="true" hidden="false" outlineLevel="0" max="7" min="7" style="1" width="18"/>
    <col collapsed="false" customWidth="true" hidden="false" outlineLevel="0" max="8" min="8" style="1" width="22"/>
    <col collapsed="false" customWidth="true" hidden="false" outlineLevel="0" max="9" min="9" style="1" width="18"/>
  </cols>
  <sheetData>
    <row r="1" customFormat="false" ht="75" hidden="false" customHeight="true" outlineLevel="0" collapsed="false">
      <c r="C1" s="15" t="s">
        <v>18</v>
      </c>
      <c r="D1" s="15"/>
      <c r="E1" s="15"/>
      <c r="F1" s="15"/>
      <c r="G1" s="15"/>
    </row>
    <row r="3" customFormat="false" ht="15" hidden="false" customHeight="true" outlineLevel="0" collapsed="false">
      <c r="A3" s="3" t="s">
        <v>19</v>
      </c>
      <c r="B3" s="16" t="s">
        <v>2721</v>
      </c>
      <c r="C3" s="16"/>
      <c r="D3" s="16"/>
      <c r="F3" s="3" t="s">
        <v>21</v>
      </c>
      <c r="G3" s="16" t="s">
        <v>22</v>
      </c>
      <c r="H3" s="16"/>
      <c r="I3" s="16"/>
    </row>
    <row r="4" customFormat="false" ht="15" hidden="false" customHeight="true" outlineLevel="0" collapsed="false">
      <c r="A4" s="3" t="s">
        <v>23</v>
      </c>
      <c r="B4" s="16" t="s">
        <v>2722</v>
      </c>
      <c r="C4" s="16"/>
      <c r="D4" s="16"/>
      <c r="F4" s="3" t="s">
        <v>25</v>
      </c>
      <c r="G4" s="16" t="s">
        <v>405</v>
      </c>
      <c r="H4" s="16"/>
      <c r="I4" s="16"/>
    </row>
    <row r="5" customFormat="false" ht="15" hidden="false" customHeight="true" outlineLevel="0" collapsed="false">
      <c r="A5" s="3" t="s">
        <v>27</v>
      </c>
      <c r="B5" s="16" t="s">
        <v>28</v>
      </c>
      <c r="C5" s="16"/>
      <c r="D5" s="16"/>
      <c r="F5" s="3" t="s">
        <v>29</v>
      </c>
      <c r="G5" s="4" t="s">
        <v>30</v>
      </c>
    </row>
    <row r="7" customFormat="false" ht="23.25" hidden="false" customHeight="true" outlineLevel="0" collapsed="false">
      <c r="A7" s="17" t="s">
        <v>31</v>
      </c>
      <c r="B7" s="17" t="s">
        <v>32</v>
      </c>
      <c r="C7" s="17" t="s">
        <v>33</v>
      </c>
      <c r="D7" s="17" t="s">
        <v>34</v>
      </c>
      <c r="E7" s="17" t="s">
        <v>35</v>
      </c>
      <c r="F7" s="17" t="s">
        <v>36</v>
      </c>
      <c r="G7" s="17" t="s">
        <v>37</v>
      </c>
      <c r="H7" s="17" t="s">
        <v>38</v>
      </c>
      <c r="I7" s="17" t="s">
        <v>39</v>
      </c>
    </row>
    <row r="8" customFormat="false" ht="95.25" hidden="false" customHeight="true" outlineLevel="0" collapsed="false">
      <c r="A8" s="18" t="n">
        <f aca="false">TAKVİM!$B$10+(MATCH($G$5,{"Pazartesi","Salı","Çarşamba","Perşembe","Cuma"},0)-1)</f>
        <v>46283</v>
      </c>
      <c r="B8" s="19" t="s">
        <v>2723</v>
      </c>
      <c r="C8" s="19" t="s">
        <v>2724</v>
      </c>
      <c r="D8" s="19" t="s">
        <v>2725</v>
      </c>
      <c r="E8" s="19" t="s">
        <v>2726</v>
      </c>
      <c r="F8" s="19" t="s">
        <v>2727</v>
      </c>
      <c r="G8" s="19" t="s">
        <v>1251</v>
      </c>
      <c r="H8" s="19" t="s">
        <v>2728</v>
      </c>
      <c r="I8" s="19"/>
    </row>
    <row r="9" customFormat="false" ht="74.25" hidden="false" customHeight="true" outlineLevel="0" collapsed="false">
      <c r="A9" s="18" t="n">
        <f aca="false">TAKVİM!$B$11+(MATCH($G$5,{"Pazartesi","Salı","Çarşamba","Perşembe","Cuma"},0)-1)</f>
        <v>46290</v>
      </c>
      <c r="B9" s="19" t="s">
        <v>2729</v>
      </c>
      <c r="C9" s="19" t="s">
        <v>2730</v>
      </c>
      <c r="D9" s="19" t="s">
        <v>2731</v>
      </c>
      <c r="E9" s="19" t="s">
        <v>2732</v>
      </c>
      <c r="F9" s="19" t="s">
        <v>2733</v>
      </c>
      <c r="G9" s="19" t="s">
        <v>1251</v>
      </c>
      <c r="H9" s="19" t="s">
        <v>2728</v>
      </c>
      <c r="I9" s="19"/>
    </row>
    <row r="10" customFormat="false" ht="74.25" hidden="false" customHeight="true" outlineLevel="0" collapsed="false">
      <c r="A10" s="18" t="n">
        <f aca="false">TAKVİM!$B$12+(MATCH($G$5,{"Pazartesi","Salı","Çarşamba","Perşembe","Cuma"},0)-1)</f>
        <v>46297</v>
      </c>
      <c r="B10" s="19" t="s">
        <v>2734</v>
      </c>
      <c r="C10" s="19" t="s">
        <v>2735</v>
      </c>
      <c r="D10" s="19" t="s">
        <v>2736</v>
      </c>
      <c r="E10" s="19" t="s">
        <v>2737</v>
      </c>
      <c r="F10" s="19" t="s">
        <v>2738</v>
      </c>
      <c r="G10" s="19" t="s">
        <v>1251</v>
      </c>
      <c r="H10" s="19" t="s">
        <v>2728</v>
      </c>
      <c r="I10" s="19"/>
    </row>
    <row r="11" customFormat="false" ht="74.25" hidden="false" customHeight="true" outlineLevel="0" collapsed="false">
      <c r="A11" s="18" t="n">
        <f aca="false">TAKVİM!$B$13+(MATCH($G$5,{"Pazartesi","Salı","Çarşamba","Perşembe","Cuma"},0)-1)</f>
        <v>46304</v>
      </c>
      <c r="B11" s="19" t="s">
        <v>2734</v>
      </c>
      <c r="C11" s="19" t="s">
        <v>2739</v>
      </c>
      <c r="D11" s="19" t="s">
        <v>2740</v>
      </c>
      <c r="E11" s="19" t="s">
        <v>2741</v>
      </c>
      <c r="F11" s="19" t="s">
        <v>2742</v>
      </c>
      <c r="G11" s="19" t="s">
        <v>1251</v>
      </c>
      <c r="H11" s="19" t="s">
        <v>2728</v>
      </c>
      <c r="I11" s="19"/>
    </row>
    <row r="12" customFormat="false" ht="95.25" hidden="false" customHeight="true" outlineLevel="0" collapsed="false">
      <c r="A12" s="18" t="n">
        <f aca="false">TAKVİM!$B$14+(MATCH($G$5,{"Pazartesi","Salı","Çarşamba","Perşembe","Cuma"},0)-1)</f>
        <v>46311</v>
      </c>
      <c r="B12" s="19" t="s">
        <v>2743</v>
      </c>
      <c r="C12" s="19" t="s">
        <v>2744</v>
      </c>
      <c r="D12" s="19" t="s">
        <v>2745</v>
      </c>
      <c r="E12" s="19" t="s">
        <v>2746</v>
      </c>
      <c r="F12" s="19" t="s">
        <v>2747</v>
      </c>
      <c r="G12" s="19" t="s">
        <v>1251</v>
      </c>
      <c r="H12" s="19" t="s">
        <v>2728</v>
      </c>
      <c r="I12" s="19"/>
    </row>
    <row r="13" customFormat="false" ht="74.25" hidden="false" customHeight="true" outlineLevel="0" collapsed="false">
      <c r="A13" s="18" t="n">
        <f aca="false">TAKVİM!$B$15+(MATCH($G$5,{"Pazartesi","Salı","Çarşamba","Perşembe","Cuma"},0)-1)</f>
        <v>46318</v>
      </c>
      <c r="B13" s="19" t="s">
        <v>2748</v>
      </c>
      <c r="C13" s="19" t="s">
        <v>2749</v>
      </c>
      <c r="D13" s="19" t="s">
        <v>2750</v>
      </c>
      <c r="E13" s="19" t="s">
        <v>2751</v>
      </c>
      <c r="F13" s="19" t="s">
        <v>2752</v>
      </c>
      <c r="G13" s="19" t="s">
        <v>1251</v>
      </c>
      <c r="H13" s="19" t="s">
        <v>2728</v>
      </c>
      <c r="I13" s="19"/>
    </row>
    <row r="14" customFormat="false" ht="74.25" hidden="false" customHeight="true" outlineLevel="0" collapsed="false">
      <c r="A14" s="18" t="n">
        <f aca="false">TAKVİM!$B$16+(MATCH($G$5,{"Pazartesi","Salı","Çarşamba","Perşembe","Cuma"},0)-1)</f>
        <v>46325</v>
      </c>
      <c r="B14" s="19" t="s">
        <v>2753</v>
      </c>
      <c r="C14" s="19" t="s">
        <v>2754</v>
      </c>
      <c r="D14" s="19" t="s">
        <v>2755</v>
      </c>
      <c r="E14" s="19" t="s">
        <v>2756</v>
      </c>
      <c r="F14" s="19" t="s">
        <v>2757</v>
      </c>
      <c r="G14" s="19" t="s">
        <v>1251</v>
      </c>
      <c r="H14" s="19" t="s">
        <v>2728</v>
      </c>
      <c r="I14" s="19"/>
    </row>
    <row r="15" customFormat="false" ht="74.25" hidden="false" customHeight="true" outlineLevel="0" collapsed="false">
      <c r="A15" s="18" t="n">
        <f aca="false">TAKVİM!$B$17+(MATCH($G$5,{"Pazartesi","Salı","Çarşamba","Perşembe","Cuma"},0)-1)</f>
        <v>46332</v>
      </c>
      <c r="B15" s="19" t="s">
        <v>2758</v>
      </c>
      <c r="C15" s="19" t="s">
        <v>2759</v>
      </c>
      <c r="D15" s="19" t="s">
        <v>2760</v>
      </c>
      <c r="E15" s="19" t="s">
        <v>2761</v>
      </c>
      <c r="F15" s="19" t="s">
        <v>2762</v>
      </c>
      <c r="G15" s="19" t="s">
        <v>1251</v>
      </c>
      <c r="H15" s="19" t="s">
        <v>2728</v>
      </c>
      <c r="I15" s="19"/>
    </row>
    <row r="16" customFormat="false" ht="74.25" hidden="false" customHeight="true" outlineLevel="0" collapsed="false">
      <c r="A16" s="18" t="n">
        <f aca="false">TAKVİM!$B$18+(MATCH($G$5,{"Pazartesi","Salı","Çarşamba","Perşembe","Cuma"},0)-1)</f>
        <v>46339</v>
      </c>
      <c r="B16" s="19" t="s">
        <v>2758</v>
      </c>
      <c r="C16" s="19" t="s">
        <v>2763</v>
      </c>
      <c r="D16" s="19" t="s">
        <v>2764</v>
      </c>
      <c r="E16" s="19" t="s">
        <v>2765</v>
      </c>
      <c r="F16" s="19" t="s">
        <v>2766</v>
      </c>
      <c r="G16" s="19" t="s">
        <v>1251</v>
      </c>
      <c r="H16" s="19" t="s">
        <v>2728</v>
      </c>
      <c r="I16" s="19"/>
    </row>
    <row r="17" customFormat="false" ht="15" hidden="false" customHeight="true" outlineLevel="0" collapsed="false">
      <c r="A17" s="20" t="str">
        <f aca="false">TAKVİM!$C$19</f>
        <v>16-20 Kasım</v>
      </c>
      <c r="B17" s="20" t="s">
        <v>15</v>
      </c>
      <c r="C17" s="20"/>
      <c r="D17" s="20"/>
      <c r="E17" s="20"/>
      <c r="F17" s="20"/>
      <c r="G17" s="20"/>
      <c r="H17" s="20"/>
      <c r="I17" s="20"/>
    </row>
    <row r="18" customFormat="false" ht="74.25" hidden="false" customHeight="true" outlineLevel="0" collapsed="false">
      <c r="A18" s="18" t="n">
        <f aca="false">TAKVİM!$B$20+(MATCH($G$5,{"Pazartesi","Salı","Çarşamba","Perşembe","Cuma"},0)-1)</f>
        <v>46353</v>
      </c>
      <c r="B18" s="19" t="s">
        <v>2758</v>
      </c>
      <c r="C18" s="19" t="s">
        <v>2767</v>
      </c>
      <c r="D18" s="19" t="s">
        <v>2768</v>
      </c>
      <c r="E18" s="19" t="s">
        <v>2769</v>
      </c>
      <c r="F18" s="19" t="s">
        <v>2770</v>
      </c>
      <c r="G18" s="19" t="s">
        <v>1251</v>
      </c>
      <c r="H18" s="19" t="s">
        <v>2728</v>
      </c>
      <c r="I18" s="19"/>
    </row>
    <row r="19" customFormat="false" ht="84.75" hidden="false" customHeight="true" outlineLevel="0" collapsed="false">
      <c r="A19" s="18" t="n">
        <f aca="false">TAKVİM!$B$21+(MATCH($G$5,{"Pazartesi","Salı","Çarşamba","Perşembe","Cuma"},0)-1)</f>
        <v>46360</v>
      </c>
      <c r="B19" s="19" t="s">
        <v>2758</v>
      </c>
      <c r="C19" s="19" t="s">
        <v>2771</v>
      </c>
      <c r="D19" s="19" t="s">
        <v>2772</v>
      </c>
      <c r="E19" s="19" t="s">
        <v>2773</v>
      </c>
      <c r="F19" s="19" t="s">
        <v>2774</v>
      </c>
      <c r="G19" s="19" t="s">
        <v>1251</v>
      </c>
      <c r="H19" s="19" t="s">
        <v>2728</v>
      </c>
      <c r="I19" s="19"/>
    </row>
    <row r="20" customFormat="false" ht="116.25" hidden="false" customHeight="true" outlineLevel="0" collapsed="false">
      <c r="A20" s="18" t="n">
        <f aca="false">TAKVİM!$B$22+(MATCH($G$5,{"Pazartesi","Salı","Çarşamba","Perşembe","Cuma"},0)-1)</f>
        <v>46367</v>
      </c>
      <c r="B20" s="19" t="s">
        <v>2775</v>
      </c>
      <c r="C20" s="19" t="s">
        <v>2776</v>
      </c>
      <c r="D20" s="19" t="s">
        <v>2777</v>
      </c>
      <c r="E20" s="19" t="s">
        <v>2778</v>
      </c>
      <c r="F20" s="19" t="s">
        <v>2779</v>
      </c>
      <c r="G20" s="19" t="s">
        <v>1251</v>
      </c>
      <c r="H20" s="19" t="s">
        <v>2728</v>
      </c>
      <c r="I20" s="19"/>
    </row>
    <row r="21" customFormat="false" ht="74.25" hidden="false" customHeight="true" outlineLevel="0" collapsed="false">
      <c r="A21" s="18" t="n">
        <f aca="false">TAKVİM!$B$23+(MATCH($G$5,{"Pazartesi","Salı","Çarşamba","Perşembe","Cuma"},0)-1)</f>
        <v>46374</v>
      </c>
      <c r="B21" s="19" t="s">
        <v>2780</v>
      </c>
      <c r="C21" s="19" t="s">
        <v>2781</v>
      </c>
      <c r="D21" s="19" t="s">
        <v>2782</v>
      </c>
      <c r="E21" s="19" t="s">
        <v>2783</v>
      </c>
      <c r="F21" s="19" t="s">
        <v>2784</v>
      </c>
      <c r="G21" s="19" t="s">
        <v>1251</v>
      </c>
      <c r="H21" s="19" t="s">
        <v>2728</v>
      </c>
      <c r="I21" s="19"/>
    </row>
    <row r="22" customFormat="false" ht="74.25" hidden="false" customHeight="true" outlineLevel="0" collapsed="false">
      <c r="A22" s="18" t="n">
        <f aca="false">TAKVİM!$B$24+(MATCH($G$5,{"Pazartesi","Salı","Çarşamba","Perşembe","Cuma"},0)-1)</f>
        <v>46381</v>
      </c>
      <c r="B22" s="19" t="s">
        <v>2780</v>
      </c>
      <c r="C22" s="19" t="s">
        <v>2785</v>
      </c>
      <c r="D22" s="19" t="s">
        <v>2786</v>
      </c>
      <c r="E22" s="19" t="s">
        <v>2787</v>
      </c>
      <c r="F22" s="19" t="s">
        <v>2788</v>
      </c>
      <c r="G22" s="19" t="s">
        <v>1251</v>
      </c>
      <c r="H22" s="19" t="s">
        <v>2728</v>
      </c>
      <c r="I22" s="19"/>
    </row>
    <row r="23" customFormat="false" ht="74.25" hidden="false" customHeight="true" outlineLevel="0" collapsed="false">
      <c r="A23" s="18" t="n">
        <f aca="false">TAKVİM!$B$25+(MATCH($G$5,{"Pazartesi","Salı","Çarşamba","Perşembe","Cuma"},0)-1)</f>
        <v>46388</v>
      </c>
      <c r="B23" s="19" t="s">
        <v>2789</v>
      </c>
      <c r="C23" s="19" t="s">
        <v>2790</v>
      </c>
      <c r="D23" s="19" t="s">
        <v>2791</v>
      </c>
      <c r="E23" s="19" t="s">
        <v>2792</v>
      </c>
      <c r="F23" s="19" t="s">
        <v>2793</v>
      </c>
      <c r="G23" s="19" t="s">
        <v>1251</v>
      </c>
      <c r="H23" s="19" t="s">
        <v>2728</v>
      </c>
      <c r="I23" s="19"/>
    </row>
    <row r="24" customFormat="false" ht="74.25" hidden="false" customHeight="true" outlineLevel="0" collapsed="false">
      <c r="A24" s="18" t="n">
        <f aca="false">TAKVİM!$B$26+(MATCH($G$5,{"Pazartesi","Salı","Çarşamba","Perşembe","Cuma"},0)-1)</f>
        <v>46395</v>
      </c>
      <c r="B24" s="19" t="s">
        <v>2789</v>
      </c>
      <c r="C24" s="19" t="s">
        <v>2790</v>
      </c>
      <c r="D24" s="19" t="s">
        <v>2794</v>
      </c>
      <c r="E24" s="19" t="s">
        <v>2795</v>
      </c>
      <c r="F24" s="19" t="s">
        <v>2796</v>
      </c>
      <c r="G24" s="19" t="s">
        <v>1251</v>
      </c>
      <c r="H24" s="19" t="s">
        <v>2728</v>
      </c>
      <c r="I24" s="19"/>
    </row>
    <row r="25" customFormat="false" ht="84.75" hidden="false" customHeight="true" outlineLevel="0" collapsed="false">
      <c r="A25" s="18" t="n">
        <f aca="false">TAKVİM!$B$27+(MATCH($G$5,{"Pazartesi","Salı","Çarşamba","Perşembe","Cuma"},0)-1)</f>
        <v>46402</v>
      </c>
      <c r="B25" s="19" t="s">
        <v>2797</v>
      </c>
      <c r="C25" s="19" t="s">
        <v>2798</v>
      </c>
      <c r="D25" s="19" t="s">
        <v>2799</v>
      </c>
      <c r="E25" s="19" t="s">
        <v>2800</v>
      </c>
      <c r="F25" s="19" t="s">
        <v>2801</v>
      </c>
      <c r="G25" s="19" t="s">
        <v>1251</v>
      </c>
      <c r="H25" s="19" t="s">
        <v>2728</v>
      </c>
      <c r="I25" s="19"/>
    </row>
    <row r="26" customFormat="false" ht="84.75" hidden="false" customHeight="true" outlineLevel="0" collapsed="false">
      <c r="A26" s="18" t="n">
        <f aca="false">TAKVİM!$B$28+(MATCH($G$5,{"Pazartesi","Salı","Çarşamba","Perşembe","Cuma"},0)-1)</f>
        <v>46409</v>
      </c>
      <c r="B26" s="19" t="s">
        <v>2797</v>
      </c>
      <c r="C26" s="19" t="s">
        <v>2802</v>
      </c>
      <c r="D26" s="19" t="s">
        <v>2803</v>
      </c>
      <c r="E26" s="19" t="s">
        <v>2804</v>
      </c>
      <c r="F26" s="19" t="s">
        <v>2805</v>
      </c>
      <c r="G26" s="19" t="s">
        <v>1251</v>
      </c>
      <c r="H26" s="19" t="s">
        <v>2728</v>
      </c>
      <c r="I26" s="19"/>
    </row>
    <row r="27" customFormat="false" ht="15" hidden="false" customHeight="true" outlineLevel="0" collapsed="false">
      <c r="A27" s="20" t="str">
        <f aca="false">TAKVİM!$C$29</f>
        <v>25-29 Ocak</v>
      </c>
      <c r="B27" s="20" t="s">
        <v>16</v>
      </c>
      <c r="C27" s="20"/>
      <c r="D27" s="20"/>
      <c r="E27" s="20"/>
      <c r="F27" s="20"/>
      <c r="G27" s="20"/>
      <c r="H27" s="20"/>
      <c r="I27" s="20"/>
    </row>
    <row r="28" customFormat="false" ht="126.75" hidden="false" customHeight="true" outlineLevel="0" collapsed="false">
      <c r="A28" s="18" t="n">
        <f aca="false">TAKVİM!$B$30+(MATCH($G$5,{"Pazartesi","Salı","Çarşamba","Perşembe","Cuma"},0)-1)</f>
        <v>46430</v>
      </c>
      <c r="B28" s="19" t="s">
        <v>2806</v>
      </c>
      <c r="C28" s="19" t="s">
        <v>2807</v>
      </c>
      <c r="D28" s="19" t="s">
        <v>2808</v>
      </c>
      <c r="E28" s="19" t="s">
        <v>2809</v>
      </c>
      <c r="F28" s="19" t="s">
        <v>2810</v>
      </c>
      <c r="G28" s="19" t="s">
        <v>1251</v>
      </c>
      <c r="H28" s="19" t="s">
        <v>2728</v>
      </c>
      <c r="I28" s="19"/>
    </row>
    <row r="29" customFormat="false" ht="84.75" hidden="false" customHeight="true" outlineLevel="0" collapsed="false">
      <c r="A29" s="18" t="n">
        <f aca="false">TAKVİM!$B$31+(MATCH($G$5,{"Pazartesi","Salı","Çarşamba","Perşembe","Cuma"},0)-1)</f>
        <v>46437</v>
      </c>
      <c r="B29" s="19" t="s">
        <v>2811</v>
      </c>
      <c r="C29" s="19" t="s">
        <v>2812</v>
      </c>
      <c r="D29" s="19" t="s">
        <v>2813</v>
      </c>
      <c r="E29" s="19" t="s">
        <v>2814</v>
      </c>
      <c r="F29" s="19" t="s">
        <v>2815</v>
      </c>
      <c r="G29" s="19" t="s">
        <v>1251</v>
      </c>
      <c r="H29" s="19" t="s">
        <v>2728</v>
      </c>
      <c r="I29" s="19"/>
    </row>
    <row r="30" customFormat="false" ht="105.75" hidden="false" customHeight="true" outlineLevel="0" collapsed="false">
      <c r="A30" s="18" t="n">
        <f aca="false">TAKVİM!$B$32+(MATCH($G$5,{"Pazartesi","Salı","Çarşamba","Perşembe","Cuma"},0)-1)</f>
        <v>46444</v>
      </c>
      <c r="B30" s="19" t="s">
        <v>2816</v>
      </c>
      <c r="C30" s="19" t="s">
        <v>2817</v>
      </c>
      <c r="D30" s="19" t="s">
        <v>2818</v>
      </c>
      <c r="E30" s="19" t="s">
        <v>2819</v>
      </c>
      <c r="F30" s="19" t="s">
        <v>2820</v>
      </c>
      <c r="G30" s="19" t="s">
        <v>1251</v>
      </c>
      <c r="H30" s="19" t="s">
        <v>2728</v>
      </c>
      <c r="I30" s="19"/>
    </row>
    <row r="31" customFormat="false" ht="84.75" hidden="false" customHeight="true" outlineLevel="0" collapsed="false">
      <c r="A31" s="18" t="n">
        <f aca="false">TAKVİM!$B$33+(MATCH($G$5,{"Pazartesi","Salı","Çarşamba","Perşembe","Cuma"},0)-1)</f>
        <v>46451</v>
      </c>
      <c r="B31" s="19" t="s">
        <v>2821</v>
      </c>
      <c r="C31" s="19" t="s">
        <v>2817</v>
      </c>
      <c r="D31" s="19" t="s">
        <v>2822</v>
      </c>
      <c r="E31" s="19" t="s">
        <v>2823</v>
      </c>
      <c r="F31" s="19" t="s">
        <v>2824</v>
      </c>
      <c r="G31" s="19" t="s">
        <v>1251</v>
      </c>
      <c r="H31" s="19" t="s">
        <v>2728</v>
      </c>
      <c r="I31" s="19"/>
    </row>
    <row r="32" customFormat="false" ht="15" hidden="false" customHeight="true" outlineLevel="0" collapsed="false">
      <c r="A32" s="20" t="str">
        <f aca="false">TAKVİM!$C$34</f>
        <v>08-12 Mart</v>
      </c>
      <c r="B32" s="20" t="s">
        <v>17</v>
      </c>
      <c r="C32" s="20"/>
      <c r="D32" s="20"/>
      <c r="E32" s="20"/>
      <c r="F32" s="20"/>
      <c r="G32" s="20"/>
      <c r="H32" s="20"/>
      <c r="I32" s="20"/>
    </row>
    <row r="33" customFormat="false" ht="74.25" hidden="false" customHeight="true" outlineLevel="0" collapsed="false">
      <c r="A33" s="18" t="n">
        <f aca="false">TAKVİM!$B$35+(MATCH($G$5,{"Pazartesi","Salı","Çarşamba","Perşembe","Cuma"},0)-1)</f>
        <v>46465</v>
      </c>
      <c r="B33" s="19" t="s">
        <v>2825</v>
      </c>
      <c r="C33" s="19" t="s">
        <v>2826</v>
      </c>
      <c r="D33" s="19" t="s">
        <v>2827</v>
      </c>
      <c r="E33" s="19" t="s">
        <v>2828</v>
      </c>
      <c r="F33" s="19" t="s">
        <v>2829</v>
      </c>
      <c r="G33" s="19" t="s">
        <v>1251</v>
      </c>
      <c r="H33" s="19" t="s">
        <v>2728</v>
      </c>
      <c r="I33" s="19"/>
    </row>
    <row r="34" customFormat="false" ht="74.25" hidden="false" customHeight="true" outlineLevel="0" collapsed="false">
      <c r="A34" s="18" t="n">
        <f aca="false">TAKVİM!$B$36+(MATCH($G$5,{"Pazartesi","Salı","Çarşamba","Perşembe","Cuma"},0)-1)</f>
        <v>46472</v>
      </c>
      <c r="B34" s="19" t="s">
        <v>2825</v>
      </c>
      <c r="C34" s="19" t="s">
        <v>2826</v>
      </c>
      <c r="D34" s="19" t="s">
        <v>2830</v>
      </c>
      <c r="E34" s="19" t="s">
        <v>2831</v>
      </c>
      <c r="F34" s="19" t="s">
        <v>2832</v>
      </c>
      <c r="G34" s="19" t="s">
        <v>1251</v>
      </c>
      <c r="H34" s="19" t="s">
        <v>2728</v>
      </c>
      <c r="I34" s="19"/>
    </row>
    <row r="35" customFormat="false" ht="95.25" hidden="false" customHeight="true" outlineLevel="0" collapsed="false">
      <c r="A35" s="18" t="n">
        <f aca="false">TAKVİM!$B$37+(MATCH($G$5,{"Pazartesi","Salı","Çarşamba","Perşembe","Cuma"},0)-1)</f>
        <v>46479</v>
      </c>
      <c r="B35" s="19" t="s">
        <v>2833</v>
      </c>
      <c r="C35" s="19" t="s">
        <v>2834</v>
      </c>
      <c r="D35" s="19" t="s">
        <v>2835</v>
      </c>
      <c r="E35" s="19" t="s">
        <v>2836</v>
      </c>
      <c r="F35" s="19" t="s">
        <v>2837</v>
      </c>
      <c r="G35" s="19" t="s">
        <v>1251</v>
      </c>
      <c r="H35" s="19" t="s">
        <v>2728</v>
      </c>
      <c r="I35" s="19"/>
    </row>
    <row r="36" customFormat="false" ht="84.75" hidden="false" customHeight="true" outlineLevel="0" collapsed="false">
      <c r="A36" s="18" t="n">
        <f aca="false">TAKVİM!$B$38+(MATCH($G$5,{"Pazartesi","Salı","Çarşamba","Perşembe","Cuma"},0)-1)</f>
        <v>46486</v>
      </c>
      <c r="B36" s="19" t="s">
        <v>2838</v>
      </c>
      <c r="C36" s="19" t="s">
        <v>2839</v>
      </c>
      <c r="D36" s="19" t="s">
        <v>2840</v>
      </c>
      <c r="E36" s="19" t="s">
        <v>2841</v>
      </c>
      <c r="F36" s="19" t="s">
        <v>2829</v>
      </c>
      <c r="G36" s="19" t="s">
        <v>1251</v>
      </c>
      <c r="H36" s="19" t="s">
        <v>2728</v>
      </c>
      <c r="I36" s="19"/>
    </row>
    <row r="37" customFormat="false" ht="84.75" hidden="false" customHeight="true" outlineLevel="0" collapsed="false">
      <c r="A37" s="18" t="n">
        <f aca="false">TAKVİM!$B$39+(MATCH($G$5,{"Pazartesi","Salı","Çarşamba","Perşembe","Cuma"},0)-1)</f>
        <v>46493</v>
      </c>
      <c r="B37" s="19" t="s">
        <v>2838</v>
      </c>
      <c r="C37" s="19" t="s">
        <v>2842</v>
      </c>
      <c r="D37" s="19" t="s">
        <v>2843</v>
      </c>
      <c r="E37" s="19" t="s">
        <v>2844</v>
      </c>
      <c r="F37" s="19" t="s">
        <v>2845</v>
      </c>
      <c r="G37" s="19" t="s">
        <v>1251</v>
      </c>
      <c r="H37" s="19" t="s">
        <v>2728</v>
      </c>
      <c r="I37" s="19"/>
    </row>
    <row r="38" customFormat="false" ht="84.75" hidden="false" customHeight="true" outlineLevel="0" collapsed="false">
      <c r="A38" s="18" t="n">
        <f aca="false">TAKVİM!$B$40+(MATCH($G$5,{"Pazartesi","Salı","Çarşamba","Perşembe","Cuma"},0)-1)</f>
        <v>46500</v>
      </c>
      <c r="B38" s="19" t="s">
        <v>2846</v>
      </c>
      <c r="C38" s="19" t="s">
        <v>2847</v>
      </c>
      <c r="D38" s="19" t="s">
        <v>2848</v>
      </c>
      <c r="E38" s="19" t="s">
        <v>2849</v>
      </c>
      <c r="F38" s="19" t="s">
        <v>2801</v>
      </c>
      <c r="G38" s="19" t="s">
        <v>1251</v>
      </c>
      <c r="H38" s="19" t="s">
        <v>2728</v>
      </c>
      <c r="I38" s="19"/>
    </row>
    <row r="39" customFormat="false" ht="84.75" hidden="false" customHeight="true" outlineLevel="0" collapsed="false">
      <c r="A39" s="18" t="n">
        <f aca="false">TAKVİM!$B$41+(MATCH($G$5,{"Pazartesi","Salı","Çarşamba","Perşembe","Cuma"},0)-1)</f>
        <v>46507</v>
      </c>
      <c r="B39" s="19" t="s">
        <v>2846</v>
      </c>
      <c r="C39" s="19" t="s">
        <v>2850</v>
      </c>
      <c r="D39" s="19" t="s">
        <v>2851</v>
      </c>
      <c r="E39" s="19" t="s">
        <v>2852</v>
      </c>
      <c r="F39" s="19" t="s">
        <v>2829</v>
      </c>
      <c r="G39" s="19" t="s">
        <v>1251</v>
      </c>
      <c r="H39" s="19" t="s">
        <v>2728</v>
      </c>
      <c r="I39" s="19"/>
    </row>
    <row r="40" customFormat="false" ht="84.75" hidden="false" customHeight="true" outlineLevel="0" collapsed="false">
      <c r="A40" s="18" t="n">
        <f aca="false">TAKVİM!$B$42+(MATCH($G$5,{"Pazartesi","Salı","Çarşamba","Perşembe","Cuma"},0)-1)</f>
        <v>46514</v>
      </c>
      <c r="B40" s="19" t="s">
        <v>2846</v>
      </c>
      <c r="C40" s="19" t="s">
        <v>2850</v>
      </c>
      <c r="D40" s="19" t="s">
        <v>2853</v>
      </c>
      <c r="E40" s="19" t="s">
        <v>2854</v>
      </c>
      <c r="F40" s="19" t="s">
        <v>2855</v>
      </c>
      <c r="G40" s="19" t="s">
        <v>1251</v>
      </c>
      <c r="H40" s="19" t="s">
        <v>2728</v>
      </c>
      <c r="I40" s="19"/>
    </row>
    <row r="41" customFormat="false" ht="84.75" hidden="false" customHeight="true" outlineLevel="0" collapsed="false">
      <c r="A41" s="18" t="n">
        <f aca="false">TAKVİM!$B$43+(MATCH($G$5,{"Pazartesi","Salı","Çarşamba","Perşembe","Cuma"},0)-1)</f>
        <v>46521</v>
      </c>
      <c r="B41" s="19" t="s">
        <v>2856</v>
      </c>
      <c r="C41" s="19" t="s">
        <v>2857</v>
      </c>
      <c r="D41" s="19" t="s">
        <v>2858</v>
      </c>
      <c r="E41" s="19" t="s">
        <v>2859</v>
      </c>
      <c r="F41" s="19" t="s">
        <v>2801</v>
      </c>
      <c r="G41" s="19" t="s">
        <v>1251</v>
      </c>
      <c r="H41" s="19" t="s">
        <v>2728</v>
      </c>
      <c r="I41" s="19"/>
    </row>
    <row r="42" customFormat="false" ht="84.75" hidden="false" customHeight="true" outlineLevel="0" collapsed="false">
      <c r="A42" s="18" t="n">
        <f aca="false">TAKVİM!$B$44+(MATCH($G$5,{"Pazartesi","Salı","Çarşamba","Perşembe","Cuma"},0)-1)</f>
        <v>46528</v>
      </c>
      <c r="B42" s="19" t="s">
        <v>2856</v>
      </c>
      <c r="C42" s="19" t="s">
        <v>2860</v>
      </c>
      <c r="D42" s="19" t="s">
        <v>2861</v>
      </c>
      <c r="E42" s="19" t="s">
        <v>2862</v>
      </c>
      <c r="F42" s="19" t="s">
        <v>2829</v>
      </c>
      <c r="G42" s="19" t="s">
        <v>1251</v>
      </c>
      <c r="H42" s="19" t="s">
        <v>2728</v>
      </c>
      <c r="I42" s="19"/>
    </row>
    <row r="43" customFormat="false" ht="84.75" hidden="false" customHeight="true" outlineLevel="0" collapsed="false">
      <c r="A43" s="18" t="n">
        <f aca="false">TAKVİM!$B$45+(MATCH($G$5,{"Pazartesi","Salı","Çarşamba","Perşembe","Cuma"},0)-1)</f>
        <v>46535</v>
      </c>
      <c r="B43" s="19" t="s">
        <v>2856</v>
      </c>
      <c r="C43" s="19" t="s">
        <v>2860</v>
      </c>
      <c r="D43" s="19" t="s">
        <v>2853</v>
      </c>
      <c r="E43" s="19" t="s">
        <v>2863</v>
      </c>
      <c r="F43" s="19" t="s">
        <v>2864</v>
      </c>
      <c r="G43" s="19" t="s">
        <v>1251</v>
      </c>
      <c r="H43" s="19" t="s">
        <v>2728</v>
      </c>
      <c r="I43" s="19"/>
    </row>
    <row r="44" customFormat="false" ht="84.75" hidden="false" customHeight="true" outlineLevel="0" collapsed="false">
      <c r="A44" s="18" t="n">
        <f aca="false">TAKVİM!$B$46+(MATCH($G$5,{"Pazartesi","Salı","Çarşamba","Perşembe","Cuma"},0)-1)</f>
        <v>46542</v>
      </c>
      <c r="B44" s="19" t="s">
        <v>2865</v>
      </c>
      <c r="C44" s="19" t="s">
        <v>2866</v>
      </c>
      <c r="D44" s="19" t="s">
        <v>2867</v>
      </c>
      <c r="E44" s="19" t="s">
        <v>2868</v>
      </c>
      <c r="F44" s="19" t="s">
        <v>2801</v>
      </c>
      <c r="G44" s="19" t="s">
        <v>1251</v>
      </c>
      <c r="H44" s="19" t="s">
        <v>2728</v>
      </c>
      <c r="I44" s="19"/>
    </row>
    <row r="45" customFormat="false" ht="84.75" hidden="false" customHeight="true" outlineLevel="0" collapsed="false">
      <c r="A45" s="18" t="n">
        <f aca="false">TAKVİM!$B$47+(MATCH($G$5,{"Pazartesi","Salı","Çarşamba","Perşembe","Cuma"},0)-1)</f>
        <v>46549</v>
      </c>
      <c r="B45" s="19" t="s">
        <v>2865</v>
      </c>
      <c r="C45" s="19" t="s">
        <v>2869</v>
      </c>
      <c r="D45" s="19" t="s">
        <v>2870</v>
      </c>
      <c r="E45" s="19" t="s">
        <v>2871</v>
      </c>
      <c r="F45" s="19" t="s">
        <v>2829</v>
      </c>
      <c r="G45" s="19" t="s">
        <v>1251</v>
      </c>
      <c r="H45" s="19" t="s">
        <v>2728</v>
      </c>
      <c r="I45" s="19"/>
    </row>
    <row r="46" customFormat="false" ht="84.75" hidden="false" customHeight="true" outlineLevel="0" collapsed="false">
      <c r="A46" s="18" t="n">
        <f aca="false">TAKVİM!$B$48+(MATCH($G$5,{"Pazartesi","Salı","Çarşamba","Perşembe","Cuma"},0)-1)</f>
        <v>46556</v>
      </c>
      <c r="B46" s="19" t="s">
        <v>2865</v>
      </c>
      <c r="C46" s="19" t="s">
        <v>2869</v>
      </c>
      <c r="D46" s="19" t="s">
        <v>2872</v>
      </c>
      <c r="E46" s="19" t="s">
        <v>2873</v>
      </c>
      <c r="F46" s="19" t="s">
        <v>2829</v>
      </c>
      <c r="G46" s="19" t="s">
        <v>1251</v>
      </c>
      <c r="H46" s="19" t="s">
        <v>2728</v>
      </c>
      <c r="I46" s="19"/>
    </row>
    <row r="47" customFormat="false" ht="84.75" hidden="false" customHeight="true" outlineLevel="0" collapsed="false">
      <c r="A47" s="18" t="n">
        <f aca="false">TAKVİM!$B$49+(MATCH($G$5,{"Pazartesi","Salı","Çarşamba","Perşembe","Cuma"},0)-1)</f>
        <v>46563</v>
      </c>
      <c r="B47" s="19" t="s">
        <v>2865</v>
      </c>
      <c r="C47" s="19" t="s">
        <v>2869</v>
      </c>
      <c r="D47" s="19" t="s">
        <v>2874</v>
      </c>
      <c r="E47" s="19" t="s">
        <v>2875</v>
      </c>
      <c r="F47" s="19" t="s">
        <v>2876</v>
      </c>
      <c r="G47" s="19" t="s">
        <v>1251</v>
      </c>
      <c r="H47" s="19" t="s">
        <v>2728</v>
      </c>
      <c r="I47" s="19"/>
    </row>
    <row r="51" customFormat="false" ht="15" hidden="false" customHeight="true" outlineLevel="0" collapsed="false">
      <c r="A51" s="21" t="s">
        <v>28</v>
      </c>
      <c r="B51" s="21"/>
      <c r="C51" s="21"/>
      <c r="D51" s="21"/>
      <c r="F51" s="21" t="s">
        <v>210</v>
      </c>
      <c r="G51" s="21"/>
      <c r="H51" s="21"/>
      <c r="I51" s="21"/>
    </row>
    <row r="52" customFormat="false" ht="15" hidden="false" customHeight="true" outlineLevel="0" collapsed="false">
      <c r="A52" s="22" t="s">
        <v>211</v>
      </c>
      <c r="B52" s="22"/>
      <c r="C52" s="22"/>
      <c r="D52" s="22"/>
      <c r="F52" s="22" t="s">
        <v>212</v>
      </c>
      <c r="G52" s="22"/>
      <c r="H52" s="22"/>
      <c r="I52" s="22"/>
    </row>
    <row r="54" customFormat="false" ht="15" hidden="false" customHeight="true" outlineLevel="0" collapsed="false">
      <c r="A54" s="22" t="s">
        <v>213</v>
      </c>
      <c r="B54" s="22"/>
      <c r="C54" s="22"/>
      <c r="D54" s="22"/>
      <c r="F54" s="21" t="s">
        <v>214</v>
      </c>
      <c r="G54" s="21"/>
      <c r="H54" s="21"/>
      <c r="I54" s="21"/>
    </row>
  </sheetData>
  <mergeCells count="15">
    <mergeCell ref="C1:G1"/>
    <mergeCell ref="B3:D3"/>
    <mergeCell ref="G3:I3"/>
    <mergeCell ref="B4:D4"/>
    <mergeCell ref="G4:I4"/>
    <mergeCell ref="B5:D5"/>
    <mergeCell ref="B17:I17"/>
    <mergeCell ref="B27:I27"/>
    <mergeCell ref="B32:I32"/>
    <mergeCell ref="A51:D51"/>
    <mergeCell ref="F51:I51"/>
    <mergeCell ref="A52:D52"/>
    <mergeCell ref="F52:I52"/>
    <mergeCell ref="A54:D54"/>
    <mergeCell ref="F54:I54"/>
  </mergeCells>
  <dataValidations count="1">
    <dataValidation allowBlank="false" errorStyle="stop" operator="between" showDropDown="false" showErrorMessage="false" showInputMessage="false" sqref="G5" type="list">
      <formula1>"Pazartesi,Salı,Çarşamba,Perşembe,Cuma"</formula1>
      <formula2>0</formula2>
    </dataValidation>
  </dataValidation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4" min="3" style="1" width="26"/>
    <col collapsed="false" customWidth="true" hidden="false" outlineLevel="0" max="5" min="5" style="1" width="34"/>
    <col collapsed="false" customWidth="true" hidden="false" outlineLevel="0" max="6" min="6" style="1" width="22"/>
    <col collapsed="false" customWidth="true" hidden="false" outlineLevel="0" max="7" min="7" style="1" width="18"/>
    <col collapsed="false" customWidth="true" hidden="false" outlineLevel="0" max="8" min="8" style="1" width="22"/>
    <col collapsed="false" customWidth="true" hidden="false" outlineLevel="0" max="9" min="9" style="1" width="18"/>
  </cols>
  <sheetData>
    <row r="1" customFormat="false" ht="75" hidden="false" customHeight="true" outlineLevel="0" collapsed="false">
      <c r="C1" s="15" t="s">
        <v>18</v>
      </c>
      <c r="D1" s="15"/>
      <c r="E1" s="15"/>
      <c r="F1" s="15"/>
      <c r="G1" s="15"/>
    </row>
    <row r="3" customFormat="false" ht="15" hidden="false" customHeight="true" outlineLevel="0" collapsed="false">
      <c r="A3" s="3" t="s">
        <v>19</v>
      </c>
      <c r="B3" s="16" t="s">
        <v>2877</v>
      </c>
      <c r="C3" s="16"/>
      <c r="D3" s="16"/>
      <c r="F3" s="3" t="s">
        <v>21</v>
      </c>
      <c r="G3" s="16" t="s">
        <v>22</v>
      </c>
      <c r="H3" s="16"/>
      <c r="I3" s="16"/>
    </row>
    <row r="4" customFormat="false" ht="15" hidden="false" customHeight="true" outlineLevel="0" collapsed="false">
      <c r="A4" s="3" t="s">
        <v>23</v>
      </c>
      <c r="B4" s="16" t="s">
        <v>2722</v>
      </c>
      <c r="C4" s="16"/>
      <c r="D4" s="16"/>
      <c r="F4" s="3" t="s">
        <v>25</v>
      </c>
      <c r="G4" s="16" t="s">
        <v>216</v>
      </c>
      <c r="H4" s="16"/>
      <c r="I4" s="16"/>
    </row>
    <row r="5" customFormat="false" ht="15" hidden="false" customHeight="true" outlineLevel="0" collapsed="false">
      <c r="A5" s="3" t="s">
        <v>27</v>
      </c>
      <c r="B5" s="16" t="s">
        <v>28</v>
      </c>
      <c r="C5" s="16"/>
      <c r="D5" s="16"/>
      <c r="F5" s="3" t="s">
        <v>29</v>
      </c>
      <c r="G5" s="4" t="s">
        <v>30</v>
      </c>
    </row>
    <row r="7" customFormat="false" ht="23.25" hidden="false" customHeight="true" outlineLevel="0" collapsed="false">
      <c r="A7" s="17" t="s">
        <v>31</v>
      </c>
      <c r="B7" s="17" t="s">
        <v>32</v>
      </c>
      <c r="C7" s="17" t="s">
        <v>33</v>
      </c>
      <c r="D7" s="17" t="s">
        <v>34</v>
      </c>
      <c r="E7" s="17" t="s">
        <v>35</v>
      </c>
      <c r="F7" s="17" t="s">
        <v>36</v>
      </c>
      <c r="G7" s="17" t="s">
        <v>37</v>
      </c>
      <c r="H7" s="17" t="s">
        <v>38</v>
      </c>
      <c r="I7" s="17" t="s">
        <v>39</v>
      </c>
    </row>
    <row r="8" customFormat="false" ht="84.75" hidden="false" customHeight="true" outlineLevel="0" collapsed="false">
      <c r="A8" s="18" t="n">
        <f aca="false">TAKVİM!$B$10+(MATCH($G$5,{"Pazartesi","Salı","Çarşamba","Perşembe","Cuma"},0)-1)</f>
        <v>46283</v>
      </c>
      <c r="B8" s="19" t="s">
        <v>2878</v>
      </c>
      <c r="C8" s="19" t="s">
        <v>2879</v>
      </c>
      <c r="D8" s="19" t="s">
        <v>2880</v>
      </c>
      <c r="E8" s="19" t="s">
        <v>2881</v>
      </c>
      <c r="F8" s="19" t="s">
        <v>2882</v>
      </c>
      <c r="G8" s="19" t="s">
        <v>2883</v>
      </c>
      <c r="H8" s="19" t="s">
        <v>2884</v>
      </c>
      <c r="I8" s="19"/>
    </row>
    <row r="9" customFormat="false" ht="74.25" hidden="false" customHeight="true" outlineLevel="0" collapsed="false">
      <c r="A9" s="18" t="n">
        <f aca="false">TAKVİM!$B$11+(MATCH($G$5,{"Pazartesi","Salı","Çarşamba","Perşembe","Cuma"},0)-1)</f>
        <v>46290</v>
      </c>
      <c r="B9" s="19" t="s">
        <v>2885</v>
      </c>
      <c r="C9" s="19" t="s">
        <v>2886</v>
      </c>
      <c r="D9" s="19" t="s">
        <v>2887</v>
      </c>
      <c r="E9" s="19" t="s">
        <v>2888</v>
      </c>
      <c r="F9" s="19" t="s">
        <v>2005</v>
      </c>
      <c r="G9" s="19" t="s">
        <v>2883</v>
      </c>
      <c r="H9" s="19" t="s">
        <v>2884</v>
      </c>
      <c r="I9" s="19"/>
    </row>
    <row r="10" customFormat="false" ht="74.25" hidden="false" customHeight="true" outlineLevel="0" collapsed="false">
      <c r="A10" s="18" t="n">
        <f aca="false">TAKVİM!$B$12+(MATCH($G$5,{"Pazartesi","Salı","Çarşamba","Perşembe","Cuma"},0)-1)</f>
        <v>46297</v>
      </c>
      <c r="B10" s="19" t="s">
        <v>2889</v>
      </c>
      <c r="C10" s="19" t="s">
        <v>2890</v>
      </c>
      <c r="D10" s="19" t="s">
        <v>2891</v>
      </c>
      <c r="E10" s="19" t="s">
        <v>2892</v>
      </c>
      <c r="F10" s="19" t="s">
        <v>2005</v>
      </c>
      <c r="G10" s="19" t="s">
        <v>2883</v>
      </c>
      <c r="H10" s="19" t="s">
        <v>2884</v>
      </c>
      <c r="I10" s="19"/>
    </row>
    <row r="11" customFormat="false" ht="74.25" hidden="false" customHeight="true" outlineLevel="0" collapsed="false">
      <c r="A11" s="18" t="n">
        <f aca="false">TAKVİM!$B$13+(MATCH($G$5,{"Pazartesi","Salı","Çarşamba","Perşembe","Cuma"},0)-1)</f>
        <v>46304</v>
      </c>
      <c r="B11" s="19" t="s">
        <v>2889</v>
      </c>
      <c r="C11" s="19" t="s">
        <v>2893</v>
      </c>
      <c r="D11" s="19" t="s">
        <v>2894</v>
      </c>
      <c r="E11" s="19" t="s">
        <v>2895</v>
      </c>
      <c r="F11" s="19" t="s">
        <v>2896</v>
      </c>
      <c r="G11" s="19" t="s">
        <v>2883</v>
      </c>
      <c r="H11" s="19" t="s">
        <v>2884</v>
      </c>
      <c r="I11" s="19"/>
    </row>
    <row r="12" customFormat="false" ht="84.75" hidden="false" customHeight="true" outlineLevel="0" collapsed="false">
      <c r="A12" s="18" t="n">
        <f aca="false">TAKVİM!$B$14+(MATCH($G$5,{"Pazartesi","Salı","Çarşamba","Perşembe","Cuma"},0)-1)</f>
        <v>46311</v>
      </c>
      <c r="B12" s="19" t="s">
        <v>2897</v>
      </c>
      <c r="C12" s="19" t="s">
        <v>2898</v>
      </c>
      <c r="D12" s="19" t="s">
        <v>2095</v>
      </c>
      <c r="E12" s="19" t="s">
        <v>2899</v>
      </c>
      <c r="F12" s="19" t="s">
        <v>2900</v>
      </c>
      <c r="G12" s="19" t="s">
        <v>2883</v>
      </c>
      <c r="H12" s="19" t="s">
        <v>2884</v>
      </c>
      <c r="I12" s="19"/>
    </row>
    <row r="13" customFormat="false" ht="84.75" hidden="false" customHeight="true" outlineLevel="0" collapsed="false">
      <c r="A13" s="18" t="n">
        <f aca="false">TAKVİM!$B$15+(MATCH($G$5,{"Pazartesi","Salı","Çarşamba","Perşembe","Cuma"},0)-1)</f>
        <v>46318</v>
      </c>
      <c r="B13" s="19" t="s">
        <v>2901</v>
      </c>
      <c r="C13" s="19" t="s">
        <v>2902</v>
      </c>
      <c r="D13" s="19" t="s">
        <v>2903</v>
      </c>
      <c r="E13" s="19" t="s">
        <v>2904</v>
      </c>
      <c r="F13" s="19" t="s">
        <v>2070</v>
      </c>
      <c r="G13" s="19" t="s">
        <v>2883</v>
      </c>
      <c r="H13" s="19" t="s">
        <v>2884</v>
      </c>
      <c r="I13" s="19"/>
    </row>
    <row r="14" customFormat="false" ht="74.25" hidden="false" customHeight="true" outlineLevel="0" collapsed="false">
      <c r="A14" s="18" t="n">
        <f aca="false">TAKVİM!$B$16+(MATCH($G$5,{"Pazartesi","Salı","Çarşamba","Perşembe","Cuma"},0)-1)</f>
        <v>46325</v>
      </c>
      <c r="B14" s="19" t="s">
        <v>2905</v>
      </c>
      <c r="C14" s="19" t="s">
        <v>2906</v>
      </c>
      <c r="D14" s="19" t="s">
        <v>2907</v>
      </c>
      <c r="E14" s="19" t="s">
        <v>2908</v>
      </c>
      <c r="F14" s="19" t="s">
        <v>2909</v>
      </c>
      <c r="G14" s="19" t="s">
        <v>2883</v>
      </c>
      <c r="H14" s="19" t="s">
        <v>2884</v>
      </c>
      <c r="I14" s="19"/>
    </row>
    <row r="15" customFormat="false" ht="74.25" hidden="false" customHeight="true" outlineLevel="0" collapsed="false">
      <c r="A15" s="18" t="n">
        <f aca="false">TAKVİM!$B$17+(MATCH($G$5,{"Pazartesi","Salı","Çarşamba","Perşembe","Cuma"},0)-1)</f>
        <v>46332</v>
      </c>
      <c r="B15" s="19" t="s">
        <v>2905</v>
      </c>
      <c r="C15" s="19" t="s">
        <v>2910</v>
      </c>
      <c r="D15" s="19" t="s">
        <v>2911</v>
      </c>
      <c r="E15" s="19" t="s">
        <v>2912</v>
      </c>
      <c r="F15" s="19" t="s">
        <v>2913</v>
      </c>
      <c r="G15" s="19" t="s">
        <v>2883</v>
      </c>
      <c r="H15" s="19" t="s">
        <v>2884</v>
      </c>
      <c r="I15" s="19"/>
    </row>
    <row r="16" customFormat="false" ht="105.75" hidden="false" customHeight="true" outlineLevel="0" collapsed="false">
      <c r="A16" s="18" t="n">
        <f aca="false">TAKVİM!$B$18+(MATCH($G$5,{"Pazartesi","Salı","Çarşamba","Perşembe","Cuma"},0)-1)</f>
        <v>46339</v>
      </c>
      <c r="B16" s="19" t="s">
        <v>2914</v>
      </c>
      <c r="C16" s="19" t="s">
        <v>2915</v>
      </c>
      <c r="D16" s="19" t="s">
        <v>2916</v>
      </c>
      <c r="E16" s="19" t="s">
        <v>2917</v>
      </c>
      <c r="F16" s="19" t="s">
        <v>2918</v>
      </c>
      <c r="G16" s="19" t="s">
        <v>2883</v>
      </c>
      <c r="H16" s="19" t="s">
        <v>2884</v>
      </c>
      <c r="I16" s="19"/>
    </row>
    <row r="17" customFormat="false" ht="15" hidden="false" customHeight="true" outlineLevel="0" collapsed="false">
      <c r="A17" s="20" t="str">
        <f aca="false">TAKVİM!$C$19</f>
        <v>16-20 Kasım</v>
      </c>
      <c r="B17" s="20" t="s">
        <v>15</v>
      </c>
      <c r="C17" s="20"/>
      <c r="D17" s="20"/>
      <c r="E17" s="20"/>
      <c r="F17" s="20"/>
      <c r="G17" s="20"/>
      <c r="H17" s="20"/>
      <c r="I17" s="20"/>
    </row>
    <row r="18" customFormat="false" ht="74.25" hidden="false" customHeight="true" outlineLevel="0" collapsed="false">
      <c r="A18" s="18" t="n">
        <f aca="false">TAKVİM!$B$20+(MATCH($G$5,{"Pazartesi","Salı","Çarşamba","Perşembe","Cuma"},0)-1)</f>
        <v>46353</v>
      </c>
      <c r="B18" s="19" t="s">
        <v>2919</v>
      </c>
      <c r="C18" s="19" t="s">
        <v>2920</v>
      </c>
      <c r="D18" s="19" t="s">
        <v>2921</v>
      </c>
      <c r="E18" s="19" t="s">
        <v>2922</v>
      </c>
      <c r="F18" s="19" t="s">
        <v>2923</v>
      </c>
      <c r="G18" s="19" t="s">
        <v>2883</v>
      </c>
      <c r="H18" s="19" t="s">
        <v>2884</v>
      </c>
      <c r="I18" s="19"/>
    </row>
    <row r="19" customFormat="false" ht="74.25" hidden="false" customHeight="true" outlineLevel="0" collapsed="false">
      <c r="A19" s="18" t="n">
        <f aca="false">TAKVİM!$B$21+(MATCH($G$5,{"Pazartesi","Salı","Çarşamba","Perşembe","Cuma"},0)-1)</f>
        <v>46360</v>
      </c>
      <c r="B19" s="19" t="s">
        <v>2924</v>
      </c>
      <c r="C19" s="19" t="s">
        <v>2925</v>
      </c>
      <c r="D19" s="19" t="s">
        <v>2926</v>
      </c>
      <c r="E19" s="19" t="s">
        <v>2927</v>
      </c>
      <c r="F19" s="19" t="s">
        <v>2928</v>
      </c>
      <c r="G19" s="19" t="s">
        <v>2883</v>
      </c>
      <c r="H19" s="19" t="s">
        <v>2884</v>
      </c>
      <c r="I19" s="19"/>
    </row>
    <row r="20" customFormat="false" ht="74.25" hidden="false" customHeight="true" outlineLevel="0" collapsed="false">
      <c r="A20" s="18" t="n">
        <f aca="false">TAKVİM!$B$22+(MATCH($G$5,{"Pazartesi","Salı","Çarşamba","Perşembe","Cuma"},0)-1)</f>
        <v>46367</v>
      </c>
      <c r="B20" s="19" t="s">
        <v>2924</v>
      </c>
      <c r="C20" s="19" t="s">
        <v>2929</v>
      </c>
      <c r="D20" s="19" t="s">
        <v>2930</v>
      </c>
      <c r="E20" s="19" t="s">
        <v>2931</v>
      </c>
      <c r="F20" s="19" t="s">
        <v>2932</v>
      </c>
      <c r="G20" s="19" t="s">
        <v>2883</v>
      </c>
      <c r="H20" s="19" t="s">
        <v>2884</v>
      </c>
      <c r="I20" s="19"/>
    </row>
    <row r="21" customFormat="false" ht="74.25" hidden="false" customHeight="true" outlineLevel="0" collapsed="false">
      <c r="A21" s="18" t="n">
        <f aca="false">TAKVİM!$B$23+(MATCH($G$5,{"Pazartesi","Salı","Çarşamba","Perşembe","Cuma"},0)-1)</f>
        <v>46374</v>
      </c>
      <c r="B21" s="19" t="s">
        <v>2924</v>
      </c>
      <c r="C21" s="19" t="s">
        <v>2933</v>
      </c>
      <c r="D21" s="19" t="s">
        <v>2934</v>
      </c>
      <c r="E21" s="19" t="s">
        <v>2935</v>
      </c>
      <c r="F21" s="19" t="s">
        <v>2936</v>
      </c>
      <c r="G21" s="19" t="s">
        <v>2883</v>
      </c>
      <c r="H21" s="19" t="s">
        <v>2884</v>
      </c>
      <c r="I21" s="19"/>
    </row>
    <row r="22" customFormat="false" ht="74.25" hidden="false" customHeight="true" outlineLevel="0" collapsed="false">
      <c r="A22" s="18" t="n">
        <f aca="false">TAKVİM!$B$24+(MATCH($G$5,{"Pazartesi","Salı","Çarşamba","Perşembe","Cuma"},0)-1)</f>
        <v>46381</v>
      </c>
      <c r="B22" s="19" t="s">
        <v>2937</v>
      </c>
      <c r="C22" s="19" t="s">
        <v>2938</v>
      </c>
      <c r="D22" s="19" t="s">
        <v>2939</v>
      </c>
      <c r="E22" s="19" t="s">
        <v>2940</v>
      </c>
      <c r="F22" s="19" t="s">
        <v>2941</v>
      </c>
      <c r="G22" s="19" t="s">
        <v>2883</v>
      </c>
      <c r="H22" s="19" t="s">
        <v>2884</v>
      </c>
      <c r="I22" s="19"/>
    </row>
    <row r="23" customFormat="false" ht="74.25" hidden="false" customHeight="true" outlineLevel="0" collapsed="false">
      <c r="A23" s="18" t="n">
        <f aca="false">TAKVİM!$B$25+(MATCH($G$5,{"Pazartesi","Salı","Çarşamba","Perşembe","Cuma"},0)-1)</f>
        <v>46388</v>
      </c>
      <c r="B23" s="19" t="s">
        <v>2937</v>
      </c>
      <c r="C23" s="19" t="s">
        <v>2942</v>
      </c>
      <c r="D23" s="19" t="s">
        <v>2943</v>
      </c>
      <c r="E23" s="19" t="s">
        <v>2944</v>
      </c>
      <c r="F23" s="19" t="s">
        <v>2945</v>
      </c>
      <c r="G23" s="19" t="s">
        <v>2883</v>
      </c>
      <c r="H23" s="19" t="s">
        <v>2884</v>
      </c>
      <c r="I23" s="19"/>
    </row>
    <row r="24" customFormat="false" ht="74.25" hidden="false" customHeight="true" outlineLevel="0" collapsed="false">
      <c r="A24" s="18" t="n">
        <f aca="false">TAKVİM!$B$26+(MATCH($G$5,{"Pazartesi","Salı","Çarşamba","Perşembe","Cuma"},0)-1)</f>
        <v>46395</v>
      </c>
      <c r="B24" s="19" t="s">
        <v>2946</v>
      </c>
      <c r="C24" s="19" t="s">
        <v>2947</v>
      </c>
      <c r="D24" s="19" t="s">
        <v>2948</v>
      </c>
      <c r="E24" s="19" t="s">
        <v>2949</v>
      </c>
      <c r="F24" s="19" t="s">
        <v>2950</v>
      </c>
      <c r="G24" s="19" t="s">
        <v>2883</v>
      </c>
      <c r="H24" s="19" t="s">
        <v>2884</v>
      </c>
      <c r="I24" s="19"/>
    </row>
    <row r="25" customFormat="false" ht="74.25" hidden="false" customHeight="true" outlineLevel="0" collapsed="false">
      <c r="A25" s="18" t="n">
        <f aca="false">TAKVİM!$B$27+(MATCH($G$5,{"Pazartesi","Salı","Çarşamba","Perşembe","Cuma"},0)-1)</f>
        <v>46402</v>
      </c>
      <c r="B25" s="19" t="s">
        <v>2946</v>
      </c>
      <c r="C25" s="19" t="s">
        <v>2951</v>
      </c>
      <c r="D25" s="19" t="s">
        <v>2952</v>
      </c>
      <c r="E25" s="19" t="s">
        <v>2953</v>
      </c>
      <c r="F25" s="19" t="s">
        <v>2954</v>
      </c>
      <c r="G25" s="19" t="s">
        <v>2883</v>
      </c>
      <c r="H25" s="19" t="s">
        <v>2884</v>
      </c>
      <c r="I25" s="19"/>
    </row>
    <row r="26" customFormat="false" ht="74.25" hidden="false" customHeight="true" outlineLevel="0" collapsed="false">
      <c r="A26" s="18" t="n">
        <f aca="false">TAKVİM!$B$28+(MATCH($G$5,{"Pazartesi","Salı","Çarşamba","Perşembe","Cuma"},0)-1)</f>
        <v>46409</v>
      </c>
      <c r="B26" s="19" t="s">
        <v>2946</v>
      </c>
      <c r="C26" s="19" t="s">
        <v>2955</v>
      </c>
      <c r="D26" s="19" t="s">
        <v>2956</v>
      </c>
      <c r="E26" s="19" t="s">
        <v>2957</v>
      </c>
      <c r="F26" s="19" t="s">
        <v>2958</v>
      </c>
      <c r="G26" s="19" t="s">
        <v>2883</v>
      </c>
      <c r="H26" s="19" t="s">
        <v>2884</v>
      </c>
      <c r="I26" s="19"/>
    </row>
    <row r="27" customFormat="false" ht="15" hidden="false" customHeight="true" outlineLevel="0" collapsed="false">
      <c r="A27" s="20" t="str">
        <f aca="false">TAKVİM!$C$29</f>
        <v>25-29 Ocak</v>
      </c>
      <c r="B27" s="20" t="s">
        <v>16</v>
      </c>
      <c r="C27" s="20"/>
      <c r="D27" s="20"/>
      <c r="E27" s="20"/>
      <c r="F27" s="20"/>
      <c r="G27" s="20"/>
      <c r="H27" s="20"/>
      <c r="I27" s="20"/>
    </row>
    <row r="28" customFormat="false" ht="74.25" hidden="false" customHeight="true" outlineLevel="0" collapsed="false">
      <c r="A28" s="18" t="n">
        <f aca="false">TAKVİM!$B$30+(MATCH($G$5,{"Pazartesi","Salı","Çarşamba","Perşembe","Cuma"},0)-1)</f>
        <v>46430</v>
      </c>
      <c r="B28" s="19" t="s">
        <v>2959</v>
      </c>
      <c r="C28" s="19" t="s">
        <v>2960</v>
      </c>
      <c r="D28" s="19" t="s">
        <v>2961</v>
      </c>
      <c r="E28" s="19" t="s">
        <v>2962</v>
      </c>
      <c r="F28" s="19" t="s">
        <v>2005</v>
      </c>
      <c r="G28" s="19" t="s">
        <v>2883</v>
      </c>
      <c r="H28" s="19" t="s">
        <v>2884</v>
      </c>
      <c r="I28" s="19"/>
    </row>
    <row r="29" customFormat="false" ht="74.25" hidden="false" customHeight="true" outlineLevel="0" collapsed="false">
      <c r="A29" s="18" t="n">
        <f aca="false">TAKVİM!$B$31+(MATCH($G$5,{"Pazartesi","Salı","Çarşamba","Perşembe","Cuma"},0)-1)</f>
        <v>46437</v>
      </c>
      <c r="B29" s="19" t="s">
        <v>2959</v>
      </c>
      <c r="C29" s="19" t="s">
        <v>2963</v>
      </c>
      <c r="D29" s="19" t="s">
        <v>2964</v>
      </c>
      <c r="E29" s="19" t="s">
        <v>2965</v>
      </c>
      <c r="F29" s="19" t="s">
        <v>2966</v>
      </c>
      <c r="G29" s="19" t="s">
        <v>2883</v>
      </c>
      <c r="H29" s="19" t="s">
        <v>2884</v>
      </c>
      <c r="I29" s="19"/>
    </row>
    <row r="30" customFormat="false" ht="74.25" hidden="false" customHeight="true" outlineLevel="0" collapsed="false">
      <c r="A30" s="18" t="n">
        <f aca="false">TAKVİM!$B$32+(MATCH($G$5,{"Pazartesi","Salı","Çarşamba","Perşembe","Cuma"},0)-1)</f>
        <v>46444</v>
      </c>
      <c r="B30" s="19" t="s">
        <v>2967</v>
      </c>
      <c r="C30" s="19" t="s">
        <v>2968</v>
      </c>
      <c r="D30" s="19" t="s">
        <v>2969</v>
      </c>
      <c r="E30" s="19" t="s">
        <v>2970</v>
      </c>
      <c r="F30" s="19" t="s">
        <v>2971</v>
      </c>
      <c r="G30" s="19" t="s">
        <v>2883</v>
      </c>
      <c r="H30" s="19" t="s">
        <v>2884</v>
      </c>
      <c r="I30" s="19"/>
    </row>
    <row r="31" customFormat="false" ht="74.25" hidden="false" customHeight="true" outlineLevel="0" collapsed="false">
      <c r="A31" s="18" t="n">
        <f aca="false">TAKVİM!$B$33+(MATCH($G$5,{"Pazartesi","Salı","Çarşamba","Perşembe","Cuma"},0)-1)</f>
        <v>46451</v>
      </c>
      <c r="B31" s="19" t="s">
        <v>2967</v>
      </c>
      <c r="C31" s="19" t="s">
        <v>2972</v>
      </c>
      <c r="D31" s="19" t="s">
        <v>2973</v>
      </c>
      <c r="E31" s="19" t="s">
        <v>2974</v>
      </c>
      <c r="F31" s="19" t="s">
        <v>2954</v>
      </c>
      <c r="G31" s="19" t="s">
        <v>2883</v>
      </c>
      <c r="H31" s="19" t="s">
        <v>2884</v>
      </c>
      <c r="I31" s="19"/>
    </row>
    <row r="32" customFormat="false" ht="15" hidden="false" customHeight="true" outlineLevel="0" collapsed="false">
      <c r="A32" s="20" t="str">
        <f aca="false">TAKVİM!$C$34</f>
        <v>08-12 Mart</v>
      </c>
      <c r="B32" s="20" t="s">
        <v>17</v>
      </c>
      <c r="C32" s="20"/>
      <c r="D32" s="20"/>
      <c r="E32" s="20"/>
      <c r="F32" s="20"/>
      <c r="G32" s="20"/>
      <c r="H32" s="20"/>
      <c r="I32" s="20"/>
    </row>
    <row r="33" customFormat="false" ht="74.25" hidden="false" customHeight="true" outlineLevel="0" collapsed="false">
      <c r="A33" s="18" t="n">
        <f aca="false">TAKVİM!$B$35+(MATCH($G$5,{"Pazartesi","Salı","Çarşamba","Perşembe","Cuma"},0)-1)</f>
        <v>46465</v>
      </c>
      <c r="B33" s="19" t="s">
        <v>2967</v>
      </c>
      <c r="C33" s="19" t="s">
        <v>2975</v>
      </c>
      <c r="D33" s="19" t="s">
        <v>2976</v>
      </c>
      <c r="E33" s="19" t="s">
        <v>2977</v>
      </c>
      <c r="F33" s="19" t="s">
        <v>2978</v>
      </c>
      <c r="G33" s="19" t="s">
        <v>2883</v>
      </c>
      <c r="H33" s="19" t="s">
        <v>2884</v>
      </c>
      <c r="I33" s="19"/>
    </row>
    <row r="34" customFormat="false" ht="74.25" hidden="false" customHeight="true" outlineLevel="0" collapsed="false">
      <c r="A34" s="18" t="n">
        <f aca="false">TAKVİM!$B$36+(MATCH($G$5,{"Pazartesi","Salı","Çarşamba","Perşembe","Cuma"},0)-1)</f>
        <v>46472</v>
      </c>
      <c r="B34" s="19" t="s">
        <v>2979</v>
      </c>
      <c r="C34" s="19" t="s">
        <v>2980</v>
      </c>
      <c r="D34" s="19" t="s">
        <v>2981</v>
      </c>
      <c r="E34" s="19" t="s">
        <v>2982</v>
      </c>
      <c r="F34" s="19" t="s">
        <v>2983</v>
      </c>
      <c r="G34" s="19" t="s">
        <v>2883</v>
      </c>
      <c r="H34" s="19" t="s">
        <v>2884</v>
      </c>
      <c r="I34" s="19"/>
    </row>
    <row r="35" customFormat="false" ht="74.25" hidden="false" customHeight="true" outlineLevel="0" collapsed="false">
      <c r="A35" s="18" t="n">
        <f aca="false">TAKVİM!$B$37+(MATCH($G$5,{"Pazartesi","Salı","Çarşamba","Perşembe","Cuma"},0)-1)</f>
        <v>46479</v>
      </c>
      <c r="B35" s="19" t="s">
        <v>2979</v>
      </c>
      <c r="C35" s="19" t="s">
        <v>2984</v>
      </c>
      <c r="D35" s="19" t="s">
        <v>2985</v>
      </c>
      <c r="E35" s="19" t="s">
        <v>2986</v>
      </c>
      <c r="F35" s="19" t="s">
        <v>2987</v>
      </c>
      <c r="G35" s="19" t="s">
        <v>2883</v>
      </c>
      <c r="H35" s="19" t="s">
        <v>2884</v>
      </c>
      <c r="I35" s="19"/>
    </row>
    <row r="36" customFormat="false" ht="74.25" hidden="false" customHeight="true" outlineLevel="0" collapsed="false">
      <c r="A36" s="18" t="n">
        <f aca="false">TAKVİM!$B$38+(MATCH($G$5,{"Pazartesi","Salı","Çarşamba","Perşembe","Cuma"},0)-1)</f>
        <v>46486</v>
      </c>
      <c r="B36" s="19" t="s">
        <v>2979</v>
      </c>
      <c r="C36" s="19" t="s">
        <v>2988</v>
      </c>
      <c r="D36" s="19" t="s">
        <v>2989</v>
      </c>
      <c r="E36" s="19" t="s">
        <v>2990</v>
      </c>
      <c r="F36" s="19" t="s">
        <v>2991</v>
      </c>
      <c r="G36" s="19" t="s">
        <v>2883</v>
      </c>
      <c r="H36" s="19" t="s">
        <v>2884</v>
      </c>
      <c r="I36" s="19"/>
    </row>
    <row r="37" customFormat="false" ht="105.75" hidden="false" customHeight="true" outlineLevel="0" collapsed="false">
      <c r="A37" s="18" t="n">
        <f aca="false">TAKVİM!$B$39+(MATCH($G$5,{"Pazartesi","Salı","Çarşamba","Perşembe","Cuma"},0)-1)</f>
        <v>46493</v>
      </c>
      <c r="B37" s="19" t="s">
        <v>2992</v>
      </c>
      <c r="C37" s="19" t="s">
        <v>2993</v>
      </c>
      <c r="D37" s="19" t="s">
        <v>2994</v>
      </c>
      <c r="E37" s="19" t="s">
        <v>2995</v>
      </c>
      <c r="F37" s="19" t="s">
        <v>2996</v>
      </c>
      <c r="G37" s="19" t="s">
        <v>2883</v>
      </c>
      <c r="H37" s="19" t="s">
        <v>2884</v>
      </c>
      <c r="I37" s="19"/>
    </row>
    <row r="38" customFormat="false" ht="74.25" hidden="false" customHeight="true" outlineLevel="0" collapsed="false">
      <c r="A38" s="18" t="n">
        <f aca="false">TAKVİM!$B$40+(MATCH($G$5,{"Pazartesi","Salı","Çarşamba","Perşembe","Cuma"},0)-1)</f>
        <v>46500</v>
      </c>
      <c r="B38" s="19" t="s">
        <v>2997</v>
      </c>
      <c r="C38" s="19" t="s">
        <v>2998</v>
      </c>
      <c r="D38" s="19" t="s">
        <v>2999</v>
      </c>
      <c r="E38" s="19" t="s">
        <v>3000</v>
      </c>
      <c r="F38" s="19" t="s">
        <v>3001</v>
      </c>
      <c r="G38" s="19" t="s">
        <v>2883</v>
      </c>
      <c r="H38" s="19" t="s">
        <v>2884</v>
      </c>
      <c r="I38" s="19"/>
    </row>
    <row r="39" customFormat="false" ht="74.25" hidden="false" customHeight="true" outlineLevel="0" collapsed="false">
      <c r="A39" s="18" t="n">
        <f aca="false">TAKVİM!$B$41+(MATCH($G$5,{"Pazartesi","Salı","Çarşamba","Perşembe","Cuma"},0)-1)</f>
        <v>46507</v>
      </c>
      <c r="B39" s="19" t="s">
        <v>3002</v>
      </c>
      <c r="C39" s="19" t="s">
        <v>3003</v>
      </c>
      <c r="D39" s="19" t="s">
        <v>3004</v>
      </c>
      <c r="E39" s="19" t="s">
        <v>3005</v>
      </c>
      <c r="F39" s="19" t="s">
        <v>3006</v>
      </c>
      <c r="G39" s="19" t="s">
        <v>2883</v>
      </c>
      <c r="H39" s="19" t="s">
        <v>2884</v>
      </c>
      <c r="I39" s="19"/>
    </row>
    <row r="40" customFormat="false" ht="74.25" hidden="false" customHeight="true" outlineLevel="0" collapsed="false">
      <c r="A40" s="18" t="n">
        <f aca="false">TAKVİM!$B$42+(MATCH($G$5,{"Pazartesi","Salı","Çarşamba","Perşembe","Cuma"},0)-1)</f>
        <v>46514</v>
      </c>
      <c r="B40" s="19" t="s">
        <v>3002</v>
      </c>
      <c r="C40" s="19" t="s">
        <v>3007</v>
      </c>
      <c r="D40" s="19" t="s">
        <v>3008</v>
      </c>
      <c r="E40" s="19" t="s">
        <v>3009</v>
      </c>
      <c r="F40" s="19" t="s">
        <v>3010</v>
      </c>
      <c r="G40" s="19" t="s">
        <v>2883</v>
      </c>
      <c r="H40" s="19" t="s">
        <v>2884</v>
      </c>
      <c r="I40" s="19"/>
    </row>
    <row r="41" customFormat="false" ht="74.25" hidden="false" customHeight="true" outlineLevel="0" collapsed="false">
      <c r="A41" s="18" t="n">
        <f aca="false">TAKVİM!$B$43+(MATCH($G$5,{"Pazartesi","Salı","Çarşamba","Perşembe","Cuma"},0)-1)</f>
        <v>46521</v>
      </c>
      <c r="B41" s="19" t="s">
        <v>3011</v>
      </c>
      <c r="C41" s="19" t="s">
        <v>3012</v>
      </c>
      <c r="D41" s="19" t="s">
        <v>3013</v>
      </c>
      <c r="E41" s="19" t="s">
        <v>3014</v>
      </c>
      <c r="F41" s="19" t="s">
        <v>2954</v>
      </c>
      <c r="G41" s="19" t="s">
        <v>2883</v>
      </c>
      <c r="H41" s="19" t="s">
        <v>2884</v>
      </c>
      <c r="I41" s="19"/>
    </row>
    <row r="42" customFormat="false" ht="74.25" hidden="false" customHeight="true" outlineLevel="0" collapsed="false">
      <c r="A42" s="18" t="n">
        <f aca="false">TAKVİM!$B$44+(MATCH($G$5,{"Pazartesi","Salı","Çarşamba","Perşembe","Cuma"},0)-1)</f>
        <v>46528</v>
      </c>
      <c r="B42" s="19" t="s">
        <v>3011</v>
      </c>
      <c r="C42" s="19" t="s">
        <v>3015</v>
      </c>
      <c r="D42" s="19" t="s">
        <v>3016</v>
      </c>
      <c r="E42" s="19" t="s">
        <v>3017</v>
      </c>
      <c r="F42" s="19" t="s">
        <v>3018</v>
      </c>
      <c r="G42" s="19" t="s">
        <v>2883</v>
      </c>
      <c r="H42" s="19" t="s">
        <v>2884</v>
      </c>
      <c r="I42" s="19"/>
    </row>
    <row r="43" customFormat="false" ht="74.25" hidden="false" customHeight="true" outlineLevel="0" collapsed="false">
      <c r="A43" s="18" t="n">
        <f aca="false">TAKVİM!$B$45+(MATCH($G$5,{"Pazartesi","Salı","Çarşamba","Perşembe","Cuma"},0)-1)</f>
        <v>46535</v>
      </c>
      <c r="B43" s="19" t="s">
        <v>3019</v>
      </c>
      <c r="C43" s="19" t="s">
        <v>3020</v>
      </c>
      <c r="D43" s="19" t="s">
        <v>3021</v>
      </c>
      <c r="E43" s="19" t="s">
        <v>3022</v>
      </c>
      <c r="F43" s="19" t="s">
        <v>2909</v>
      </c>
      <c r="G43" s="19" t="s">
        <v>2883</v>
      </c>
      <c r="H43" s="19" t="s">
        <v>2884</v>
      </c>
      <c r="I43" s="19"/>
    </row>
    <row r="44" customFormat="false" ht="74.25" hidden="false" customHeight="true" outlineLevel="0" collapsed="false">
      <c r="A44" s="18" t="n">
        <f aca="false">TAKVİM!$B$46+(MATCH($G$5,{"Pazartesi","Salı","Çarşamba","Perşembe","Cuma"},0)-1)</f>
        <v>46542</v>
      </c>
      <c r="B44" s="19" t="s">
        <v>3019</v>
      </c>
      <c r="C44" s="19" t="s">
        <v>3023</v>
      </c>
      <c r="D44" s="19" t="s">
        <v>3024</v>
      </c>
      <c r="E44" s="19" t="s">
        <v>3025</v>
      </c>
      <c r="F44" s="19" t="s">
        <v>3026</v>
      </c>
      <c r="G44" s="19" t="s">
        <v>2883</v>
      </c>
      <c r="H44" s="19" t="s">
        <v>2884</v>
      </c>
      <c r="I44" s="19"/>
    </row>
    <row r="45" customFormat="false" ht="84.75" hidden="false" customHeight="true" outlineLevel="0" collapsed="false">
      <c r="A45" s="18" t="n">
        <f aca="false">TAKVİM!$B$47+(MATCH($G$5,{"Pazartesi","Salı","Çarşamba","Perşembe","Cuma"},0)-1)</f>
        <v>46549</v>
      </c>
      <c r="B45" s="19" t="s">
        <v>3027</v>
      </c>
      <c r="C45" s="19" t="s">
        <v>3028</v>
      </c>
      <c r="D45" s="19" t="s">
        <v>3029</v>
      </c>
      <c r="E45" s="19" t="s">
        <v>3030</v>
      </c>
      <c r="F45" s="19" t="s">
        <v>3031</v>
      </c>
      <c r="G45" s="19" t="s">
        <v>2883</v>
      </c>
      <c r="H45" s="19" t="s">
        <v>2884</v>
      </c>
      <c r="I45" s="19"/>
    </row>
    <row r="46" customFormat="false" ht="84.75" hidden="false" customHeight="true" outlineLevel="0" collapsed="false">
      <c r="A46" s="18" t="n">
        <f aca="false">TAKVİM!$B$48+(MATCH($G$5,{"Pazartesi","Salı","Çarşamba","Perşembe","Cuma"},0)-1)</f>
        <v>46556</v>
      </c>
      <c r="B46" s="19" t="s">
        <v>3027</v>
      </c>
      <c r="C46" s="19" t="s">
        <v>3032</v>
      </c>
      <c r="D46" s="19" t="s">
        <v>3033</v>
      </c>
      <c r="E46" s="19" t="s">
        <v>3034</v>
      </c>
      <c r="F46" s="19" t="s">
        <v>3035</v>
      </c>
      <c r="G46" s="19" t="s">
        <v>2883</v>
      </c>
      <c r="H46" s="19" t="s">
        <v>2884</v>
      </c>
      <c r="I46" s="19"/>
    </row>
    <row r="47" customFormat="false" ht="84.75" hidden="false" customHeight="true" outlineLevel="0" collapsed="false">
      <c r="A47" s="18" t="n">
        <f aca="false">TAKVİM!$B$49+(MATCH($G$5,{"Pazartesi","Salı","Çarşamba","Perşembe","Cuma"},0)-1)</f>
        <v>46563</v>
      </c>
      <c r="B47" s="19" t="s">
        <v>3027</v>
      </c>
      <c r="C47" s="19" t="s">
        <v>3036</v>
      </c>
      <c r="D47" s="19" t="s">
        <v>3037</v>
      </c>
      <c r="E47" s="19" t="s">
        <v>3038</v>
      </c>
      <c r="F47" s="19" t="s">
        <v>3039</v>
      </c>
      <c r="G47" s="19" t="s">
        <v>2883</v>
      </c>
      <c r="H47" s="19" t="s">
        <v>2884</v>
      </c>
      <c r="I47" s="19"/>
    </row>
    <row r="51" customFormat="false" ht="15" hidden="false" customHeight="true" outlineLevel="0" collapsed="false">
      <c r="A51" s="21" t="s">
        <v>28</v>
      </c>
      <c r="B51" s="21"/>
      <c r="C51" s="21"/>
      <c r="D51" s="21"/>
      <c r="F51" s="21" t="s">
        <v>210</v>
      </c>
      <c r="G51" s="21"/>
      <c r="H51" s="21"/>
      <c r="I51" s="21"/>
    </row>
    <row r="52" customFormat="false" ht="15" hidden="false" customHeight="true" outlineLevel="0" collapsed="false">
      <c r="A52" s="22" t="s">
        <v>211</v>
      </c>
      <c r="B52" s="22"/>
      <c r="C52" s="22"/>
      <c r="D52" s="22"/>
      <c r="F52" s="22" t="s">
        <v>212</v>
      </c>
      <c r="G52" s="22"/>
      <c r="H52" s="22"/>
      <c r="I52" s="22"/>
    </row>
    <row r="54" customFormat="false" ht="15" hidden="false" customHeight="true" outlineLevel="0" collapsed="false">
      <c r="A54" s="22" t="s">
        <v>213</v>
      </c>
      <c r="B54" s="22"/>
      <c r="C54" s="22"/>
      <c r="D54" s="22"/>
      <c r="F54" s="21" t="s">
        <v>214</v>
      </c>
      <c r="G54" s="21"/>
      <c r="H54" s="21"/>
      <c r="I54" s="21"/>
    </row>
  </sheetData>
  <mergeCells count="15">
    <mergeCell ref="C1:G1"/>
    <mergeCell ref="B3:D3"/>
    <mergeCell ref="G3:I3"/>
    <mergeCell ref="B4:D4"/>
    <mergeCell ref="G4:I4"/>
    <mergeCell ref="B5:D5"/>
    <mergeCell ref="B17:I17"/>
    <mergeCell ref="B27:I27"/>
    <mergeCell ref="B32:I32"/>
    <mergeCell ref="A51:D51"/>
    <mergeCell ref="F51:I51"/>
    <mergeCell ref="A52:D52"/>
    <mergeCell ref="F52:I52"/>
    <mergeCell ref="A54:D54"/>
    <mergeCell ref="F54:I54"/>
  </mergeCells>
  <dataValidations count="1">
    <dataValidation allowBlank="false" errorStyle="stop" operator="between" showDropDown="false" showErrorMessage="false" showInputMessage="false" sqref="G5" type="list">
      <formula1>"Pazartesi,Salı,Çarşamba,Perşembe,Cuma"</formula1>
      <formula2>0</formula2>
    </dataValidation>
  </dataValidation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4" min="3" style="1" width="26"/>
    <col collapsed="false" customWidth="true" hidden="false" outlineLevel="0" max="5" min="5" style="1" width="34"/>
    <col collapsed="false" customWidth="true" hidden="false" outlineLevel="0" max="6" min="6" style="1" width="22"/>
    <col collapsed="false" customWidth="true" hidden="false" outlineLevel="0" max="7" min="7" style="1" width="18"/>
    <col collapsed="false" customWidth="true" hidden="false" outlineLevel="0" max="8" min="8" style="1" width="22"/>
    <col collapsed="false" customWidth="true" hidden="false" outlineLevel="0" max="9" min="9" style="1" width="18"/>
  </cols>
  <sheetData>
    <row r="1" customFormat="false" ht="75" hidden="false" customHeight="true" outlineLevel="0" collapsed="false">
      <c r="C1" s="15" t="s">
        <v>18</v>
      </c>
      <c r="D1" s="15"/>
      <c r="E1" s="15"/>
      <c r="F1" s="15"/>
      <c r="G1" s="15"/>
    </row>
    <row r="3" customFormat="false" ht="15" hidden="false" customHeight="true" outlineLevel="0" collapsed="false">
      <c r="A3" s="3" t="s">
        <v>19</v>
      </c>
      <c r="B3" s="16" t="s">
        <v>3040</v>
      </c>
      <c r="C3" s="16"/>
      <c r="D3" s="16"/>
      <c r="F3" s="3" t="s">
        <v>21</v>
      </c>
      <c r="G3" s="16" t="s">
        <v>22</v>
      </c>
      <c r="H3" s="16"/>
      <c r="I3" s="16"/>
    </row>
    <row r="4" customFormat="false" ht="15" hidden="false" customHeight="true" outlineLevel="0" collapsed="false">
      <c r="A4" s="3" t="s">
        <v>23</v>
      </c>
      <c r="B4" s="16" t="s">
        <v>2722</v>
      </c>
      <c r="C4" s="16"/>
      <c r="D4" s="16"/>
      <c r="F4" s="3" t="s">
        <v>25</v>
      </c>
      <c r="G4" s="16" t="s">
        <v>216</v>
      </c>
      <c r="H4" s="16"/>
      <c r="I4" s="16"/>
    </row>
    <row r="5" customFormat="false" ht="15" hidden="false" customHeight="true" outlineLevel="0" collapsed="false">
      <c r="A5" s="3" t="s">
        <v>27</v>
      </c>
      <c r="B5" s="16" t="s">
        <v>28</v>
      </c>
      <c r="C5" s="16"/>
      <c r="D5" s="16"/>
      <c r="F5" s="3" t="s">
        <v>29</v>
      </c>
      <c r="G5" s="4" t="s">
        <v>30</v>
      </c>
    </row>
    <row r="7" customFormat="false" ht="23.25" hidden="false" customHeight="true" outlineLevel="0" collapsed="false">
      <c r="A7" s="17" t="s">
        <v>31</v>
      </c>
      <c r="B7" s="17" t="s">
        <v>32</v>
      </c>
      <c r="C7" s="17" t="s">
        <v>33</v>
      </c>
      <c r="D7" s="17" t="s">
        <v>34</v>
      </c>
      <c r="E7" s="17" t="s">
        <v>35</v>
      </c>
      <c r="F7" s="17" t="s">
        <v>36</v>
      </c>
      <c r="G7" s="17" t="s">
        <v>37</v>
      </c>
      <c r="H7" s="17" t="s">
        <v>38</v>
      </c>
      <c r="I7" s="17" t="s">
        <v>39</v>
      </c>
    </row>
    <row r="8" customFormat="false" ht="95.25" hidden="false" customHeight="true" outlineLevel="0" collapsed="false">
      <c r="A8" s="18" t="n">
        <f aca="false">TAKVİM!$B$10+(MATCH($G$5,{"Pazartesi","Salı","Çarşamba","Perşembe","Cuma"},0)-1)</f>
        <v>46283</v>
      </c>
      <c r="B8" s="19" t="s">
        <v>3041</v>
      </c>
      <c r="C8" s="19" t="s">
        <v>3042</v>
      </c>
      <c r="D8" s="19" t="s">
        <v>3043</v>
      </c>
      <c r="E8" s="19" t="s">
        <v>3044</v>
      </c>
      <c r="F8" s="19" t="s">
        <v>3045</v>
      </c>
      <c r="G8" s="19" t="s">
        <v>2883</v>
      </c>
      <c r="H8" s="19" t="s">
        <v>3046</v>
      </c>
      <c r="I8" s="19"/>
    </row>
    <row r="9" customFormat="false" ht="84.75" hidden="false" customHeight="true" outlineLevel="0" collapsed="false">
      <c r="A9" s="18" t="n">
        <f aca="false">TAKVİM!$B$11+(MATCH($G$5,{"Pazartesi","Salı","Çarşamba","Perşembe","Cuma"},0)-1)</f>
        <v>46290</v>
      </c>
      <c r="B9" s="19" t="s">
        <v>3047</v>
      </c>
      <c r="C9" s="19" t="s">
        <v>3048</v>
      </c>
      <c r="D9" s="19" t="s">
        <v>3049</v>
      </c>
      <c r="E9" s="19" t="s">
        <v>3050</v>
      </c>
      <c r="F9" s="19" t="s">
        <v>3051</v>
      </c>
      <c r="G9" s="19" t="s">
        <v>2883</v>
      </c>
      <c r="H9" s="19" t="s">
        <v>3046</v>
      </c>
      <c r="I9" s="19"/>
    </row>
    <row r="10" customFormat="false" ht="84.75" hidden="false" customHeight="true" outlineLevel="0" collapsed="false">
      <c r="A10" s="18" t="n">
        <f aca="false">TAKVİM!$B$12+(MATCH($G$5,{"Pazartesi","Salı","Çarşamba","Perşembe","Cuma"},0)-1)</f>
        <v>46297</v>
      </c>
      <c r="B10" s="19" t="s">
        <v>3052</v>
      </c>
      <c r="C10" s="19" t="s">
        <v>3053</v>
      </c>
      <c r="D10" s="19" t="s">
        <v>3054</v>
      </c>
      <c r="E10" s="19" t="s">
        <v>3055</v>
      </c>
      <c r="F10" s="19" t="s">
        <v>1916</v>
      </c>
      <c r="G10" s="19" t="s">
        <v>2883</v>
      </c>
      <c r="H10" s="19" t="s">
        <v>3046</v>
      </c>
      <c r="I10" s="19"/>
    </row>
    <row r="11" customFormat="false" ht="84.75" hidden="false" customHeight="true" outlineLevel="0" collapsed="false">
      <c r="A11" s="18" t="n">
        <f aca="false">TAKVİM!$B$13+(MATCH($G$5,{"Pazartesi","Salı","Çarşamba","Perşembe","Cuma"},0)-1)</f>
        <v>46304</v>
      </c>
      <c r="B11" s="19" t="s">
        <v>3052</v>
      </c>
      <c r="C11" s="19" t="s">
        <v>3053</v>
      </c>
      <c r="D11" s="19" t="s">
        <v>3056</v>
      </c>
      <c r="E11" s="19" t="s">
        <v>3057</v>
      </c>
      <c r="F11" s="19" t="s">
        <v>3058</v>
      </c>
      <c r="G11" s="19" t="s">
        <v>2883</v>
      </c>
      <c r="H11" s="19" t="s">
        <v>3046</v>
      </c>
      <c r="I11" s="19"/>
    </row>
    <row r="12" customFormat="false" ht="84.75" hidden="false" customHeight="true" outlineLevel="0" collapsed="false">
      <c r="A12" s="18" t="n">
        <f aca="false">TAKVİM!$B$14+(MATCH($G$5,{"Pazartesi","Salı","Çarşamba","Perşembe","Cuma"},0)-1)</f>
        <v>46311</v>
      </c>
      <c r="B12" s="19" t="s">
        <v>3059</v>
      </c>
      <c r="C12" s="19" t="s">
        <v>3060</v>
      </c>
      <c r="D12" s="19" t="s">
        <v>3061</v>
      </c>
      <c r="E12" s="19" t="s">
        <v>3062</v>
      </c>
      <c r="F12" s="19" t="s">
        <v>2005</v>
      </c>
      <c r="G12" s="19" t="s">
        <v>2883</v>
      </c>
      <c r="H12" s="19" t="s">
        <v>3046</v>
      </c>
      <c r="I12" s="19"/>
    </row>
    <row r="13" customFormat="false" ht="84.75" hidden="false" customHeight="true" outlineLevel="0" collapsed="false">
      <c r="A13" s="18" t="n">
        <f aca="false">TAKVİM!$B$15+(MATCH($G$5,{"Pazartesi","Salı","Çarşamba","Perşembe","Cuma"},0)-1)</f>
        <v>46318</v>
      </c>
      <c r="B13" s="19" t="s">
        <v>3059</v>
      </c>
      <c r="C13" s="19" t="s">
        <v>3060</v>
      </c>
      <c r="D13" s="19" t="s">
        <v>3063</v>
      </c>
      <c r="E13" s="19" t="s">
        <v>3064</v>
      </c>
      <c r="F13" s="19" t="s">
        <v>3065</v>
      </c>
      <c r="G13" s="19" t="s">
        <v>2883</v>
      </c>
      <c r="H13" s="19" t="s">
        <v>3046</v>
      </c>
      <c r="I13" s="19"/>
    </row>
    <row r="14" customFormat="false" ht="84.75" hidden="false" customHeight="true" outlineLevel="0" collapsed="false">
      <c r="A14" s="18" t="n">
        <f aca="false">TAKVİM!$B$16+(MATCH($G$5,{"Pazartesi","Salı","Çarşamba","Perşembe","Cuma"},0)-1)</f>
        <v>46325</v>
      </c>
      <c r="B14" s="19" t="s">
        <v>3066</v>
      </c>
      <c r="C14" s="19" t="s">
        <v>3067</v>
      </c>
      <c r="D14" s="19" t="s">
        <v>3068</v>
      </c>
      <c r="E14" s="19" t="s">
        <v>3069</v>
      </c>
      <c r="F14" s="19" t="s">
        <v>3070</v>
      </c>
      <c r="G14" s="19" t="s">
        <v>2883</v>
      </c>
      <c r="H14" s="19" t="s">
        <v>3046</v>
      </c>
      <c r="I14" s="19"/>
    </row>
    <row r="15" customFormat="false" ht="84.75" hidden="false" customHeight="true" outlineLevel="0" collapsed="false">
      <c r="A15" s="18" t="n">
        <f aca="false">TAKVİM!$B$17+(MATCH($G$5,{"Pazartesi","Salı","Çarşamba","Perşembe","Cuma"},0)-1)</f>
        <v>46332</v>
      </c>
      <c r="B15" s="19" t="s">
        <v>3071</v>
      </c>
      <c r="C15" s="19" t="s">
        <v>3072</v>
      </c>
      <c r="D15" s="19" t="s">
        <v>3073</v>
      </c>
      <c r="E15" s="19" t="s">
        <v>3074</v>
      </c>
      <c r="F15" s="19" t="s">
        <v>2005</v>
      </c>
      <c r="G15" s="19" t="s">
        <v>2883</v>
      </c>
      <c r="H15" s="19" t="s">
        <v>3046</v>
      </c>
      <c r="I15" s="19"/>
    </row>
    <row r="16" customFormat="false" ht="84.75" hidden="false" customHeight="true" outlineLevel="0" collapsed="false">
      <c r="A16" s="18" t="n">
        <f aca="false">TAKVİM!$B$18+(MATCH($G$5,{"Pazartesi","Salı","Çarşamba","Perşembe","Cuma"},0)-1)</f>
        <v>46339</v>
      </c>
      <c r="B16" s="19" t="s">
        <v>3071</v>
      </c>
      <c r="C16" s="19" t="s">
        <v>3075</v>
      </c>
      <c r="D16" s="19" t="s">
        <v>3076</v>
      </c>
      <c r="E16" s="19" t="s">
        <v>3077</v>
      </c>
      <c r="F16" s="19" t="s">
        <v>3078</v>
      </c>
      <c r="G16" s="19" t="s">
        <v>2883</v>
      </c>
      <c r="H16" s="19" t="s">
        <v>3046</v>
      </c>
      <c r="I16" s="19"/>
    </row>
    <row r="17" customFormat="false" ht="15" hidden="false" customHeight="true" outlineLevel="0" collapsed="false">
      <c r="A17" s="20" t="str">
        <f aca="false">TAKVİM!$C$19</f>
        <v>16-20 Kasım</v>
      </c>
      <c r="B17" s="20" t="s">
        <v>15</v>
      </c>
      <c r="C17" s="20"/>
      <c r="D17" s="20"/>
      <c r="E17" s="20"/>
      <c r="F17" s="20"/>
      <c r="G17" s="20"/>
      <c r="H17" s="20"/>
      <c r="I17" s="20"/>
    </row>
    <row r="18" customFormat="false" ht="84.75" hidden="false" customHeight="true" outlineLevel="0" collapsed="false">
      <c r="A18" s="18" t="n">
        <f aca="false">TAKVİM!$B$20+(MATCH($G$5,{"Pazartesi","Salı","Çarşamba","Perşembe","Cuma"},0)-1)</f>
        <v>46353</v>
      </c>
      <c r="B18" s="19" t="s">
        <v>3079</v>
      </c>
      <c r="C18" s="19" t="s">
        <v>3080</v>
      </c>
      <c r="D18" s="19" t="s">
        <v>3081</v>
      </c>
      <c r="E18" s="19" t="s">
        <v>3082</v>
      </c>
      <c r="F18" s="19" t="s">
        <v>3083</v>
      </c>
      <c r="G18" s="19" t="s">
        <v>2883</v>
      </c>
      <c r="H18" s="19" t="s">
        <v>3046</v>
      </c>
      <c r="I18" s="19"/>
    </row>
    <row r="19" customFormat="false" ht="84.75" hidden="false" customHeight="true" outlineLevel="0" collapsed="false">
      <c r="A19" s="18" t="n">
        <f aca="false">TAKVİM!$B$21+(MATCH($G$5,{"Pazartesi","Salı","Çarşamba","Perşembe","Cuma"},0)-1)</f>
        <v>46360</v>
      </c>
      <c r="B19" s="19" t="s">
        <v>3084</v>
      </c>
      <c r="C19" s="19" t="s">
        <v>3085</v>
      </c>
      <c r="D19" s="19" t="s">
        <v>3086</v>
      </c>
      <c r="E19" s="19" t="s">
        <v>3087</v>
      </c>
      <c r="F19" s="19" t="s">
        <v>3088</v>
      </c>
      <c r="G19" s="19" t="s">
        <v>2883</v>
      </c>
      <c r="H19" s="19" t="s">
        <v>3046</v>
      </c>
      <c r="I19" s="19"/>
    </row>
    <row r="20" customFormat="false" ht="84.75" hidden="false" customHeight="true" outlineLevel="0" collapsed="false">
      <c r="A20" s="18" t="n">
        <f aca="false">TAKVİM!$B$22+(MATCH($G$5,{"Pazartesi","Salı","Çarşamba","Perşembe","Cuma"},0)-1)</f>
        <v>46367</v>
      </c>
      <c r="B20" s="19" t="s">
        <v>3089</v>
      </c>
      <c r="C20" s="19" t="s">
        <v>3090</v>
      </c>
      <c r="D20" s="19" t="s">
        <v>3091</v>
      </c>
      <c r="E20" s="19" t="s">
        <v>3092</v>
      </c>
      <c r="F20" s="19" t="s">
        <v>3093</v>
      </c>
      <c r="G20" s="19" t="s">
        <v>2883</v>
      </c>
      <c r="H20" s="19" t="s">
        <v>3046</v>
      </c>
      <c r="I20" s="19"/>
    </row>
    <row r="21" customFormat="false" ht="84.75" hidden="false" customHeight="true" outlineLevel="0" collapsed="false">
      <c r="A21" s="18" t="n">
        <f aca="false">TAKVİM!$B$23+(MATCH($G$5,{"Pazartesi","Salı","Çarşamba","Perşembe","Cuma"},0)-1)</f>
        <v>46374</v>
      </c>
      <c r="B21" s="19" t="s">
        <v>3089</v>
      </c>
      <c r="C21" s="19" t="s">
        <v>3094</v>
      </c>
      <c r="D21" s="19" t="s">
        <v>3095</v>
      </c>
      <c r="E21" s="19" t="s">
        <v>3096</v>
      </c>
      <c r="F21" s="19" t="s">
        <v>3097</v>
      </c>
      <c r="G21" s="19" t="s">
        <v>2883</v>
      </c>
      <c r="H21" s="19" t="s">
        <v>3046</v>
      </c>
      <c r="I21" s="19"/>
    </row>
    <row r="22" customFormat="false" ht="84.75" hidden="false" customHeight="true" outlineLevel="0" collapsed="false">
      <c r="A22" s="18" t="n">
        <f aca="false">TAKVİM!$B$24+(MATCH($G$5,{"Pazartesi","Salı","Çarşamba","Perşembe","Cuma"},0)-1)</f>
        <v>46381</v>
      </c>
      <c r="B22" s="19" t="s">
        <v>3098</v>
      </c>
      <c r="C22" s="19" t="s">
        <v>3099</v>
      </c>
      <c r="D22" s="19" t="s">
        <v>3100</v>
      </c>
      <c r="E22" s="19" t="s">
        <v>3101</v>
      </c>
      <c r="F22" s="19" t="s">
        <v>3102</v>
      </c>
      <c r="G22" s="19" t="s">
        <v>2883</v>
      </c>
      <c r="H22" s="19" t="s">
        <v>3046</v>
      </c>
      <c r="I22" s="19"/>
    </row>
    <row r="23" customFormat="false" ht="84.75" hidden="false" customHeight="true" outlineLevel="0" collapsed="false">
      <c r="A23" s="18" t="n">
        <f aca="false">TAKVİM!$B$25+(MATCH($G$5,{"Pazartesi","Salı","Çarşamba","Perşembe","Cuma"},0)-1)</f>
        <v>46388</v>
      </c>
      <c r="B23" s="19" t="s">
        <v>3103</v>
      </c>
      <c r="C23" s="19" t="s">
        <v>3104</v>
      </c>
      <c r="D23" s="19" t="s">
        <v>3105</v>
      </c>
      <c r="E23" s="19" t="s">
        <v>3106</v>
      </c>
      <c r="F23" s="19" t="s">
        <v>654</v>
      </c>
      <c r="G23" s="19" t="s">
        <v>2883</v>
      </c>
      <c r="H23" s="19" t="s">
        <v>3046</v>
      </c>
      <c r="I23" s="19"/>
    </row>
    <row r="24" customFormat="false" ht="84.75" hidden="false" customHeight="true" outlineLevel="0" collapsed="false">
      <c r="A24" s="18" t="n">
        <f aca="false">TAKVİM!$B$26+(MATCH($G$5,{"Pazartesi","Salı","Çarşamba","Perşembe","Cuma"},0)-1)</f>
        <v>46395</v>
      </c>
      <c r="B24" s="19" t="s">
        <v>3107</v>
      </c>
      <c r="C24" s="19" t="s">
        <v>3108</v>
      </c>
      <c r="D24" s="19" t="s">
        <v>3109</v>
      </c>
      <c r="E24" s="19" t="s">
        <v>3110</v>
      </c>
      <c r="F24" s="19" t="s">
        <v>3111</v>
      </c>
      <c r="G24" s="19" t="s">
        <v>2883</v>
      </c>
      <c r="H24" s="19" t="s">
        <v>3046</v>
      </c>
      <c r="I24" s="19"/>
    </row>
    <row r="25" customFormat="false" ht="84.75" hidden="false" customHeight="true" outlineLevel="0" collapsed="false">
      <c r="A25" s="18" t="n">
        <f aca="false">TAKVİM!$B$27+(MATCH($G$5,{"Pazartesi","Salı","Çarşamba","Perşembe","Cuma"},0)-1)</f>
        <v>46402</v>
      </c>
      <c r="B25" s="19" t="s">
        <v>3112</v>
      </c>
      <c r="C25" s="19" t="s">
        <v>3113</v>
      </c>
      <c r="D25" s="19" t="s">
        <v>3114</v>
      </c>
      <c r="E25" s="19" t="s">
        <v>3115</v>
      </c>
      <c r="F25" s="19" t="s">
        <v>3116</v>
      </c>
      <c r="G25" s="19" t="s">
        <v>2883</v>
      </c>
      <c r="H25" s="19" t="s">
        <v>3046</v>
      </c>
      <c r="I25" s="19"/>
    </row>
    <row r="26" customFormat="false" ht="84.75" hidden="false" customHeight="true" outlineLevel="0" collapsed="false">
      <c r="A26" s="18" t="n">
        <f aca="false">TAKVİM!$B$28+(MATCH($G$5,{"Pazartesi","Salı","Çarşamba","Perşembe","Cuma"},0)-1)</f>
        <v>46409</v>
      </c>
      <c r="B26" s="19" t="s">
        <v>3117</v>
      </c>
      <c r="C26" s="19" t="s">
        <v>3118</v>
      </c>
      <c r="D26" s="19" t="s">
        <v>3119</v>
      </c>
      <c r="E26" s="19" t="s">
        <v>3120</v>
      </c>
      <c r="F26" s="19" t="s">
        <v>3121</v>
      </c>
      <c r="G26" s="19" t="s">
        <v>2883</v>
      </c>
      <c r="H26" s="19" t="s">
        <v>3046</v>
      </c>
      <c r="I26" s="19"/>
    </row>
    <row r="27" customFormat="false" ht="15" hidden="false" customHeight="true" outlineLevel="0" collapsed="false">
      <c r="A27" s="20" t="str">
        <f aca="false">TAKVİM!$C$29</f>
        <v>25-29 Ocak</v>
      </c>
      <c r="B27" s="20" t="s">
        <v>16</v>
      </c>
      <c r="C27" s="20"/>
      <c r="D27" s="20"/>
      <c r="E27" s="20"/>
      <c r="F27" s="20"/>
      <c r="G27" s="20"/>
      <c r="H27" s="20"/>
      <c r="I27" s="20"/>
    </row>
    <row r="28" customFormat="false" ht="95.25" hidden="false" customHeight="true" outlineLevel="0" collapsed="false">
      <c r="A28" s="18" t="n">
        <f aca="false">TAKVİM!$B$30+(MATCH($G$5,{"Pazartesi","Salı","Çarşamba","Perşembe","Cuma"},0)-1)</f>
        <v>46430</v>
      </c>
      <c r="B28" s="19" t="s">
        <v>3122</v>
      </c>
      <c r="C28" s="19" t="s">
        <v>3123</v>
      </c>
      <c r="D28" s="19" t="s">
        <v>3124</v>
      </c>
      <c r="E28" s="19" t="s">
        <v>3125</v>
      </c>
      <c r="F28" s="19" t="s">
        <v>3126</v>
      </c>
      <c r="G28" s="19" t="s">
        <v>2883</v>
      </c>
      <c r="H28" s="19" t="s">
        <v>3046</v>
      </c>
      <c r="I28" s="19"/>
    </row>
    <row r="29" customFormat="false" ht="84.75" hidden="false" customHeight="true" outlineLevel="0" collapsed="false">
      <c r="A29" s="18" t="n">
        <f aca="false">TAKVİM!$B$31+(MATCH($G$5,{"Pazartesi","Salı","Çarşamba","Perşembe","Cuma"},0)-1)</f>
        <v>46437</v>
      </c>
      <c r="B29" s="19" t="s">
        <v>3127</v>
      </c>
      <c r="C29" s="19" t="s">
        <v>3128</v>
      </c>
      <c r="D29" s="19" t="s">
        <v>3129</v>
      </c>
      <c r="E29" s="19" t="s">
        <v>3130</v>
      </c>
      <c r="F29" s="19" t="s">
        <v>3131</v>
      </c>
      <c r="G29" s="19" t="s">
        <v>2883</v>
      </c>
      <c r="H29" s="19" t="s">
        <v>3046</v>
      </c>
      <c r="I29" s="19"/>
    </row>
    <row r="30" customFormat="false" ht="84.75" hidden="false" customHeight="true" outlineLevel="0" collapsed="false">
      <c r="A30" s="18" t="n">
        <f aca="false">TAKVİM!$B$32+(MATCH($G$5,{"Pazartesi","Salı","Çarşamba","Perşembe","Cuma"},0)-1)</f>
        <v>46444</v>
      </c>
      <c r="B30" s="19" t="s">
        <v>3132</v>
      </c>
      <c r="C30" s="19" t="s">
        <v>3133</v>
      </c>
      <c r="D30" s="19" t="s">
        <v>3134</v>
      </c>
      <c r="E30" s="19" t="s">
        <v>3135</v>
      </c>
      <c r="F30" s="19" t="s">
        <v>3136</v>
      </c>
      <c r="G30" s="19" t="s">
        <v>2883</v>
      </c>
      <c r="H30" s="19" t="s">
        <v>3046</v>
      </c>
      <c r="I30" s="19"/>
    </row>
    <row r="31" customFormat="false" ht="84.75" hidden="false" customHeight="true" outlineLevel="0" collapsed="false">
      <c r="A31" s="18" t="n">
        <f aca="false">TAKVİM!$B$33+(MATCH($G$5,{"Pazartesi","Salı","Çarşamba","Perşembe","Cuma"},0)-1)</f>
        <v>46451</v>
      </c>
      <c r="B31" s="19" t="s">
        <v>3132</v>
      </c>
      <c r="C31" s="19" t="s">
        <v>3133</v>
      </c>
      <c r="D31" s="19" t="s">
        <v>3137</v>
      </c>
      <c r="E31" s="19" t="s">
        <v>3138</v>
      </c>
      <c r="F31" s="19" t="s">
        <v>3139</v>
      </c>
      <c r="G31" s="19" t="s">
        <v>2883</v>
      </c>
      <c r="H31" s="19" t="s">
        <v>3046</v>
      </c>
      <c r="I31" s="19"/>
    </row>
    <row r="32" customFormat="false" ht="15" hidden="false" customHeight="true" outlineLevel="0" collapsed="false">
      <c r="A32" s="20" t="str">
        <f aca="false">TAKVİM!$C$34</f>
        <v>08-12 Mart</v>
      </c>
      <c r="B32" s="20" t="s">
        <v>17</v>
      </c>
      <c r="C32" s="20"/>
      <c r="D32" s="20"/>
      <c r="E32" s="20"/>
      <c r="F32" s="20"/>
      <c r="G32" s="20"/>
      <c r="H32" s="20"/>
      <c r="I32" s="20"/>
    </row>
    <row r="33" customFormat="false" ht="84.75" hidden="false" customHeight="true" outlineLevel="0" collapsed="false">
      <c r="A33" s="18" t="n">
        <f aca="false">TAKVİM!$B$35+(MATCH($G$5,{"Pazartesi","Salı","Çarşamba","Perşembe","Cuma"},0)-1)</f>
        <v>46465</v>
      </c>
      <c r="B33" s="19" t="s">
        <v>3140</v>
      </c>
      <c r="C33" s="19" t="s">
        <v>3141</v>
      </c>
      <c r="D33" s="19" t="s">
        <v>3142</v>
      </c>
      <c r="E33" s="19" t="s">
        <v>3143</v>
      </c>
      <c r="F33" s="19" t="s">
        <v>2005</v>
      </c>
      <c r="G33" s="19" t="s">
        <v>2883</v>
      </c>
      <c r="H33" s="19" t="s">
        <v>3046</v>
      </c>
      <c r="I33" s="19"/>
    </row>
    <row r="34" customFormat="false" ht="84.75" hidden="false" customHeight="true" outlineLevel="0" collapsed="false">
      <c r="A34" s="18" t="n">
        <f aca="false">TAKVİM!$B$36+(MATCH($G$5,{"Pazartesi","Salı","Çarşamba","Perşembe","Cuma"},0)-1)</f>
        <v>46472</v>
      </c>
      <c r="B34" s="19" t="s">
        <v>3140</v>
      </c>
      <c r="C34" s="19" t="s">
        <v>3141</v>
      </c>
      <c r="D34" s="19" t="s">
        <v>3144</v>
      </c>
      <c r="E34" s="19" t="s">
        <v>3145</v>
      </c>
      <c r="F34" s="19" t="s">
        <v>3146</v>
      </c>
      <c r="G34" s="19" t="s">
        <v>2883</v>
      </c>
      <c r="H34" s="19" t="s">
        <v>3046</v>
      </c>
      <c r="I34" s="19"/>
    </row>
    <row r="35" customFormat="false" ht="84.75" hidden="false" customHeight="true" outlineLevel="0" collapsed="false">
      <c r="A35" s="18" t="n">
        <f aca="false">TAKVİM!$B$37+(MATCH($G$5,{"Pazartesi","Salı","Çarşamba","Perşembe","Cuma"},0)-1)</f>
        <v>46479</v>
      </c>
      <c r="B35" s="19" t="s">
        <v>3147</v>
      </c>
      <c r="C35" s="19" t="s">
        <v>3148</v>
      </c>
      <c r="D35" s="19" t="s">
        <v>3149</v>
      </c>
      <c r="E35" s="19" t="s">
        <v>3150</v>
      </c>
      <c r="F35" s="19" t="s">
        <v>3151</v>
      </c>
      <c r="G35" s="19" t="s">
        <v>2883</v>
      </c>
      <c r="H35" s="19" t="s">
        <v>3046</v>
      </c>
      <c r="I35" s="19"/>
    </row>
    <row r="36" customFormat="false" ht="84.75" hidden="false" customHeight="true" outlineLevel="0" collapsed="false">
      <c r="A36" s="18" t="n">
        <f aca="false">TAKVİM!$B$38+(MATCH($G$5,{"Pazartesi","Salı","Çarşamba","Perşembe","Cuma"},0)-1)</f>
        <v>46486</v>
      </c>
      <c r="B36" s="19" t="s">
        <v>3147</v>
      </c>
      <c r="C36" s="19" t="s">
        <v>3152</v>
      </c>
      <c r="D36" s="19" t="s">
        <v>3153</v>
      </c>
      <c r="E36" s="19" t="s">
        <v>3154</v>
      </c>
      <c r="F36" s="19" t="s">
        <v>3155</v>
      </c>
      <c r="G36" s="19" t="s">
        <v>2883</v>
      </c>
      <c r="H36" s="19" t="s">
        <v>3046</v>
      </c>
      <c r="I36" s="19"/>
    </row>
    <row r="37" customFormat="false" ht="84.75" hidden="false" customHeight="true" outlineLevel="0" collapsed="false">
      <c r="A37" s="18" t="n">
        <f aca="false">TAKVİM!$B$39+(MATCH($G$5,{"Pazartesi","Salı","Çarşamba","Perşembe","Cuma"},0)-1)</f>
        <v>46493</v>
      </c>
      <c r="B37" s="19" t="s">
        <v>3156</v>
      </c>
      <c r="C37" s="19" t="s">
        <v>3157</v>
      </c>
      <c r="D37" s="19" t="s">
        <v>3158</v>
      </c>
      <c r="E37" s="19" t="s">
        <v>3159</v>
      </c>
      <c r="F37" s="19" t="s">
        <v>2005</v>
      </c>
      <c r="G37" s="19" t="s">
        <v>2883</v>
      </c>
      <c r="H37" s="19" t="s">
        <v>3046</v>
      </c>
      <c r="I37" s="19"/>
    </row>
    <row r="38" customFormat="false" ht="84.75" hidden="false" customHeight="true" outlineLevel="0" collapsed="false">
      <c r="A38" s="18" t="n">
        <f aca="false">TAKVİM!$B$40+(MATCH($G$5,{"Pazartesi","Salı","Çarşamba","Perşembe","Cuma"},0)-1)</f>
        <v>46500</v>
      </c>
      <c r="B38" s="19" t="s">
        <v>3156</v>
      </c>
      <c r="C38" s="19" t="s">
        <v>3160</v>
      </c>
      <c r="D38" s="19" t="s">
        <v>3161</v>
      </c>
      <c r="E38" s="19" t="s">
        <v>3162</v>
      </c>
      <c r="F38" s="19" t="s">
        <v>2005</v>
      </c>
      <c r="G38" s="19" t="s">
        <v>2883</v>
      </c>
      <c r="H38" s="19" t="s">
        <v>3046</v>
      </c>
      <c r="I38" s="19"/>
    </row>
    <row r="39" customFormat="false" ht="84.75" hidden="false" customHeight="true" outlineLevel="0" collapsed="false">
      <c r="A39" s="18" t="n">
        <f aca="false">TAKVİM!$B$41+(MATCH($G$5,{"Pazartesi","Salı","Çarşamba","Perşembe","Cuma"},0)-1)</f>
        <v>46507</v>
      </c>
      <c r="B39" s="19" t="s">
        <v>3156</v>
      </c>
      <c r="C39" s="19" t="s">
        <v>3163</v>
      </c>
      <c r="D39" s="19" t="s">
        <v>3164</v>
      </c>
      <c r="E39" s="19" t="s">
        <v>3165</v>
      </c>
      <c r="F39" s="19" t="s">
        <v>2005</v>
      </c>
      <c r="G39" s="19" t="s">
        <v>2883</v>
      </c>
      <c r="H39" s="19" t="s">
        <v>3046</v>
      </c>
      <c r="I39" s="19"/>
    </row>
    <row r="40" customFormat="false" ht="84.75" hidden="false" customHeight="true" outlineLevel="0" collapsed="false">
      <c r="A40" s="18" t="n">
        <f aca="false">TAKVİM!$B$42+(MATCH($G$5,{"Pazartesi","Salı","Çarşamba","Perşembe","Cuma"},0)-1)</f>
        <v>46514</v>
      </c>
      <c r="B40" s="19" t="s">
        <v>3156</v>
      </c>
      <c r="C40" s="19" t="s">
        <v>3163</v>
      </c>
      <c r="D40" s="19" t="s">
        <v>3166</v>
      </c>
      <c r="E40" s="19" t="s">
        <v>3167</v>
      </c>
      <c r="F40" s="19" t="s">
        <v>3168</v>
      </c>
      <c r="G40" s="19" t="s">
        <v>2883</v>
      </c>
      <c r="H40" s="19" t="s">
        <v>3046</v>
      </c>
      <c r="I40" s="19"/>
    </row>
    <row r="41" customFormat="false" ht="84.75" hidden="false" customHeight="true" outlineLevel="0" collapsed="false">
      <c r="A41" s="18" t="n">
        <f aca="false">TAKVİM!$B$43+(MATCH($G$5,{"Pazartesi","Salı","Çarşamba","Perşembe","Cuma"},0)-1)</f>
        <v>46521</v>
      </c>
      <c r="B41" s="19" t="s">
        <v>3169</v>
      </c>
      <c r="C41" s="19" t="s">
        <v>3170</v>
      </c>
      <c r="D41" s="19" t="s">
        <v>3171</v>
      </c>
      <c r="E41" s="19" t="s">
        <v>3172</v>
      </c>
      <c r="F41" s="19" t="s">
        <v>3173</v>
      </c>
      <c r="G41" s="19" t="s">
        <v>2883</v>
      </c>
      <c r="H41" s="19" t="s">
        <v>3046</v>
      </c>
      <c r="I41" s="19"/>
    </row>
    <row r="42" customFormat="false" ht="84.75" hidden="false" customHeight="true" outlineLevel="0" collapsed="false">
      <c r="A42" s="18" t="n">
        <f aca="false">TAKVİM!$B$44+(MATCH($G$5,{"Pazartesi","Salı","Çarşamba","Perşembe","Cuma"},0)-1)</f>
        <v>46528</v>
      </c>
      <c r="B42" s="19" t="s">
        <v>3169</v>
      </c>
      <c r="C42" s="19" t="s">
        <v>3174</v>
      </c>
      <c r="D42" s="19" t="s">
        <v>3175</v>
      </c>
      <c r="E42" s="19" t="s">
        <v>3176</v>
      </c>
      <c r="F42" s="19" t="s">
        <v>2005</v>
      </c>
      <c r="G42" s="19" t="s">
        <v>2883</v>
      </c>
      <c r="H42" s="19" t="s">
        <v>3046</v>
      </c>
      <c r="I42" s="19"/>
    </row>
    <row r="43" customFormat="false" ht="84.75" hidden="false" customHeight="true" outlineLevel="0" collapsed="false">
      <c r="A43" s="18" t="n">
        <f aca="false">TAKVİM!$B$45+(MATCH($G$5,{"Pazartesi","Salı","Çarşamba","Perşembe","Cuma"},0)-1)</f>
        <v>46535</v>
      </c>
      <c r="B43" s="19" t="s">
        <v>3169</v>
      </c>
      <c r="C43" s="19" t="s">
        <v>3177</v>
      </c>
      <c r="D43" s="19" t="s">
        <v>3178</v>
      </c>
      <c r="E43" s="19" t="s">
        <v>3179</v>
      </c>
      <c r="F43" s="19" t="s">
        <v>3180</v>
      </c>
      <c r="G43" s="19" t="s">
        <v>2883</v>
      </c>
      <c r="H43" s="19" t="s">
        <v>3046</v>
      </c>
      <c r="I43" s="19"/>
    </row>
    <row r="44" customFormat="false" ht="84.75" hidden="false" customHeight="true" outlineLevel="0" collapsed="false">
      <c r="A44" s="18" t="n">
        <f aca="false">TAKVİM!$B$46+(MATCH($G$5,{"Pazartesi","Salı","Çarşamba","Perşembe","Cuma"},0)-1)</f>
        <v>46542</v>
      </c>
      <c r="B44" s="19" t="s">
        <v>3169</v>
      </c>
      <c r="C44" s="19" t="s">
        <v>3174</v>
      </c>
      <c r="D44" s="19" t="s">
        <v>3181</v>
      </c>
      <c r="E44" s="19" t="s">
        <v>3182</v>
      </c>
      <c r="F44" s="19" t="s">
        <v>2005</v>
      </c>
      <c r="G44" s="19" t="s">
        <v>2883</v>
      </c>
      <c r="H44" s="19" t="s">
        <v>3046</v>
      </c>
      <c r="I44" s="19"/>
    </row>
    <row r="45" customFormat="false" ht="84.75" hidden="false" customHeight="true" outlineLevel="0" collapsed="false">
      <c r="A45" s="18" t="n">
        <f aca="false">TAKVİM!$B$47+(MATCH($G$5,{"Pazartesi","Salı","Çarşamba","Perşembe","Cuma"},0)-1)</f>
        <v>46549</v>
      </c>
      <c r="B45" s="19" t="s">
        <v>3169</v>
      </c>
      <c r="C45" s="19" t="s">
        <v>3177</v>
      </c>
      <c r="D45" s="19" t="s">
        <v>3183</v>
      </c>
      <c r="E45" s="19" t="s">
        <v>3184</v>
      </c>
      <c r="F45" s="19" t="s">
        <v>3180</v>
      </c>
      <c r="G45" s="19" t="s">
        <v>2883</v>
      </c>
      <c r="H45" s="19" t="s">
        <v>3046</v>
      </c>
      <c r="I45" s="19"/>
    </row>
    <row r="46" customFormat="false" ht="84.75" hidden="false" customHeight="true" outlineLevel="0" collapsed="false">
      <c r="A46" s="18" t="n">
        <f aca="false">TAKVİM!$B$48+(MATCH($G$5,{"Pazartesi","Salı","Çarşamba","Perşembe","Cuma"},0)-1)</f>
        <v>46556</v>
      </c>
      <c r="B46" s="19" t="s">
        <v>3169</v>
      </c>
      <c r="C46" s="19" t="s">
        <v>3174</v>
      </c>
      <c r="D46" s="19" t="s">
        <v>3185</v>
      </c>
      <c r="E46" s="19" t="s">
        <v>3186</v>
      </c>
      <c r="F46" s="19" t="s">
        <v>2005</v>
      </c>
      <c r="G46" s="19" t="s">
        <v>2883</v>
      </c>
      <c r="H46" s="19" t="s">
        <v>3046</v>
      </c>
      <c r="I46" s="19"/>
    </row>
    <row r="47" customFormat="false" ht="84.75" hidden="false" customHeight="true" outlineLevel="0" collapsed="false">
      <c r="A47" s="18" t="n">
        <f aca="false">TAKVİM!$B$49+(MATCH($G$5,{"Pazartesi","Salı","Çarşamba","Perşembe","Cuma"},0)-1)</f>
        <v>46563</v>
      </c>
      <c r="B47" s="19" t="s">
        <v>3169</v>
      </c>
      <c r="C47" s="19" t="s">
        <v>3177</v>
      </c>
      <c r="D47" s="19" t="s">
        <v>3187</v>
      </c>
      <c r="E47" s="19" t="s">
        <v>3188</v>
      </c>
      <c r="F47" s="19" t="s">
        <v>3039</v>
      </c>
      <c r="G47" s="19" t="s">
        <v>2883</v>
      </c>
      <c r="H47" s="19" t="s">
        <v>3046</v>
      </c>
      <c r="I47" s="19"/>
    </row>
    <row r="51" customFormat="false" ht="15" hidden="false" customHeight="true" outlineLevel="0" collapsed="false">
      <c r="A51" s="21" t="s">
        <v>28</v>
      </c>
      <c r="B51" s="21"/>
      <c r="C51" s="21"/>
      <c r="D51" s="21"/>
      <c r="F51" s="21" t="s">
        <v>210</v>
      </c>
      <c r="G51" s="21"/>
      <c r="H51" s="21"/>
      <c r="I51" s="21"/>
    </row>
    <row r="52" customFormat="false" ht="15" hidden="false" customHeight="true" outlineLevel="0" collapsed="false">
      <c r="A52" s="22" t="s">
        <v>211</v>
      </c>
      <c r="B52" s="22"/>
      <c r="C52" s="22"/>
      <c r="D52" s="22"/>
      <c r="F52" s="22" t="s">
        <v>212</v>
      </c>
      <c r="G52" s="22"/>
      <c r="H52" s="22"/>
      <c r="I52" s="22"/>
    </row>
    <row r="54" customFormat="false" ht="15" hidden="false" customHeight="true" outlineLevel="0" collapsed="false">
      <c r="A54" s="22" t="s">
        <v>213</v>
      </c>
      <c r="B54" s="22"/>
      <c r="C54" s="22"/>
      <c r="D54" s="22"/>
      <c r="F54" s="21" t="s">
        <v>214</v>
      </c>
      <c r="G54" s="21"/>
      <c r="H54" s="21"/>
      <c r="I54" s="21"/>
    </row>
  </sheetData>
  <mergeCells count="15">
    <mergeCell ref="C1:G1"/>
    <mergeCell ref="B3:D3"/>
    <mergeCell ref="G3:I3"/>
    <mergeCell ref="B4:D4"/>
    <mergeCell ref="G4:I4"/>
    <mergeCell ref="B5:D5"/>
    <mergeCell ref="B17:I17"/>
    <mergeCell ref="B27:I27"/>
    <mergeCell ref="B32:I32"/>
    <mergeCell ref="A51:D51"/>
    <mergeCell ref="F51:I51"/>
    <mergeCell ref="A52:D52"/>
    <mergeCell ref="F52:I52"/>
    <mergeCell ref="A54:D54"/>
    <mergeCell ref="F54:I54"/>
  </mergeCells>
  <dataValidations count="1">
    <dataValidation allowBlank="false" errorStyle="stop" operator="between" showDropDown="false" showErrorMessage="false" showInputMessage="false" sqref="G5" type="list">
      <formula1>"Pazartesi,Salı,Çarşamba,Perşembe,Cuma"</formula1>
      <formula2>0</formula2>
    </dataValidation>
  </dataValidation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2026-08-09T21:02:09Z</dcterms:created>
  <dc:creator>openpyxl</dc:creator>
  <dc:description/>
  <dc:language>en-US</dc:language>
  <cp:lastModifiedBy/>
  <dcterms:modified xsi:type="dcterms:W3CDTF">2026-08-09T22:09:51Z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